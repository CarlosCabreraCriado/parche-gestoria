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2b8fc90e97c08fff/Nodus/Proyectos/Nodus-app/parche-gestoria/procesos/importarFacturacion/inputs/nominas/"/>
    </mc:Choice>
  </mc:AlternateContent>
  <xr:revisionPtr revIDLastSave="8" documentId="13_ncr:1_{F53A57ED-B9B9-4812-8097-6B871483C203}" xr6:coauthVersionLast="47" xr6:coauthVersionMax="47" xr10:uidLastSave="{A25ED920-943E-4D05-974B-DFD27002D73A}"/>
  <bookViews>
    <workbookView xWindow="14205" yWindow="-16320" windowWidth="29040" windowHeight="15720" xr2:uid="{CB38ADB7-9FCA-4332-9CBA-CBAC1493DAA5}"/>
  </bookViews>
  <sheets>
    <sheet name="Hoja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 i="1" l="1"/>
  <c r="N8" i="1" s="1"/>
  <c r="O8" i="1" s="1"/>
  <c r="P8" i="1" s="1"/>
  <c r="Q8" i="1" s="1"/>
  <c r="R8" i="1" s="1"/>
  <c r="L7" i="1"/>
  <c r="N7" i="1" s="1"/>
  <c r="O7" i="1" s="1"/>
  <c r="P7" i="1" s="1"/>
  <c r="Q7" i="1" s="1"/>
  <c r="R7" i="1" s="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O69" i="1"/>
  <c r="P69" i="1" s="1"/>
  <c r="Q69" i="1" s="1"/>
  <c r="R69" i="1" s="1"/>
  <c r="L69" i="1"/>
  <c r="O68" i="1"/>
  <c r="P68" i="1" s="1"/>
  <c r="Q68" i="1" s="1"/>
  <c r="R68" i="1" s="1"/>
  <c r="L68" i="1"/>
  <c r="O67" i="1"/>
  <c r="P67" i="1" s="1"/>
  <c r="Q67" i="1" s="1"/>
  <c r="R67" i="1" s="1"/>
  <c r="L67" i="1"/>
  <c r="O66" i="1"/>
  <c r="P66" i="1" s="1"/>
  <c r="Q66" i="1" s="1"/>
  <c r="R66" i="1" s="1"/>
  <c r="L66" i="1"/>
  <c r="O65" i="1"/>
  <c r="P65" i="1" s="1"/>
  <c r="Q65" i="1" s="1"/>
  <c r="R65" i="1" s="1"/>
  <c r="L65" i="1"/>
  <c r="O64" i="1"/>
  <c r="P64" i="1" s="1"/>
  <c r="Q64" i="1" s="1"/>
  <c r="R64" i="1" s="1"/>
  <c r="L64" i="1"/>
  <c r="O63" i="1"/>
  <c r="P63" i="1" s="1"/>
  <c r="Q63" i="1" s="1"/>
  <c r="R63" i="1" s="1"/>
  <c r="L63" i="1"/>
  <c r="O62" i="1"/>
  <c r="P62" i="1" s="1"/>
  <c r="Q62" i="1" s="1"/>
  <c r="R62" i="1" s="1"/>
  <c r="L62" i="1"/>
  <c r="O61" i="1"/>
  <c r="P61" i="1" s="1"/>
  <c r="Q61" i="1" s="1"/>
  <c r="R61" i="1" s="1"/>
  <c r="L61" i="1"/>
  <c r="O60" i="1"/>
  <c r="P60" i="1" s="1"/>
  <c r="Q60" i="1" s="1"/>
  <c r="R60" i="1" s="1"/>
  <c r="L60" i="1"/>
  <c r="O59" i="1"/>
  <c r="P59" i="1" s="1"/>
  <c r="Q59" i="1" s="1"/>
  <c r="R59" i="1" s="1"/>
  <c r="L59" i="1"/>
  <c r="O58" i="1"/>
  <c r="P58" i="1" s="1"/>
  <c r="Q58" i="1" s="1"/>
  <c r="R58" i="1" s="1"/>
  <c r="L58" i="1"/>
  <c r="O57" i="1"/>
  <c r="P57" i="1" s="1"/>
  <c r="Q57" i="1" s="1"/>
  <c r="R57" i="1" s="1"/>
  <c r="L57" i="1"/>
  <c r="O56" i="1"/>
  <c r="P56" i="1" s="1"/>
  <c r="Q56" i="1" s="1"/>
  <c r="R56" i="1" s="1"/>
  <c r="L56" i="1"/>
  <c r="O55" i="1"/>
  <c r="P55" i="1" s="1"/>
  <c r="Q55" i="1" s="1"/>
  <c r="R55" i="1" s="1"/>
  <c r="L55" i="1"/>
  <c r="O54" i="1"/>
  <c r="P54" i="1" s="1"/>
  <c r="Q54" i="1" s="1"/>
  <c r="R54" i="1" s="1"/>
  <c r="L54" i="1"/>
  <c r="O53" i="1"/>
  <c r="P53" i="1" s="1"/>
  <c r="Q53" i="1" s="1"/>
  <c r="R53" i="1" s="1"/>
  <c r="L53" i="1"/>
  <c r="O52" i="1"/>
  <c r="P52" i="1" s="1"/>
  <c r="Q52" i="1" s="1"/>
  <c r="R52" i="1" s="1"/>
  <c r="L52" i="1"/>
  <c r="O51" i="1"/>
  <c r="P51" i="1" s="1"/>
  <c r="Q51" i="1" s="1"/>
  <c r="R51" i="1" s="1"/>
  <c r="L51" i="1"/>
  <c r="O50" i="1"/>
  <c r="P50" i="1" s="1"/>
  <c r="Q50" i="1" s="1"/>
  <c r="R50" i="1" s="1"/>
  <c r="L50" i="1"/>
  <c r="O49" i="1"/>
  <c r="P49" i="1" s="1"/>
  <c r="Q49" i="1" s="1"/>
  <c r="R49" i="1" s="1"/>
  <c r="L49" i="1"/>
  <c r="O48" i="1"/>
  <c r="P48" i="1" s="1"/>
  <c r="Q48" i="1" s="1"/>
  <c r="R48" i="1" s="1"/>
  <c r="L48" i="1"/>
  <c r="O47" i="1"/>
  <c r="P47" i="1" s="1"/>
  <c r="Q47" i="1" s="1"/>
  <c r="R47" i="1" s="1"/>
  <c r="L47" i="1"/>
  <c r="O46" i="1"/>
  <c r="P46" i="1" s="1"/>
  <c r="Q46" i="1" s="1"/>
  <c r="R46" i="1" s="1"/>
  <c r="L46" i="1"/>
  <c r="O45" i="1"/>
  <c r="P45" i="1" s="1"/>
  <c r="Q45" i="1" s="1"/>
  <c r="R45" i="1" s="1"/>
  <c r="L45" i="1"/>
  <c r="O44" i="1"/>
  <c r="P44" i="1" s="1"/>
  <c r="Q44" i="1" s="1"/>
  <c r="R44" i="1" s="1"/>
  <c r="L44" i="1"/>
  <c r="O43" i="1"/>
  <c r="P43" i="1" s="1"/>
  <c r="Q43" i="1" s="1"/>
  <c r="R43" i="1" s="1"/>
  <c r="L43" i="1"/>
  <c r="O42" i="1"/>
  <c r="P42" i="1" s="1"/>
  <c r="Q42" i="1" s="1"/>
  <c r="R42" i="1" s="1"/>
  <c r="L42" i="1"/>
  <c r="O41" i="1"/>
  <c r="P41" i="1" s="1"/>
  <c r="Q41" i="1" s="1"/>
  <c r="R41" i="1" s="1"/>
  <c r="L41" i="1"/>
  <c r="O40" i="1"/>
  <c r="P40" i="1" s="1"/>
  <c r="Q40" i="1" s="1"/>
  <c r="R40" i="1" s="1"/>
  <c r="L40" i="1"/>
  <c r="O39" i="1"/>
  <c r="P39" i="1" s="1"/>
  <c r="Q39" i="1" s="1"/>
  <c r="R39" i="1" s="1"/>
  <c r="L39" i="1"/>
  <c r="O38" i="1"/>
  <c r="P38" i="1" s="1"/>
  <c r="Q38" i="1" s="1"/>
  <c r="R38" i="1" s="1"/>
  <c r="L38" i="1"/>
  <c r="O37" i="1"/>
  <c r="P37" i="1" s="1"/>
  <c r="Q37" i="1" s="1"/>
  <c r="R37" i="1" s="1"/>
  <c r="L37" i="1"/>
  <c r="O36" i="1"/>
  <c r="P36" i="1" s="1"/>
  <c r="Q36" i="1" s="1"/>
  <c r="R36" i="1" s="1"/>
  <c r="L36" i="1"/>
  <c r="O35" i="1"/>
  <c r="P35" i="1" s="1"/>
  <c r="Q35" i="1" s="1"/>
  <c r="R35" i="1" s="1"/>
  <c r="L35" i="1"/>
  <c r="O34" i="1"/>
  <c r="P34" i="1" s="1"/>
  <c r="Q34" i="1" s="1"/>
  <c r="R34" i="1" s="1"/>
  <c r="L34" i="1"/>
  <c r="O33" i="1"/>
  <c r="P33" i="1" s="1"/>
  <c r="Q33" i="1" s="1"/>
  <c r="R33" i="1" s="1"/>
  <c r="L33" i="1"/>
  <c r="O32" i="1"/>
  <c r="P32" i="1" s="1"/>
  <c r="Q32" i="1" s="1"/>
  <c r="R32" i="1" s="1"/>
  <c r="L32" i="1"/>
  <c r="O31" i="1"/>
  <c r="P31" i="1" s="1"/>
  <c r="Q31" i="1" s="1"/>
  <c r="R31" i="1" s="1"/>
  <c r="L31" i="1"/>
  <c r="O30" i="1"/>
  <c r="P30" i="1" s="1"/>
  <c r="Q30" i="1" s="1"/>
  <c r="R30" i="1" s="1"/>
  <c r="L30" i="1"/>
  <c r="O29" i="1"/>
  <c r="P29" i="1" s="1"/>
  <c r="Q29" i="1" s="1"/>
  <c r="R29" i="1" s="1"/>
  <c r="L29" i="1"/>
  <c r="O28" i="1"/>
  <c r="P28" i="1" s="1"/>
  <c r="Q28" i="1" s="1"/>
  <c r="R28" i="1" s="1"/>
  <c r="L28" i="1"/>
  <c r="O27" i="1"/>
  <c r="P27" i="1" s="1"/>
  <c r="Q27" i="1" s="1"/>
  <c r="R27" i="1" s="1"/>
  <c r="L27" i="1"/>
  <c r="O26" i="1"/>
  <c r="P26" i="1" s="1"/>
  <c r="Q26" i="1" s="1"/>
  <c r="R26" i="1" s="1"/>
  <c r="L26" i="1"/>
  <c r="O25" i="1"/>
  <c r="P25" i="1" s="1"/>
  <c r="Q25" i="1" s="1"/>
  <c r="R25" i="1" s="1"/>
  <c r="L25" i="1"/>
  <c r="O24" i="1"/>
  <c r="P24" i="1" s="1"/>
  <c r="Q24" i="1" s="1"/>
  <c r="R24" i="1" s="1"/>
  <c r="L24" i="1"/>
  <c r="O23" i="1"/>
  <c r="P23" i="1" s="1"/>
  <c r="Q23" i="1" s="1"/>
  <c r="R23" i="1" s="1"/>
  <c r="L23" i="1"/>
  <c r="O22" i="1"/>
  <c r="P22" i="1" s="1"/>
  <c r="Q22" i="1" s="1"/>
  <c r="R22" i="1" s="1"/>
  <c r="L22" i="1"/>
  <c r="O21" i="1"/>
  <c r="P21" i="1" s="1"/>
  <c r="Q21" i="1" s="1"/>
  <c r="R21" i="1" s="1"/>
  <c r="L21" i="1"/>
  <c r="O20" i="1"/>
  <c r="P20" i="1" s="1"/>
  <c r="Q20" i="1" s="1"/>
  <c r="R20" i="1" s="1"/>
  <c r="L20" i="1"/>
  <c r="O19" i="1"/>
  <c r="P19" i="1" s="1"/>
  <c r="Q19" i="1" s="1"/>
  <c r="R19" i="1" s="1"/>
  <c r="L19" i="1"/>
  <c r="O18" i="1"/>
  <c r="P18" i="1" s="1"/>
  <c r="Q18" i="1" s="1"/>
  <c r="R18" i="1" s="1"/>
  <c r="L18" i="1"/>
  <c r="O17" i="1"/>
  <c r="P17" i="1" s="1"/>
  <c r="Q17" i="1" s="1"/>
  <c r="R17" i="1" s="1"/>
  <c r="L17" i="1"/>
  <c r="O16" i="1"/>
  <c r="P16" i="1" s="1"/>
  <c r="Q16" i="1" s="1"/>
  <c r="R16" i="1" s="1"/>
  <c r="L16" i="1"/>
  <c r="O15" i="1"/>
  <c r="P15" i="1" s="1"/>
  <c r="Q15" i="1" s="1"/>
  <c r="R15" i="1" s="1"/>
  <c r="L15" i="1"/>
  <c r="O14" i="1"/>
  <c r="P14" i="1" s="1"/>
  <c r="Q14" i="1" s="1"/>
  <c r="R14" i="1" s="1"/>
  <c r="L14" i="1"/>
  <c r="O13" i="1"/>
  <c r="P13" i="1" s="1"/>
  <c r="Q13" i="1" s="1"/>
  <c r="R13" i="1" s="1"/>
  <c r="L13" i="1"/>
  <c r="O12" i="1"/>
  <c r="P12" i="1" s="1"/>
  <c r="Q12" i="1" s="1"/>
  <c r="R12" i="1" s="1"/>
  <c r="L12" i="1"/>
  <c r="O11" i="1"/>
  <c r="P11" i="1" s="1"/>
  <c r="Q11" i="1" s="1"/>
  <c r="R11" i="1" s="1"/>
  <c r="L11" i="1"/>
  <c r="O10" i="1"/>
  <c r="P10" i="1" s="1"/>
  <c r="Q10" i="1" s="1"/>
  <c r="R10" i="1" s="1"/>
  <c r="L10" i="1"/>
  <c r="O9" i="1"/>
  <c r="P9" i="1" s="1"/>
  <c r="Q9" i="1" s="1"/>
  <c r="R9" i="1" s="1"/>
  <c r="L9" i="1"/>
</calcChain>
</file>

<file path=xl/sharedStrings.xml><?xml version="1.0" encoding="utf-8"?>
<sst xmlns="http://schemas.openxmlformats.org/spreadsheetml/2006/main" count="411" uniqueCount="218">
  <si>
    <t>1.157 - 46,00€</t>
  </si>
  <si>
    <t>1.156 - 70,00€</t>
  </si>
  <si>
    <t>1.155 - 46,00€</t>
  </si>
  <si>
    <t>1.079 - 40,00€</t>
  </si>
  <si>
    <t>1.005 - 23,00€</t>
  </si>
  <si>
    <t>EXPT</t>
  </si>
  <si>
    <t>EMPRESA</t>
  </si>
  <si>
    <t>DNI TRAB</t>
  </si>
  <si>
    <t>NOMBRE TRABAJADOR</t>
  </si>
  <si>
    <t>F. ALTA</t>
  </si>
  <si>
    <t>F.BAJA</t>
  </si>
  <si>
    <t xml:space="preserve">F. CAMBIO </t>
  </si>
  <si>
    <t xml:space="preserve">FECHA </t>
  </si>
  <si>
    <t>OBSERVACION</t>
  </si>
  <si>
    <t>ESTADO</t>
  </si>
  <si>
    <t>TIPO TRAMITE</t>
  </si>
  <si>
    <t>CONCEPTO FACT</t>
  </si>
  <si>
    <t>IMPORTE</t>
  </si>
  <si>
    <t>INICIO</t>
  </si>
  <si>
    <t>DESPIDO</t>
  </si>
  <si>
    <t>TRANSAC</t>
  </si>
  <si>
    <t>BUROFAX</t>
  </si>
  <si>
    <t>SMS</t>
  </si>
  <si>
    <t>THE GOOD TIMES COMPANY SL</t>
  </si>
  <si>
    <t>WEISKORN GONZALEZ, FATIMA</t>
  </si>
  <si>
    <t>ALUMINIOS SANTA ROSA SL</t>
  </si>
  <si>
    <t>EUPELUZ, SL</t>
  </si>
  <si>
    <t>AUX DE CONSTRUCCION BORJAPA SL</t>
  </si>
  <si>
    <t>ASOC DE SORDOS DE TENERIFE</t>
  </si>
  <si>
    <t>TIFON MOTOR, SL</t>
  </si>
  <si>
    <t>AGUERE GESTION Y OBRAS, S.L.</t>
  </si>
  <si>
    <t>TIFON CANARIAS SLU</t>
  </si>
  <si>
    <t>RODRIGUEZ EXPOSITO, MARIA CANDELARIA</t>
  </si>
  <si>
    <t>EXPLOTACIONES JORDAN SL</t>
  </si>
  <si>
    <t>FOX SEGURIDAD SL</t>
  </si>
  <si>
    <t>FEDERACION ASOC SORDOS DE LA ISLA</t>
  </si>
  <si>
    <t>CUSTOM WARRIOR SL</t>
  </si>
  <si>
    <t>MENDEZ MORALES, IVAN</t>
  </si>
  <si>
    <t>TRANSPORTES Y GRUAS CARBALLO,S.L.</t>
  </si>
  <si>
    <t>CANARIAS DE PLASTICOS SA</t>
  </si>
  <si>
    <t>LAS MERCEDES CASA DOMINGO, SL</t>
  </si>
  <si>
    <t>MORALES SANTOS, CARLOS ENRIQUE</t>
  </si>
  <si>
    <t>VELARDE ROCHA, RENE</t>
  </si>
  <si>
    <t>MORALES LUIS, JONAY</t>
  </si>
  <si>
    <t>ASOC. CULTURAL TEATROFIA</t>
  </si>
  <si>
    <t>GONZALEZ GONZALEZ, M PILAR</t>
  </si>
  <si>
    <t>LUIS HERNANDEZ, PEDRO</t>
  </si>
  <si>
    <t>CONST GONZALEZ HERRERA SL</t>
  </si>
  <si>
    <t>CLINICA DENTAL PILAR MARTIN, SLP</t>
  </si>
  <si>
    <t>TORRES RODRIGUEZ, JACOBO</t>
  </si>
  <si>
    <t>ETIKA FOOD CANARIAS, SL</t>
  </si>
  <si>
    <t>BAZAR MARY SL</t>
  </si>
  <si>
    <t>SERRA GENOVES, JOSE JAVIER</t>
  </si>
  <si>
    <t>CRISTALERIA CRISTALFUERT, SL</t>
  </si>
  <si>
    <t>MECANICA JORGE, SL</t>
  </si>
  <si>
    <t>MENDEZ MARTIN, MARIA BIHILDE</t>
  </si>
  <si>
    <t>GAN INSTALACIONES Y SERVICIOS, SL.</t>
  </si>
  <si>
    <t>LUGO FERNANDEZ, MARIA EUGENIA</t>
  </si>
  <si>
    <t>MARTOS DIAZ, DANIEL</t>
  </si>
  <si>
    <t>DOMASER CANARIA, SLU</t>
  </si>
  <si>
    <t>MAXVIEL CORREDURIA DE SEGUROS SL</t>
  </si>
  <si>
    <t>DISFERCAN SL</t>
  </si>
  <si>
    <t>ISLAS MADEMAR SL</t>
  </si>
  <si>
    <t>GRUPO VERA 2015, SL</t>
  </si>
  <si>
    <t>FABRAM CANARIAS SLU</t>
  </si>
  <si>
    <t>CASH VALVERDE MC, SL</t>
  </si>
  <si>
    <t>TALLERES GALVAN BAEZ SL</t>
  </si>
  <si>
    <t>CB NEXUM INFORMATICA</t>
  </si>
  <si>
    <t>SEÑALIZACIONES MIRANDA, SL</t>
  </si>
  <si>
    <t>FEDERACION INSULAR DE ATLETISMO DE TFE</t>
  </si>
  <si>
    <t>TRUENO IMPORTACION SL</t>
  </si>
  <si>
    <t>DELCASTILLO SUSASESORES SL</t>
  </si>
  <si>
    <t>DIY SECURITY, SL</t>
  </si>
  <si>
    <t>QUATTUOR-F, SL</t>
  </si>
  <si>
    <t>HERNANDEZ SUAREZ, ROSA MARIA</t>
  </si>
  <si>
    <t>TENSER EXPERTOS SL</t>
  </si>
  <si>
    <t>HANDY MEN SL</t>
  </si>
  <si>
    <t>RODRIGUEZ Y VALLADOLID SL</t>
  </si>
  <si>
    <t>SERVICIOS EXTERNOS SERCANEX SL</t>
  </si>
  <si>
    <t>ALTOHORECA SL</t>
  </si>
  <si>
    <t>GROSA SL</t>
  </si>
  <si>
    <t>HERNANDEZ HERRERA, DESIRE DEL ROSARIO</t>
  </si>
  <si>
    <t>CASTILLO SOCAS, OSCAR MANUEL</t>
  </si>
  <si>
    <t>TALLER DE ELECTROMECANICA GUTIVER SL</t>
  </si>
  <si>
    <t>GODOY PEREZ IRIEIX GUZMAN</t>
  </si>
  <si>
    <t>CAYRO OFF ROAD SLU</t>
  </si>
  <si>
    <t>RODRIGUEZ &amp; LARSSON S.C.</t>
  </si>
  <si>
    <t>CONST Y ASFALTOS LOS HORMIGAS TACORONTE</t>
  </si>
  <si>
    <t>TRIFAUNA SL</t>
  </si>
  <si>
    <t>ALONSO GONZALEZ, YASMINA REBECA</t>
  </si>
  <si>
    <t>RODRIGUEZ VARGAS, SOFIA</t>
  </si>
  <si>
    <t>JOBEGELA SLU</t>
  </si>
  <si>
    <t>CAIROS BELLO, BLAS</t>
  </si>
  <si>
    <t>GONZALEZ MORERA, FIDEL</t>
  </si>
  <si>
    <t>MIART CANARIAS SLU</t>
  </si>
  <si>
    <t>CANARY GREEN CORNER, S.L.U</t>
  </si>
  <si>
    <t>GRUPO COMERCIAL E INMOBILIARIO JORDAN SL</t>
  </si>
  <si>
    <t>DIAZ GIL, MARIA ADELA</t>
  </si>
  <si>
    <t>GODOY RODRIGUEZ, CRISTOBAL</t>
  </si>
  <si>
    <t>GONZALEZ GALVAN, JOSE MANUEL</t>
  </si>
  <si>
    <t>CB PABLO IGLESIAS 22</t>
  </si>
  <si>
    <t>TRANSP Y GRUAS CARBALLO IBERICA SL</t>
  </si>
  <si>
    <t>GAMEZ SANTOS, SARAY BIENVENIDA</t>
  </si>
  <si>
    <t>ISAYCA TENERIFE S.L.UNIPERSONAL</t>
  </si>
  <si>
    <t>ARGOMANZA SL</t>
  </si>
  <si>
    <t>EL NERVIOSO SL</t>
  </si>
  <si>
    <t>TRANSPORTES Y GRUAS ISAAC REYES SLU</t>
  </si>
  <si>
    <t>CLICK SOCIAL SL</t>
  </si>
  <si>
    <t>QUALITY DRIVERS SC</t>
  </si>
  <si>
    <t>ACOSTA COUTO, LLARYSA INMACULADA</t>
  </si>
  <si>
    <t>SIROCO INVERSIONES 2015 SL</t>
  </si>
  <si>
    <t>GENERCLIMA 2012 SL</t>
  </si>
  <si>
    <t>GONZALEZ ALBELO,MARIA CANDELARIA</t>
  </si>
  <si>
    <t>GOYMAR SUR SL</t>
  </si>
  <si>
    <t>CGC MAYORISTA DE ENERGIAS SLU</t>
  </si>
  <si>
    <t>ESCUALO FISHING LANZAROTE SL</t>
  </si>
  <si>
    <t>PANKEKE CANARIAS SL</t>
  </si>
  <si>
    <t>LAVADO Y ENGRASE SAN MATIAS SL</t>
  </si>
  <si>
    <t>RODRIGUEZ HERNANDEZ, JAVIER</t>
  </si>
  <si>
    <t>EXCAVACIONES GRAVAL S.L.</t>
  </si>
  <si>
    <t>GRAVAL AG SL</t>
  </si>
  <si>
    <t>CEGAN TENERIFE SLU</t>
  </si>
  <si>
    <t>PULITI, ANDREA</t>
  </si>
  <si>
    <t>CARBALLO GOMEZ, MARIA ELENA</t>
  </si>
  <si>
    <t>CLUB DEPORTIVO EFEUVELITE VOLEY</t>
  </si>
  <si>
    <t>MARTIN GONZALEZ, JESUS GERARDO</t>
  </si>
  <si>
    <t>MARTIN BACALLADO, FRANCISCO JAVIER</t>
  </si>
  <si>
    <t>MESON LOS ANGELES 2023 S.L.</t>
  </si>
  <si>
    <t>YANESHERRERAE SLU</t>
  </si>
  <si>
    <t>CIRIANO MARIN , RAYNHER ESTEBAN</t>
  </si>
  <si>
    <t>AST TRANSITARIOS TENERIFE SL</t>
  </si>
  <si>
    <t>MONTACANARIAS S.C.</t>
  </si>
  <si>
    <t>TELCONET AR SLU</t>
  </si>
  <si>
    <t>CHARCUTERIA CHICHA SL</t>
  </si>
  <si>
    <t>FLORES MARIA DE LEON SL</t>
  </si>
  <si>
    <t>AMAYA CARBALLO, MONTSERRAT</t>
  </si>
  <si>
    <t>MADOZ GRUAS Y TRANSPORTES SL</t>
  </si>
  <si>
    <t>FAÑABE NATURAL SL</t>
  </si>
  <si>
    <t>RENDON PEREZ, JOSE MANUEL</t>
  </si>
  <si>
    <t>LUCTAYA S.L.</t>
  </si>
  <si>
    <t>AGROGANADERIA TECNICA CANARIAS S.L.</t>
  </si>
  <si>
    <t>CANO VICENTE, LORENA</t>
  </si>
  <si>
    <t>RENDON MORENO, TANIA</t>
  </si>
  <si>
    <t>CANINO PEÑA, ABRAHAM</t>
  </si>
  <si>
    <t>ASISTENCIA Y MANTENIMIENTO MEDISTEC SLU</t>
  </si>
  <si>
    <t>GRUPO CYMASOL RENOVABLES</t>
  </si>
  <si>
    <t>DPC CONSTRUCCIONES &amp; ARQUITECTURA SL</t>
  </si>
  <si>
    <t>AUTOCHAPA SENSEI SL</t>
  </si>
  <si>
    <t>SEA SAFARIS LANZAROTE S.L.</t>
  </si>
  <si>
    <t>CULTIVOS Y TECNOLOGIA AGRARIA DE TENERIF</t>
  </si>
  <si>
    <t>RODRIGUEZ GARCIA, FRANCISCO JAVIER</t>
  </si>
  <si>
    <t>RAMOS GONZALO, JESUS</t>
  </si>
  <si>
    <t>CHEN YASEL SL</t>
  </si>
  <si>
    <t>RODRIGUEZ CORONA, NICOLAS</t>
  </si>
  <si>
    <t>IN DA CLUB SC</t>
  </si>
  <si>
    <t>HERNANDEZ VIZCAINO, ALAIN MAHY</t>
  </si>
  <si>
    <t>ASOC CULTURAL COLOMBOFILIA ADEXE</t>
  </si>
  <si>
    <t>ESTACION SERV HERMANOS GONZALEZ SL</t>
  </si>
  <si>
    <t>Nominas -</t>
  </si>
  <si>
    <t>EXPLOTACIONES INDUST LOS RODEOS SL</t>
  </si>
  <si>
    <t>FARCA SA</t>
  </si>
  <si>
    <t>DEL CASTILLO MELIAN, OSCAR</t>
  </si>
  <si>
    <t>ARTURO MARTINEZ SERRA SL</t>
  </si>
  <si>
    <t>FRANCISCO MELIAN, SLU</t>
  </si>
  <si>
    <t>MESA DIAZ, GREGORIO ANTONIO</t>
  </si>
  <si>
    <t>PROYECTOS HERMANOS GONZALEZ GUTIERREZ,SL</t>
  </si>
  <si>
    <t>EXPLOTACIONES INDUST VALLE GUERRA SL</t>
  </si>
  <si>
    <t>GRUAS JUANELE, SL</t>
  </si>
  <si>
    <t>TOPACIO TENERIFE, SA</t>
  </si>
  <si>
    <t>AFONSO GUTIERREZ, JOSE MANUEL</t>
  </si>
  <si>
    <t>COMESA CANARIAS SLU</t>
  </si>
  <si>
    <t>DIST. EXCLUSIVAS SERCOIS SL</t>
  </si>
  <si>
    <t>DOMINGO GONZALEZ RGUEZ SL</t>
  </si>
  <si>
    <t>CENTRO INFANTIL PIN Y PON, SL</t>
  </si>
  <si>
    <t>ISLAS JARDIN, SL</t>
  </si>
  <si>
    <t>LORENZO GARRIDO, JAIME</t>
  </si>
  <si>
    <t>EXCAV ROJAS ALONSO E HIJOS SLU</t>
  </si>
  <si>
    <t>PROYECTOS E INVERSIONES VALTEN SL</t>
  </si>
  <si>
    <t>MARTIN DEL CASTILLO, GILBERTO</t>
  </si>
  <si>
    <t>IZQUIERDO IZQUIERDO, MANUEL JESUS</t>
  </si>
  <si>
    <t>LORENZO GARRIDO, JOSE</t>
  </si>
  <si>
    <t>ASFALTOS SAN JOSE, SL</t>
  </si>
  <si>
    <t>ALBERTO EXPOSITO PEREZ E HIJOS, SL</t>
  </si>
  <si>
    <t>PAVON E HIJOS, SL</t>
  </si>
  <si>
    <t>RODRIGUEZ HERNANDEZ, JOSE RAMON</t>
  </si>
  <si>
    <t>ACOSTA MENDEZ SL</t>
  </si>
  <si>
    <t>DREAMS KITCHEN Y APPLIANCES SLL</t>
  </si>
  <si>
    <t>WOYTOCAN SL</t>
  </si>
  <si>
    <t>HERNANDEZ ALONSO, ESTEBAN</t>
  </si>
  <si>
    <t>SANCHEZ PEREZ, ANTONIO JESUS</t>
  </si>
  <si>
    <t>TRES VIRTUDES SLU</t>
  </si>
  <si>
    <t>DIAZ GARCIA, PEDRO</t>
  </si>
  <si>
    <t>GANDOLAS DE TENERIFE SL</t>
  </si>
  <si>
    <t>ASOC DEPORTIVA AGUERE</t>
  </si>
  <si>
    <t>CARRILLO MIRCHANDANI, JAIME</t>
  </si>
  <si>
    <t>TODOCEMENTO, SLU</t>
  </si>
  <si>
    <t>CONSTRUELEN ICOD, SL</t>
  </si>
  <si>
    <t>GLOBALCAN SISTEMAS SL</t>
  </si>
  <si>
    <t>ASOCIACION CREATIVA</t>
  </si>
  <si>
    <t>ZAFITEN, SL</t>
  </si>
  <si>
    <t>REPAMAGRI SL</t>
  </si>
  <si>
    <t>FOTO MUNDO COLOR, SLL</t>
  </si>
  <si>
    <t>SERVICIOS Y REPRESENTACIONE TAJARASTE,SL</t>
  </si>
  <si>
    <t>REMACAN CANARIAS, SLU</t>
  </si>
  <si>
    <t>PEREZ TORRES, ANTONIO</t>
  </si>
  <si>
    <t>GUILLE Y ARON, SLU</t>
  </si>
  <si>
    <t>RECURSOS MARINOS CANARIAS SA</t>
  </si>
  <si>
    <t>ROJAS GONZALEZ, ROBERTO</t>
  </si>
  <si>
    <t>EST SERVICIOS SANTA ÚRSULA</t>
  </si>
  <si>
    <t>CARGRI, SL</t>
  </si>
  <si>
    <t>HERMANOS DE BELEN CURIA GENERAL</t>
  </si>
  <si>
    <t>JIMENEZ CHICA, SERGIO HELI</t>
  </si>
  <si>
    <t>J.L.FERNANDEZ COGOLLUDO,S.L.</t>
  </si>
  <si>
    <t>RAVELO PERDOMO, CARLOS ENRIQUE</t>
  </si>
  <si>
    <t>EXPOTENERIFE, SL</t>
  </si>
  <si>
    <t>ALUMINIOS CARPAL SL</t>
  </si>
  <si>
    <t>GESTABAC CANARIAS, SL</t>
  </si>
  <si>
    <t>ESTUDIO TAJAQUE SL PROFESIONAL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</si>
</sst>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0.00\ &quot;€&quot;"/>
  </numFmts>
  <fonts count="7" x14ac:knownFonts="1">
    <font>
      <sz val="11"/>
      <color theme="1"/>
      <name val="Aptos Narrow"/>
      <family val="2"/>
      <scheme val="minor"/>
    </font>
    <font>
      <sz val="11"/>
      <color theme="1"/>
      <name val="Aptos Narrow"/>
      <family val="2"/>
      <scheme val="minor"/>
    </font>
    <font>
      <b/>
      <sz val="12"/>
      <color theme="1" tint="4.9989318521683403E-2"/>
      <name val="Arial"/>
      <family val="2"/>
    </font>
    <font>
      <b/>
      <sz val="10"/>
      <color theme="0"/>
      <name val="Arial"/>
      <family val="2"/>
    </font>
    <font>
      <sz val="10"/>
      <color theme="1"/>
      <name val="Arial"/>
    </font>
    <font>
      <b/>
      <sz val="10"/>
      <color theme="1"/>
      <name val="Arial"/>
    </font>
    <font>
      <sz val="10"/>
      <color theme="1"/>
      <name val="Arial"/>
      <family val="2"/>
    </font>
  </fonts>
  <fills count="4">
    <fill>
      <patternFill patternType="none"/>
    </fill>
    <fill>
      <patternFill patternType="gray125"/>
    </fill>
    <fill>
      <patternFill patternType="solid">
        <fgColor theme="7" tint="0.39997558519241921"/>
        <bgColor indexed="64"/>
      </patternFill>
    </fill>
    <fill>
      <patternFill patternType="solid">
        <fgColor theme="1" tint="0.14999847407452621"/>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s>
  <cellStyleXfs count="2">
    <xf numFmtId="0" fontId="0" fillId="0" borderId="0"/>
    <xf numFmtId="44" fontId="1" fillId="0" borderId="0" applyFont="0" applyFill="0" applyBorder="0" applyAlignment="0" applyProtection="0"/>
  </cellStyleXfs>
  <cellXfs count="18">
    <xf numFmtId="0" fontId="0" fillId="0" borderId="0" xfId="0"/>
    <xf numFmtId="14" fontId="0" fillId="0" borderId="0" xfId="0" applyNumberFormat="1"/>
    <xf numFmtId="0" fontId="0" fillId="0" borderId="0" xfId="0" applyAlignment="1">
      <alignment horizontal="left"/>
    </xf>
    <xf numFmtId="164" fontId="0" fillId="0" borderId="0" xfId="0" applyNumberFormat="1"/>
    <xf numFmtId="0" fontId="2" fillId="2" borderId="1" xfId="0" applyFont="1" applyFill="1" applyBorder="1" applyAlignment="1">
      <alignment horizontal="center"/>
    </xf>
    <xf numFmtId="164" fontId="2" fillId="2" borderId="1" xfId="0" applyNumberFormat="1" applyFont="1" applyFill="1" applyBorder="1" applyAlignment="1">
      <alignment horizontal="center"/>
    </xf>
    <xf numFmtId="0" fontId="3" fillId="3" borderId="2" xfId="0" applyFont="1" applyFill="1" applyBorder="1" applyAlignment="1">
      <alignment horizontal="center" vertical="center"/>
    </xf>
    <xf numFmtId="14" fontId="3" fillId="3" borderId="2" xfId="0" applyNumberFormat="1" applyFont="1" applyFill="1" applyBorder="1" applyAlignment="1">
      <alignment horizontal="center" vertical="center"/>
    </xf>
    <xf numFmtId="0" fontId="3" fillId="3" borderId="2" xfId="0" applyFont="1" applyFill="1" applyBorder="1" applyAlignment="1">
      <alignment horizontal="left" vertical="center"/>
    </xf>
    <xf numFmtId="0" fontId="4" fillId="0" borderId="1" xfId="0" applyFont="1" applyBorder="1"/>
    <xf numFmtId="14" fontId="4" fillId="0" borderId="1" xfId="0" applyNumberFormat="1" applyFont="1" applyBorder="1"/>
    <xf numFmtId="0" fontId="4" fillId="0" borderId="1" xfId="0" applyFont="1" applyBorder="1" applyAlignment="1">
      <alignment horizontal="left"/>
    </xf>
    <xf numFmtId="44" fontId="4" fillId="0" borderId="3" xfId="1" applyFont="1" applyBorder="1" applyAlignment="1">
      <alignment horizontal="center"/>
    </xf>
    <xf numFmtId="0" fontId="5" fillId="0" borderId="1" xfId="0" applyFont="1" applyBorder="1" applyAlignment="1">
      <alignment horizontal="center"/>
    </xf>
    <xf numFmtId="164" fontId="5" fillId="0" borderId="1" xfId="0" applyNumberFormat="1" applyFont="1" applyBorder="1" applyAlignment="1">
      <alignment horizontal="center"/>
    </xf>
    <xf numFmtId="0" fontId="6" fillId="0" borderId="1" xfId="0" applyFont="1" applyBorder="1"/>
    <xf numFmtId="0" fontId="0" fillId="0" borderId="0" xfId="0" applyAlignment="1">
      <alignment horizontal="center"/>
    </xf>
    <xf numFmtId="164" fontId="0" fillId="0" borderId="0" xfId="0" applyNumberFormat="1" applyAlignment="1">
      <alignment horizontal="center"/>
    </xf>
  </cellXfs>
  <cellStyles count="2">
    <cellStyle name="Moneda" xfId="1" builtinId="4"/>
    <cellStyle name="Normal" xfId="0" builtinId="0"/>
  </cellStyles>
  <dxfs count="19">
    <dxf>
      <font>
        <b/>
        <sz val="10"/>
        <name val="Arial"/>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z val="10"/>
        <name val="Arial"/>
        <scheme val="none"/>
      </font>
      <numFmt numFmtId="164" formatCode="#,##0.00\ &quot;€&quo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sz val="10"/>
        <name val="Arial"/>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z val="10"/>
        <name val="Arial"/>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z val="10"/>
        <name val="Arial"/>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name val="Arial"/>
        <scheme val="none"/>
      </font>
      <alignment horizontal="center" vertical="bottom" textRotation="0" wrapText="0" indent="0" justifyLastLine="0" shrinkToFit="0" readingOrder="0"/>
      <border diagonalUp="0" diagonalDown="0">
        <left style="thin">
          <color auto="1"/>
        </left>
        <right/>
        <top style="thin">
          <color auto="1"/>
        </top>
        <bottom style="thin">
          <color auto="1"/>
        </bottom>
      </border>
    </dxf>
    <dxf>
      <font>
        <sz val="10"/>
        <name val="Arial"/>
        <scheme val="none"/>
      </font>
      <numFmt numFmtId="0" formatCode="General"/>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sz val="10"/>
        <name val="Arial"/>
        <scheme val="none"/>
      </font>
      <alignment textRotation="0" wrapText="0" indent="0" justifyLastLine="0" shrinkToFit="0" readingOrder="0"/>
      <border diagonalUp="0" diagonalDown="0" outline="0">
        <left style="thin">
          <color auto="1"/>
        </left>
        <right style="thin">
          <color auto="1"/>
        </right>
        <top style="thin">
          <color auto="1"/>
        </top>
        <bottom style="thin">
          <color auto="1"/>
        </bottom>
      </border>
    </dxf>
    <dxf>
      <font>
        <sz val="10"/>
        <name val="Arial"/>
        <scheme val="none"/>
      </font>
      <border diagonalUp="0" diagonalDown="0" outline="0">
        <left style="thin">
          <color auto="1"/>
        </left>
        <right style="thin">
          <color auto="1"/>
        </right>
        <top style="thin">
          <color auto="1"/>
        </top>
        <bottom style="thin">
          <color auto="1"/>
        </bottom>
      </border>
    </dxf>
    <dxf>
      <font>
        <sz val="10"/>
        <name val="Arial"/>
        <scheme val="none"/>
      </font>
      <border diagonalUp="0" diagonalDown="0">
        <left style="thin">
          <color auto="1"/>
        </left>
        <right style="thin">
          <color auto="1"/>
        </right>
        <top style="thin">
          <color auto="1"/>
        </top>
        <bottom style="thin">
          <color auto="1"/>
        </bottom>
        <vertical/>
        <horizontal/>
      </border>
    </dxf>
    <dxf>
      <font>
        <sz val="10"/>
        <name val="Arial"/>
        <scheme val="none"/>
      </font>
      <numFmt numFmtId="19" formatCode="dd/mm/yyyy"/>
      <border diagonalUp="0" diagonalDown="0" outline="0">
        <left style="thin">
          <color auto="1"/>
        </left>
        <right style="thin">
          <color auto="1"/>
        </right>
        <top style="thin">
          <color auto="1"/>
        </top>
        <bottom style="thin">
          <color auto="1"/>
        </bottom>
      </border>
    </dxf>
    <dxf>
      <font>
        <sz val="10"/>
        <name val="Arial"/>
        <scheme val="none"/>
      </font>
      <border diagonalUp="0" diagonalDown="0">
        <left style="thin">
          <color auto="1"/>
        </left>
        <right style="thin">
          <color auto="1"/>
        </right>
        <top style="thin">
          <color auto="1"/>
        </top>
        <bottom style="thin">
          <color auto="1"/>
        </bottom>
        <vertical/>
        <horizontal/>
      </border>
    </dxf>
    <dxf>
      <font>
        <sz val="10"/>
        <name val="Arial"/>
        <scheme val="none"/>
      </font>
      <border diagonalUp="0" diagonalDown="0">
        <left style="thin">
          <color auto="1"/>
        </left>
        <right style="thin">
          <color auto="1"/>
        </right>
        <top style="thin">
          <color auto="1"/>
        </top>
        <bottom style="thin">
          <color auto="1"/>
        </bottom>
        <vertical/>
        <horizontal/>
      </border>
    </dxf>
    <dxf>
      <font>
        <sz val="10"/>
        <name val="Arial"/>
        <scheme val="none"/>
      </font>
      <numFmt numFmtId="19" formatCode="dd/mm/yyyy"/>
      <border diagonalUp="0" diagonalDown="0" outline="0">
        <left style="thin">
          <color auto="1"/>
        </left>
        <right style="thin">
          <color auto="1"/>
        </right>
        <top style="thin">
          <color auto="1"/>
        </top>
        <bottom style="thin">
          <color auto="1"/>
        </bottom>
      </border>
    </dxf>
    <dxf>
      <font>
        <sz val="10"/>
        <name val="Arial"/>
        <scheme val="none"/>
      </font>
      <border diagonalUp="0" diagonalDown="0">
        <left style="thin">
          <color auto="1"/>
        </left>
        <right style="thin">
          <color auto="1"/>
        </right>
        <top style="thin">
          <color auto="1"/>
        </top>
        <bottom style="thin">
          <color auto="1"/>
        </bottom>
        <vertical/>
        <horizontal/>
      </border>
    </dxf>
    <dxf>
      <font>
        <sz val="10"/>
        <name val="Arial"/>
        <scheme val="none"/>
      </font>
      <border diagonalUp="0" diagonalDown="0">
        <left style="thin">
          <color auto="1"/>
        </left>
        <right style="thin">
          <color auto="1"/>
        </right>
        <top style="thin">
          <color auto="1"/>
        </top>
        <bottom style="thin">
          <color auto="1"/>
        </bottom>
        <vertical/>
        <horizontal/>
      </border>
    </dxf>
    <dxf>
      <font>
        <sz val="10"/>
        <name val="Arial"/>
        <scheme val="none"/>
      </font>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0"/>
        <name val="Arial"/>
        <scheme val="none"/>
      </font>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7"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85725</xdr:rowOff>
    </xdr:from>
    <xdr:to>
      <xdr:col>1</xdr:col>
      <xdr:colOff>2255480</xdr:colOff>
      <xdr:row>4</xdr:row>
      <xdr:rowOff>114300</xdr:rowOff>
    </xdr:to>
    <xdr:pic>
      <xdr:nvPicPr>
        <xdr:cNvPr id="2" name="Imagen 1" descr="susasesores.com">
          <a:extLst>
            <a:ext uri="{FF2B5EF4-FFF2-40B4-BE49-F238E27FC236}">
              <a16:creationId xmlns:a16="http://schemas.microsoft.com/office/drawing/2014/main" id="{2E82D622-FD74-47F3-96FA-59A6FF5EC3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85725"/>
          <a:ext cx="267775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95250</xdr:colOff>
      <xdr:row>0</xdr:row>
      <xdr:rowOff>123825</xdr:rowOff>
    </xdr:from>
    <xdr:to>
      <xdr:col>12</xdr:col>
      <xdr:colOff>723900</xdr:colOff>
      <xdr:row>4</xdr:row>
      <xdr:rowOff>85725</xdr:rowOff>
    </xdr:to>
    <xdr:sp macro="" textlink="">
      <xdr:nvSpPr>
        <xdr:cNvPr id="3" name="CuadroTexto 2">
          <a:extLst>
            <a:ext uri="{FF2B5EF4-FFF2-40B4-BE49-F238E27FC236}">
              <a16:creationId xmlns:a16="http://schemas.microsoft.com/office/drawing/2014/main" id="{5B10BFDF-F6B8-495D-B049-465350AE0171}"/>
            </a:ext>
          </a:extLst>
        </xdr:cNvPr>
        <xdr:cNvSpPr txBox="1"/>
      </xdr:nvSpPr>
      <xdr:spPr>
        <a:xfrm>
          <a:off x="4038600" y="123825"/>
          <a:ext cx="12668250" cy="723900"/>
        </a:xfrm>
        <a:prstGeom prst="rect">
          <a:avLst/>
        </a:prstGeom>
        <a:solidFill>
          <a:schemeClr val="accent5">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s-ES" sz="2000" b="1">
              <a:solidFill>
                <a:schemeClr val="tx1"/>
              </a:solidFill>
            </a:rPr>
            <a:t>FACTURACION - SECCION 02</a:t>
          </a:r>
        </a:p>
      </xdr:txBody>
    </xdr:sp>
    <xdr:clientData/>
  </xdr:twoCellAnchor>
  <xdr:twoCellAnchor editAs="oneCell">
    <xdr:from>
      <xdr:col>0</xdr:col>
      <xdr:colOff>95250</xdr:colOff>
      <xdr:row>0</xdr:row>
      <xdr:rowOff>85725</xdr:rowOff>
    </xdr:from>
    <xdr:to>
      <xdr:col>1</xdr:col>
      <xdr:colOff>2255480</xdr:colOff>
      <xdr:row>4</xdr:row>
      <xdr:rowOff>114300</xdr:rowOff>
    </xdr:to>
    <xdr:pic>
      <xdr:nvPicPr>
        <xdr:cNvPr id="4" name="Imagen 3" descr="susasesores.com">
          <a:extLst>
            <a:ext uri="{FF2B5EF4-FFF2-40B4-BE49-F238E27FC236}">
              <a16:creationId xmlns:a16="http://schemas.microsoft.com/office/drawing/2014/main" id="{5F33D8B0-5F64-40B7-B82D-BB88504B10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85725"/>
          <a:ext cx="267775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95250</xdr:colOff>
      <xdr:row>0</xdr:row>
      <xdr:rowOff>123825</xdr:rowOff>
    </xdr:from>
    <xdr:to>
      <xdr:col>12</xdr:col>
      <xdr:colOff>723900</xdr:colOff>
      <xdr:row>4</xdr:row>
      <xdr:rowOff>85725</xdr:rowOff>
    </xdr:to>
    <xdr:sp macro="" textlink="">
      <xdr:nvSpPr>
        <xdr:cNvPr id="5" name="CuadroTexto 4">
          <a:extLst>
            <a:ext uri="{FF2B5EF4-FFF2-40B4-BE49-F238E27FC236}">
              <a16:creationId xmlns:a16="http://schemas.microsoft.com/office/drawing/2014/main" id="{B467DDD1-CCE6-4C6E-AD2F-FCAEE3302B49}"/>
            </a:ext>
          </a:extLst>
        </xdr:cNvPr>
        <xdr:cNvSpPr txBox="1"/>
      </xdr:nvSpPr>
      <xdr:spPr>
        <a:xfrm>
          <a:off x="5438775" y="123825"/>
          <a:ext cx="12668250" cy="723900"/>
        </a:xfrm>
        <a:prstGeom prst="rect">
          <a:avLst/>
        </a:prstGeom>
        <a:solidFill>
          <a:schemeClr val="accent4">
            <a:lumMod val="40000"/>
            <a:lumOff val="6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s-ES" sz="2000" b="1">
              <a:solidFill>
                <a:schemeClr val="tx1"/>
              </a:solidFill>
            </a:rPr>
            <a:t>FACTURACION - NOMINAS MAYO</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R:\LABORAL\LABORAL%20T\Seccion%202\0000%20Tramitar\Listado%20Tramitar%20Seccion%2002.xlsm" TargetMode="External"/><Relationship Id="rId1" Type="http://schemas.openxmlformats.org/officeDocument/2006/relationships/externalLinkPath" Target="file:///R:\LABORAL\LABORAL%20T\Seccion%202\0000%20Tramitar\Listado%20Tramitar%20Seccion%200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os"/>
      <sheetName val="Trabajadores"/>
      <sheetName val="TRAMITAR"/>
      <sheetName val="EXPFACT"/>
      <sheetName val="Conceptos"/>
      <sheetName val="Cobro Contratos"/>
      <sheetName val="Facturar"/>
    </sheetNames>
    <sheetDataSet>
      <sheetData sheetId="0" refreshError="1"/>
      <sheetData sheetId="1" refreshError="1"/>
      <sheetData sheetId="2" refreshError="1"/>
      <sheetData sheetId="3" refreshError="1"/>
      <sheetData sheetId="4" refreshError="1">
        <row r="1">
          <cell r="A1" t="str">
            <v>CONCEPTO</v>
          </cell>
          <cell r="B1" t="str">
            <v>COD</v>
          </cell>
        </row>
        <row r="2">
          <cell r="A2" t="str">
            <v>Modelo 347 -</v>
          </cell>
          <cell r="B2" t="str">
            <v>0.001</v>
          </cell>
        </row>
        <row r="3">
          <cell r="A3" t="str">
            <v>Contabilidad - A cuenta</v>
          </cell>
          <cell r="B3" t="str">
            <v>0.002</v>
          </cell>
        </row>
        <row r="4">
          <cell r="A4" t="str">
            <v>Contabilidad - Trimestral</v>
          </cell>
          <cell r="B4" t="str">
            <v>0.003</v>
          </cell>
        </row>
        <row r="5">
          <cell r="A5" t="str">
            <v>Licencia Conta - facil trimestral</v>
          </cell>
          <cell r="B5" t="str">
            <v>0.005</v>
          </cell>
        </row>
        <row r="6">
          <cell r="A6" t="str">
            <v>Tarifa General Laboral - Servicios Fijos hasta  10 trabajadores</v>
          </cell>
          <cell r="B6" t="str">
            <v>0.006</v>
          </cell>
        </row>
        <row r="7">
          <cell r="A7" t="str">
            <v>Tarifa General Fiscal-  Servicios fijos</v>
          </cell>
          <cell r="B7" t="str">
            <v>0.007</v>
          </cell>
        </row>
        <row r="8">
          <cell r="A8" t="str">
            <v>Tarifa General Contable-  Servicios fijos</v>
          </cell>
          <cell r="B8" t="str">
            <v>0.008</v>
          </cell>
        </row>
        <row r="9">
          <cell r="A9" t="str">
            <v>Tarifa General- Servicios exporádicos</v>
          </cell>
          <cell r="B9" t="str">
            <v>0.009</v>
          </cell>
        </row>
        <row r="10">
          <cell r="A10" t="str">
            <v>Nominas -</v>
          </cell>
          <cell r="B10" t="str">
            <v>0.010</v>
          </cell>
        </row>
        <row r="11">
          <cell r="A11" t="str">
            <v>Contabilidad - Mensual</v>
          </cell>
          <cell r="B11" t="str">
            <v>0.011</v>
          </cell>
        </row>
        <row r="12">
          <cell r="A12" t="str">
            <v>Modelo 111 -</v>
          </cell>
          <cell r="B12" t="str">
            <v>0.012</v>
          </cell>
        </row>
        <row r="13">
          <cell r="A13" t="str">
            <v>Modelo 115</v>
          </cell>
          <cell r="B13" t="str">
            <v>0.013</v>
          </cell>
        </row>
        <row r="14">
          <cell r="A14" t="str">
            <v>Modelo 420</v>
          </cell>
          <cell r="B14" t="str">
            <v>0.014</v>
          </cell>
        </row>
        <row r="15">
          <cell r="A15" t="str">
            <v>Modelo 421</v>
          </cell>
          <cell r="B15" t="str">
            <v>0.015</v>
          </cell>
        </row>
        <row r="16">
          <cell r="A16" t="str">
            <v>Modelo 130</v>
          </cell>
          <cell r="B16" t="str">
            <v>0.016</v>
          </cell>
        </row>
        <row r="17">
          <cell r="A17" t="str">
            <v>Modelo 131</v>
          </cell>
          <cell r="B17" t="str">
            <v>0.017</v>
          </cell>
        </row>
        <row r="18">
          <cell r="A18" t="str">
            <v>Modelo 202</v>
          </cell>
          <cell r="B18" t="str">
            <v>0.018</v>
          </cell>
        </row>
        <row r="19">
          <cell r="A19" t="str">
            <v>Modelo 210- NO Residentes</v>
          </cell>
          <cell r="B19" t="str">
            <v>0.019</v>
          </cell>
        </row>
        <row r="20">
          <cell r="A20" t="str">
            <v>Modelo 202 N -</v>
          </cell>
          <cell r="B20" t="str">
            <v>0.020</v>
          </cell>
        </row>
        <row r="21">
          <cell r="A21" t="str">
            <v>Nominas - Exceso de __ a __</v>
          </cell>
          <cell r="B21" t="str">
            <v>0.021</v>
          </cell>
        </row>
        <row r="22">
          <cell r="A22" t="str">
            <v>gestion de nominas de bajas Paternidad/maternidad</v>
          </cell>
          <cell r="B22" t="str">
            <v>0.022</v>
          </cell>
        </row>
        <row r="23">
          <cell r="A23" t="str">
            <v>Gestión y control mensual de embargos</v>
          </cell>
          <cell r="B23" t="str">
            <v>0.023</v>
          </cell>
        </row>
        <row r="24">
          <cell r="A24" t="str">
            <v>Modelo 417. IGIC Mensual</v>
          </cell>
          <cell r="B24" t="str">
            <v>0.025</v>
          </cell>
        </row>
        <row r="25">
          <cell r="A25" t="str">
            <v>Contrato de Trabajo.</v>
          </cell>
          <cell r="B25" t="str">
            <v>0.027</v>
          </cell>
        </row>
        <row r="26">
          <cell r="A26" t="str">
            <v>Modificación de contrato de trabajo y registro - AMPLIACIONES, REDUCCIONES O TRANSFORMACIONES</v>
          </cell>
          <cell r="B26" t="str">
            <v>0.029</v>
          </cell>
        </row>
        <row r="27">
          <cell r="A27" t="str">
            <v>Prorroga -</v>
          </cell>
          <cell r="B27" t="str">
            <v>0.037</v>
          </cell>
        </row>
        <row r="28">
          <cell r="A28" t="str">
            <v>Contabilidad y Asesoramiento 0700 - MENSUAL</v>
          </cell>
          <cell r="B28" t="str">
            <v>0.038</v>
          </cell>
        </row>
        <row r="29">
          <cell r="A29" t="str">
            <v>Contabilidad y Asesoramiento 1000 - MENSUAL</v>
          </cell>
          <cell r="B29" t="str">
            <v>0.039</v>
          </cell>
        </row>
        <row r="30">
          <cell r="A30" t="str">
            <v>Contabilidad y Asesoramiento 1300 - MENSUAL</v>
          </cell>
          <cell r="B30" t="str">
            <v>0.040</v>
          </cell>
        </row>
        <row r="31">
          <cell r="A31" t="str">
            <v>Contabilidad y Asesoramiento 1600 - MENSUAL</v>
          </cell>
          <cell r="B31" t="str">
            <v>0.041</v>
          </cell>
        </row>
        <row r="32">
          <cell r="A32" t="str">
            <v>Contabilidad y Asesoramiento 1800 - MENSUAL</v>
          </cell>
          <cell r="B32" t="str">
            <v>0.042</v>
          </cell>
        </row>
        <row r="33">
          <cell r="A33" t="str">
            <v>Contabilidad y Asesoramiento 2000 - MENSUAL</v>
          </cell>
          <cell r="B33" t="str">
            <v>0.043</v>
          </cell>
        </row>
        <row r="34">
          <cell r="A34" t="str">
            <v>Contabilidad y Asesoramiento 2200 - MENSUAL</v>
          </cell>
          <cell r="B34" t="str">
            <v>0.044</v>
          </cell>
        </row>
        <row r="35">
          <cell r="A35" t="str">
            <v>Contabilidad y Asesoramiento 2400 - MENSUAL</v>
          </cell>
          <cell r="B35" t="str">
            <v>0.045</v>
          </cell>
        </row>
        <row r="36">
          <cell r="A36" t="str">
            <v>Contabilidad y Asesoramiento 2600 - MENSUAL</v>
          </cell>
          <cell r="B36" t="str">
            <v>0.046</v>
          </cell>
        </row>
        <row r="37">
          <cell r="A37" t="str">
            <v>Contabilidad y Asesoramiento 2800 - MENSUAL</v>
          </cell>
          <cell r="B37" t="str">
            <v>0.047</v>
          </cell>
        </row>
        <row r="38">
          <cell r="A38" t="str">
            <v>Contabilidad y Asesoramiento 3000 - MENSUAL</v>
          </cell>
          <cell r="B38" t="str">
            <v>0.048</v>
          </cell>
        </row>
        <row r="39">
          <cell r="A39" t="str">
            <v>FLC (mensual) -</v>
          </cell>
          <cell r="B39" t="str">
            <v>0.057</v>
          </cell>
        </row>
        <row r="40">
          <cell r="A40" t="str">
            <v>Servicios Prestados a colaboradores (comisiones)</v>
          </cell>
          <cell r="B40" t="str">
            <v>0.059</v>
          </cell>
        </row>
        <row r="41">
          <cell r="A41" t="str">
            <v>LIBRO CONTABILIDAD MANUAL</v>
          </cell>
          <cell r="B41" t="str">
            <v>0.060</v>
          </cell>
        </row>
        <row r="42">
          <cell r="A42" t="str">
            <v>Modelo 415 -</v>
          </cell>
          <cell r="B42" t="str">
            <v>0.066</v>
          </cell>
        </row>
        <row r="43">
          <cell r="A43" t="str">
            <v>Modelo 411 Devolución</v>
          </cell>
          <cell r="B43" t="str">
            <v>0.067</v>
          </cell>
        </row>
        <row r="44">
          <cell r="A44" t="str">
            <v>Modelo 200 - Impuesto Sobre Sociedades 2024</v>
          </cell>
          <cell r="B44" t="str">
            <v>0.068</v>
          </cell>
        </row>
        <row r="45">
          <cell r="A45" t="str">
            <v>Modelo 200-mpuesto Sobre Sociedades - Sin Mov.
PONER 30% DE DESCUENTO - BORRAR ESTO</v>
          </cell>
          <cell r="B45" t="str">
            <v>0.069</v>
          </cell>
        </row>
        <row r="46">
          <cell r="A46" t="str">
            <v>Modelo 425 -</v>
          </cell>
          <cell r="B46" t="str">
            <v>0.070</v>
          </cell>
        </row>
        <row r="47">
          <cell r="A47" t="str">
            <v>Modelo 180 -</v>
          </cell>
          <cell r="B47" t="str">
            <v>0.071</v>
          </cell>
        </row>
        <row r="48">
          <cell r="A48" t="str">
            <v>Calendario Laboral 2026</v>
          </cell>
          <cell r="B48" t="str">
            <v>0.072</v>
          </cell>
        </row>
        <row r="49">
          <cell r="A49" t="str">
            <v>FLC (semestral)</v>
          </cell>
          <cell r="B49" t="str">
            <v>0.073</v>
          </cell>
        </row>
        <row r="50">
          <cell r="A50" t="str">
            <v>Cuentas Anuales - Confeccion y Tramitación RD 1514/2007 
-Balance
-Estado de Cambios patrimonio Neto
-Estado de Cambios Flujo de efectivo
-Memoria Ejercicio</v>
          </cell>
          <cell r="B50" t="str">
            <v>0.075</v>
          </cell>
        </row>
        <row r="51">
          <cell r="A51" t="str">
            <v>Modelo 410 -</v>
          </cell>
          <cell r="B51" t="str">
            <v>0.076</v>
          </cell>
        </row>
        <row r="52">
          <cell r="A52" t="str">
            <v>Declaración Patrimonio -</v>
          </cell>
          <cell r="B52" t="str">
            <v>0.077</v>
          </cell>
        </row>
        <row r="53">
          <cell r="A53" t="str">
            <v>Declaración Renta I.R.P.F. Ejercicio anterior -</v>
          </cell>
          <cell r="B53" t="str">
            <v>0.080</v>
          </cell>
        </row>
        <row r="54">
          <cell r="A54" t="str">
            <v>Comprobación de borrador -</v>
          </cell>
          <cell r="B54" t="str">
            <v>0.081</v>
          </cell>
        </row>
        <row r="55">
          <cell r="A55" t="str">
            <v>Declaración renta complementaria I.R.P.F -</v>
          </cell>
          <cell r="B55" t="str">
            <v>0.082</v>
          </cell>
        </row>
        <row r="56">
          <cell r="A56" t="str">
            <v>Declaración Renta complementaria Patrimonio -</v>
          </cell>
          <cell r="B56" t="str">
            <v>0.083</v>
          </cell>
        </row>
        <row r="57">
          <cell r="A57" t="str">
            <v>Declaracion Renta I.R.P.F. - Ejercicio 2025</v>
          </cell>
          <cell r="B57" t="str">
            <v>0.084</v>
          </cell>
        </row>
        <row r="58">
          <cell r="A58" t="str">
            <v>Cuentas anuales - Subsanación 2º envío falta firmar</v>
          </cell>
          <cell r="B58" t="str">
            <v>0.085</v>
          </cell>
        </row>
        <row r="59">
          <cell r="A59" t="str">
            <v>Modelo 555 -</v>
          </cell>
          <cell r="B59" t="str">
            <v>0.086</v>
          </cell>
        </row>
        <row r="60">
          <cell r="A60" t="str">
            <v>Modelo 557 -</v>
          </cell>
          <cell r="B60" t="str">
            <v>0.087</v>
          </cell>
        </row>
        <row r="61">
          <cell r="A61" t="str">
            <v>Modelo 558 -</v>
          </cell>
          <cell r="B61" t="str">
            <v>0.088</v>
          </cell>
        </row>
        <row r="62">
          <cell r="A62" t="str">
            <v>Modelo 561 -</v>
          </cell>
          <cell r="B62" t="str">
            <v>0.089</v>
          </cell>
        </row>
        <row r="63">
          <cell r="A63" t="str">
            <v>Modelo 562 -</v>
          </cell>
          <cell r="B63" t="str">
            <v>0.090</v>
          </cell>
        </row>
        <row r="64">
          <cell r="A64" t="str">
            <v>Modelo 563 -</v>
          </cell>
          <cell r="B64" t="str">
            <v>0.091</v>
          </cell>
        </row>
        <row r="65">
          <cell r="A65" t="str">
            <v>Modelo 282- Declaración anual informativa ayudas regionales a la inversión RIC</v>
          </cell>
          <cell r="B65" t="str">
            <v>0.092</v>
          </cell>
        </row>
        <row r="66">
          <cell r="A66" t="str">
            <v>RIC Formulario comunicación materialización inversiones anticipadas</v>
          </cell>
          <cell r="B66" t="str">
            <v>0.093</v>
          </cell>
        </row>
        <row r="67">
          <cell r="A67" t="str">
            <v>Nóminas no facturadas en el mes anterior</v>
          </cell>
          <cell r="B67" t="str">
            <v>0.095</v>
          </cell>
        </row>
        <row r="68">
          <cell r="A68" t="str">
            <v>Modelo 412 mensual I.S,</v>
          </cell>
          <cell r="B68" t="str">
            <v>0.096</v>
          </cell>
        </row>
        <row r="69">
          <cell r="A69" t="str">
            <v>Certificado retenciones -</v>
          </cell>
          <cell r="B69" t="str">
            <v>0.100</v>
          </cell>
        </row>
        <row r="70">
          <cell r="A70" t="str">
            <v>Atrasos Convenios -</v>
          </cell>
          <cell r="B70" t="str">
            <v>0.112</v>
          </cell>
        </row>
        <row r="71">
          <cell r="A71" t="str">
            <v>Modelo 046 -</v>
          </cell>
          <cell r="B71" t="str">
            <v>0.115</v>
          </cell>
        </row>
        <row r="72">
          <cell r="A72" t="str">
            <v>Prorrogas+ Registro INEM-</v>
          </cell>
          <cell r="B72" t="str">
            <v>0.117</v>
          </cell>
        </row>
        <row r="73">
          <cell r="A73" t="str">
            <v>Nominas Atrasos -</v>
          </cell>
          <cell r="B73" t="str">
            <v>0.118</v>
          </cell>
        </row>
        <row r="74">
          <cell r="A74" t="str">
            <v>Modelo 369 - Autoliquidación trimestral régimen de IVA especial</v>
          </cell>
          <cell r="B74" t="str">
            <v>0.121</v>
          </cell>
        </row>
        <row r="75">
          <cell r="A75" t="str">
            <v>Modelo 232 -Declaración anual informativa de las operaciones vinculadas.</v>
          </cell>
          <cell r="B75" t="str">
            <v>0.122</v>
          </cell>
        </row>
        <row r="76">
          <cell r="A76" t="str">
            <v>Modelo 583 -  Impuesto sobre el Valor de la Producción de la Energía Eléctrica Autoliquidación y Pagos fraccionados</v>
          </cell>
          <cell r="B76" t="str">
            <v>0.123</v>
          </cell>
        </row>
        <row r="77">
          <cell r="A77" t="str">
            <v>Modelo 184 -</v>
          </cell>
          <cell r="B77" t="str">
            <v>0.143</v>
          </cell>
        </row>
        <row r="78">
          <cell r="A78" t="str">
            <v>Cuentas Anuales - Sin Movimiento</v>
          </cell>
          <cell r="B78" t="str">
            <v>0.175</v>
          </cell>
        </row>
        <row r="79">
          <cell r="A79" t="str">
            <v>Gastos - EMPRESA</v>
          </cell>
          <cell r="B79" t="str">
            <v>0.200</v>
          </cell>
        </row>
        <row r="80">
          <cell r="A80" t="str">
            <v>Gastos - Cuentas Anuales 2024 Registro Mercantil, impresos, presentación</v>
          </cell>
          <cell r="B80" t="str">
            <v>0.201</v>
          </cell>
        </row>
        <row r="81">
          <cell r="A81" t="str">
            <v>Tasas Registro Mercantil por presentación Libro Contable Obligatorio Artículo 25 Codigo Comercio</v>
          </cell>
          <cell r="B81" t="str">
            <v>0.202</v>
          </cell>
        </row>
        <row r="82">
          <cell r="A82" t="str">
            <v>Suplido -</v>
          </cell>
          <cell r="B82" t="str">
            <v>0.203</v>
          </cell>
        </row>
        <row r="83">
          <cell r="A83" t="str">
            <v>Confección y presentación libro contable 2023 y tasas de presentación al Registro Mercantil -Obligatorio Artículo 25 Codigo Comercio</v>
          </cell>
          <cell r="B83" t="str">
            <v>0.204</v>
          </cell>
        </row>
        <row r="84">
          <cell r="A84" t="str">
            <v>Modelo 218 -</v>
          </cell>
          <cell r="B84" t="str">
            <v>0.218</v>
          </cell>
        </row>
        <row r="85">
          <cell r="A85" t="str">
            <v>Descuento .-</v>
          </cell>
          <cell r="B85" t="str">
            <v>0.220</v>
          </cell>
        </row>
        <row r="86">
          <cell r="A86" t="str">
            <v>Pagas Extras -</v>
          </cell>
          <cell r="B86" t="str">
            <v>0.221</v>
          </cell>
        </row>
        <row r="87">
          <cell r="A87" t="str">
            <v>Pagas Extras con embargo</v>
          </cell>
          <cell r="B87" t="str">
            <v>0.222</v>
          </cell>
        </row>
        <row r="88">
          <cell r="A88" t="str">
            <v>Modelo 416 -</v>
          </cell>
          <cell r="B88" t="str">
            <v>0.223</v>
          </cell>
        </row>
        <row r="89">
          <cell r="A89" t="str">
            <v>Planes de pensiones anexo de contrato</v>
          </cell>
          <cell r="B89" t="str">
            <v>0.224</v>
          </cell>
        </row>
        <row r="90">
          <cell r="A90" t="str">
            <v>Confección mensual Plan Pensiones VIDACAIXA</v>
          </cell>
          <cell r="B90" t="str">
            <v>0.225</v>
          </cell>
        </row>
        <row r="91">
          <cell r="A91" t="str">
            <v>Modelo 182 -</v>
          </cell>
          <cell r="B91" t="str">
            <v>0.238</v>
          </cell>
        </row>
        <row r="92">
          <cell r="A92" t="str">
            <v>Contratos de trabajo y Registro Inem -</v>
          </cell>
          <cell r="B92" t="str">
            <v>0.250</v>
          </cell>
        </row>
        <row r="93">
          <cell r="A93" t="str">
            <v>Alta trabajador TGSS. Por practicas no remuneradas</v>
          </cell>
          <cell r="B93" t="str">
            <v>0.251</v>
          </cell>
        </row>
        <row r="94">
          <cell r="A94" t="str">
            <v>Modelo 190 según nº trabajadores -</v>
          </cell>
          <cell r="B94" t="str">
            <v>0.260</v>
          </cell>
        </row>
        <row r="95">
          <cell r="A95" t="str">
            <v>Modelo 345 de resumen de fondo de pensiones.</v>
          </cell>
          <cell r="B95" t="str">
            <v>0.261</v>
          </cell>
        </row>
        <row r="96">
          <cell r="A96" t="str">
            <v>Solicitud Subvención Gobierno de Canarias dirigida al mantenimiento de la actividad  de personas trabajadoras autónomas y pequeñas y medianas empresas, de los sectores más afectados por la crisis derivada de la COVID-19 19, durante 7 meses.Decreto Ley 2/2021, 1 de marzo 2021.
A) Tramites realizados:
1. Solicitud modelo memoria de 7 páginas.
2. Verificación de estar al corriente en todos organismos.
3. Aportar, modelos 400, 420 de 2019 y 2020.
4. Alta terceros para cobro por banco.
5. Modelos 425, de2019 y 2020.
6. Modelos 130 ó 131 si corresponde.
7. Informe de plantilla de persona emitido por Tesorería S. Social.
B) Se realizará seguimiento de la subvención hasta la resolución de la misma. 
C) Una vez que la resolución sea favorable, se tramitará la justificación de la subvención y se facturará el 50% del importe actual del trámite.
Esta factura se remesará el día 25 de marzo del 2021</v>
          </cell>
          <cell r="B96" t="str">
            <v>0.300</v>
          </cell>
        </row>
        <row r="97">
          <cell r="A97" t="str">
            <v>Ayudas al Sector del Transporte por carreteras
En base al RDL 6/2022. (BOE30032022), aquellas empresas, que cumplan los siguientes requisitos:
1. Que la empresa tenga la actividad de transporte de alta.
2. Que los vehículos de los que disponga la empresa tengan autorización de transporte VDE, VT, VTC, VSE, MDPE.
3. Que a fecha 29 marzo 2022, se encuentren en alta en el Registro de Empresas y Actividades de Transporte.
Cumpliendo con estos requisitos y tras verificar que la empresa se encuentra al corriente con las Administraciones Públicas y verificado las tarjetas de transporte, se ha procedido a la presentación de la solicitud en plazo y forma.
Fecha de presentación: 04 abril de 2022.
Esta factura será remesada en día 25/04/2022, por cuenta bancaria habitual.</v>
          </cell>
          <cell r="B97" t="str">
            <v>0.302</v>
          </cell>
        </row>
        <row r="98">
          <cell r="A98" t="str">
            <v>V.0.</v>
          </cell>
          <cell r="B98" t="str">
            <v>1.000</v>
          </cell>
        </row>
        <row r="99">
          <cell r="A99" t="str">
            <v>Renovación Marca -</v>
          </cell>
          <cell r="B99" t="str">
            <v>1.002</v>
          </cell>
        </row>
        <row r="100">
          <cell r="A100" t="str">
            <v>Escritos Alegaciones -</v>
          </cell>
          <cell r="B100" t="str">
            <v>1.004</v>
          </cell>
        </row>
        <row r="101">
          <cell r="A101" t="str">
            <v>Envío correo / sms certificado</v>
          </cell>
          <cell r="B101" t="str">
            <v>1.005</v>
          </cell>
        </row>
        <row r="102">
          <cell r="A102" t="str">
            <v>Alta local/actividad -
- Modelo 036 alta Agencia Tributaria
- Modelo 400 alta Administración Tributaria Canaria
- Modelo TA7 alta Seguridad Social
- Libro visitas
- Apertura de centro
- Hojas de reclamaciones</v>
          </cell>
          <cell r="B102" t="str">
            <v>1.006</v>
          </cell>
        </row>
        <row r="103">
          <cell r="A103" t="str">
            <v>Baja actividad - 
Modelo 036 Agencia Tributaria
Modelo 400 Consejeria 
Modelo TA7 Seguridad Social</v>
          </cell>
          <cell r="B103" t="str">
            <v>1.008</v>
          </cell>
        </row>
        <row r="104">
          <cell r="A104" t="str">
            <v>Subrrogación contratos</v>
          </cell>
          <cell r="B104" t="str">
            <v>1.011</v>
          </cell>
        </row>
        <row r="105">
          <cell r="A105" t="str">
            <v>SANIDAD -</v>
          </cell>
          <cell r="B105" t="str">
            <v>1.012</v>
          </cell>
        </row>
        <row r="106">
          <cell r="A106" t="str">
            <v>Burofax Reclamación previa vía judicial -</v>
          </cell>
          <cell r="B106" t="str">
            <v>1.013</v>
          </cell>
        </row>
        <row r="107">
          <cell r="A107" t="str">
            <v>Solicitudes varias Catastro -</v>
          </cell>
          <cell r="B107" t="str">
            <v>1.015</v>
          </cell>
        </row>
        <row r="108">
          <cell r="A108" t="str">
            <v>Sanidad Comunicación Previa Empresas alimentarias de Comercio Menor Registro autonómico -</v>
          </cell>
          <cell r="B108" t="str">
            <v>1.017</v>
          </cell>
        </row>
        <row r="109">
          <cell r="A109" t="str">
            <v>Factura Electrónica</v>
          </cell>
          <cell r="B109" t="str">
            <v>1.019</v>
          </cell>
        </row>
        <row r="110">
          <cell r="A110" t="str">
            <v>Gestión documental del Portal de Acceso del Empleado "Bilky"</v>
          </cell>
          <cell r="B110" t="str">
            <v>1.022</v>
          </cell>
        </row>
        <row r="111">
          <cell r="A111" t="str">
            <v>Alta empresa - 
Mod 036 alta Agencia Tributaria
Mod 400 alta Consejeria 
Mod TA521 alta autónomo Seguridad Social
Ta7 alta en la Seguridad Social
Apertura de centro
Hojas de Reclamaciones
Libro de visitas</v>
          </cell>
          <cell r="B111" t="str">
            <v>1.023</v>
          </cell>
        </row>
        <row r="112">
          <cell r="A112" t="str">
            <v>Baja empresa -
Modelo 036 cese AGENCIA TRIBUTARIA 
Modelo 400 cese CONSEJERIA 
Modelo Ta7 cese SEGURIDAD SOCIAL
Modelo Ta521 cese AUTONOMO</v>
          </cell>
          <cell r="B112" t="str">
            <v>1.024</v>
          </cell>
        </row>
        <row r="113">
          <cell r="A113" t="str">
            <v>Camara de comercio -</v>
          </cell>
          <cell r="B113" t="str">
            <v>1.025</v>
          </cell>
        </row>
        <row r="114">
          <cell r="A114" t="str">
            <v>Registro empresas acreditadas(REA) INSCRIPCION / RENOVACION
-Solicitud certificados compañias Prevención
-Memoria y datos adjuntos
-Presentación solicitud telemática</v>
          </cell>
          <cell r="B114" t="str">
            <v>1.030</v>
          </cell>
        </row>
        <row r="115">
          <cell r="A115" t="str">
            <v>Registro Empresas Acreditadas (REA)- Certificado</v>
          </cell>
          <cell r="B115" t="str">
            <v>1.031</v>
          </cell>
        </row>
        <row r="116">
          <cell r="A116" t="str">
            <v>Renovacion Registro empresa Acreditadas (REA)
-Solicitud certificados compañias Prevención
-Memoria y datos adjuntos
-Presentación solicitud telemática</v>
          </cell>
          <cell r="B116" t="str">
            <v>1.032</v>
          </cell>
        </row>
        <row r="117">
          <cell r="A117" t="str">
            <v>Registro Empresas Acreditadas (REA) - RENOVACION</v>
          </cell>
          <cell r="B117" t="str">
            <v>1.034</v>
          </cell>
        </row>
        <row r="118">
          <cell r="A118" t="str">
            <v>Máquinas Recreativas -</v>
          </cell>
          <cell r="B118" t="str">
            <v>1.035</v>
          </cell>
        </row>
        <row r="119">
          <cell r="A119" t="str">
            <v>Parte de Accidente -</v>
          </cell>
          <cell r="B119" t="str">
            <v>1.036</v>
          </cell>
        </row>
        <row r="120">
          <cell r="A120" t="str">
            <v>ESCRITO PROCESO MONITORIO -</v>
          </cell>
          <cell r="B120" t="str">
            <v>1.037</v>
          </cell>
        </row>
        <row r="121">
          <cell r="A121" t="str">
            <v>Proceso Monitorio - (0-5000)</v>
          </cell>
          <cell r="B121" t="str">
            <v>1.038</v>
          </cell>
        </row>
        <row r="122">
          <cell r="A122" t="str">
            <v>Proceso Monitorio - (5000-10000)</v>
          </cell>
          <cell r="B122" t="str">
            <v>1.039</v>
          </cell>
        </row>
        <row r="123">
          <cell r="A123" t="str">
            <v>Proceso Monitorio - (10000-20000)</v>
          </cell>
          <cell r="B123" t="str">
            <v>1.040</v>
          </cell>
        </row>
        <row r="124">
          <cell r="A124" t="str">
            <v>Proceso Monitorio - (20000-30000)</v>
          </cell>
          <cell r="B124" t="str">
            <v>1.041</v>
          </cell>
        </row>
        <row r="125">
          <cell r="A125" t="str">
            <v>Confección factura de 1 a 30 minutos</v>
          </cell>
          <cell r="B125" t="str">
            <v>1.042</v>
          </cell>
        </row>
        <row r="126">
          <cell r="A126" t="str">
            <v>Confección factura de 1 a 2 horas</v>
          </cell>
          <cell r="B126" t="str">
            <v>1.043</v>
          </cell>
        </row>
        <row r="127">
          <cell r="A127" t="str">
            <v>Confección factura de 2 a 4 horas</v>
          </cell>
          <cell r="B127" t="str">
            <v>1.044</v>
          </cell>
        </row>
        <row r="128">
          <cell r="A128" t="str">
            <v>Registro Mercantil -</v>
          </cell>
          <cell r="B128" t="str">
            <v>1.045</v>
          </cell>
        </row>
        <row r="129">
          <cell r="A129" t="str">
            <v>Registro unico de alquiler de corta duración, en el Registro de la Propiedad</v>
          </cell>
          <cell r="B129" t="str">
            <v>1.046</v>
          </cell>
        </row>
        <row r="130">
          <cell r="A130" t="str">
            <v>Comunicación varias-</v>
          </cell>
          <cell r="B130" t="str">
            <v>1.047</v>
          </cell>
        </row>
        <row r="131">
          <cell r="A131" t="str">
            <v>Declaración responsable alquiler vacacional Gobierno de Canarias</v>
          </cell>
          <cell r="B131" t="str">
            <v>1.048</v>
          </cell>
        </row>
        <row r="132">
          <cell r="A132" t="str">
            <v>Registro de la Propiedad -</v>
          </cell>
          <cell r="B132" t="str">
            <v>1.049</v>
          </cell>
        </row>
        <row r="133">
          <cell r="A133" t="str">
            <v>Sistema de seguridad con certificado Wildcard (FNMT). Coste compartido 50% asesoría y 50% cliente.</v>
          </cell>
          <cell r="B133" t="str">
            <v>1.057</v>
          </cell>
        </row>
        <row r="134">
          <cell r="A134" t="str">
            <v>Varios</v>
          </cell>
          <cell r="B134" t="str">
            <v>1.058</v>
          </cell>
        </row>
        <row r="135">
          <cell r="A135" t="str">
            <v>Pre Contrato -</v>
          </cell>
          <cell r="B135" t="str">
            <v>1.059</v>
          </cell>
        </row>
        <row r="136">
          <cell r="A136" t="str">
            <v>Burofax Correo -</v>
          </cell>
          <cell r="B136" t="str">
            <v>1.079</v>
          </cell>
        </row>
        <row r="137">
          <cell r="A137" t="str">
            <v>Modelo 901-902-903 (catastro) -</v>
          </cell>
          <cell r="B137" t="str">
            <v>1.080</v>
          </cell>
        </row>
        <row r="138">
          <cell r="A138" t="str">
            <v>Hojas de Reclamacion consumo -</v>
          </cell>
          <cell r="B138" t="str">
            <v>1.082</v>
          </cell>
        </row>
        <row r="139">
          <cell r="A139" t="str">
            <v>Libros de Socios: confección, presentación</v>
          </cell>
          <cell r="B139" t="str">
            <v>1.083</v>
          </cell>
        </row>
        <row r="140">
          <cell r="A140" t="str">
            <v>Libros de actas -</v>
          </cell>
          <cell r="B140" t="str">
            <v>1.084</v>
          </cell>
        </row>
        <row r="141">
          <cell r="A141" t="str">
            <v>Turismo: alta, sellado y confección de lista de precio -</v>
          </cell>
          <cell r="B141" t="str">
            <v>1.087</v>
          </cell>
        </row>
        <row r="142">
          <cell r="A142" t="str">
            <v>Libro de Igic -</v>
          </cell>
          <cell r="B142" t="str">
            <v>1.113</v>
          </cell>
        </row>
        <row r="143">
          <cell r="A143" t="str">
            <v>Alta Industria -</v>
          </cell>
          <cell r="B143" t="str">
            <v>1.124</v>
          </cell>
        </row>
        <row r="144">
          <cell r="A144" t="str">
            <v>Proceso Monitorio - (10000-20000)</v>
          </cell>
          <cell r="B144" t="str">
            <v>1.136</v>
          </cell>
        </row>
        <row r="145">
          <cell r="A145" t="str">
            <v>Acuerdo transaccional despido</v>
          </cell>
          <cell r="B145" t="str">
            <v>1.155</v>
          </cell>
        </row>
        <row r="146">
          <cell r="A146" t="str">
            <v>Comunicación carta de despido -</v>
          </cell>
          <cell r="B146" t="str">
            <v>1.156</v>
          </cell>
        </row>
        <row r="147">
          <cell r="A147" t="str">
            <v>Comunicación Inicio expte. Sancionador</v>
          </cell>
          <cell r="B147" t="str">
            <v>1.157</v>
          </cell>
        </row>
        <row r="148">
          <cell r="A148" t="str">
            <v>Certificado últimas voluntades -</v>
          </cell>
          <cell r="B148" t="str">
            <v>1.158</v>
          </cell>
        </row>
        <row r="149">
          <cell r="A149" t="str">
            <v>Accidente de trabajo  de  a fecha           Confección y envío a la Mutua y  Autoridad Laboral.</v>
          </cell>
          <cell r="B149" t="str">
            <v>1.159</v>
          </cell>
        </row>
        <row r="150">
          <cell r="A150" t="str">
            <v>Consultas varias -</v>
          </cell>
          <cell r="B150" t="str">
            <v>1.160</v>
          </cell>
        </row>
        <row r="151">
          <cell r="A151" t="str">
            <v>Accidente de Trabajo Com. Urgentes 24h</v>
          </cell>
          <cell r="B151" t="str">
            <v>1.161</v>
          </cell>
        </row>
        <row r="152">
          <cell r="A152" t="str">
            <v>Libro de gastos e ingresos -</v>
          </cell>
          <cell r="B152" t="str">
            <v>1.174</v>
          </cell>
        </row>
        <row r="153">
          <cell r="A153" t="str">
            <v>Comunicación de vacaciones -</v>
          </cell>
          <cell r="B153" t="str">
            <v>1.180</v>
          </cell>
        </row>
        <row r="154">
          <cell r="A154" t="str">
            <v>Comunicación no supera periodo de prueba -</v>
          </cell>
          <cell r="B154" t="str">
            <v>1.182</v>
          </cell>
        </row>
        <row r="155">
          <cell r="A155" t="str">
            <v>Comunicación finalización trabajos/preaviso -</v>
          </cell>
          <cell r="B155" t="str">
            <v>1.187</v>
          </cell>
        </row>
        <row r="156">
          <cell r="A156" t="str">
            <v>Pago único -</v>
          </cell>
          <cell r="B156" t="str">
            <v>1.204</v>
          </cell>
        </row>
        <row r="157">
          <cell r="A157" t="str">
            <v>Solicitud Patentes y Marcas -</v>
          </cell>
          <cell r="B157" t="str">
            <v>1.219</v>
          </cell>
        </row>
        <row r="158">
          <cell r="A158" t="str">
            <v>Comunicación amonestación -</v>
          </cell>
          <cell r="B158" t="str">
            <v>1.235</v>
          </cell>
        </row>
        <row r="159">
          <cell r="A159" t="str">
            <v>Nomina coste -</v>
          </cell>
          <cell r="B159" t="str">
            <v>1.237</v>
          </cell>
        </row>
        <row r="160">
          <cell r="A160" t="str">
            <v>Solicitud residuos no peligrosos (NIMA)-</v>
          </cell>
          <cell r="B160" t="str">
            <v>1.243</v>
          </cell>
        </row>
        <row r="161">
          <cell r="A161" t="str">
            <v>Registro de contrato de trabajo en INEM -</v>
          </cell>
          <cell r="B161" t="str">
            <v>1.248</v>
          </cell>
        </row>
        <row r="162">
          <cell r="A162" t="str">
            <v>Anulación contratos trabajo -</v>
          </cell>
          <cell r="B162" t="str">
            <v>1.252</v>
          </cell>
        </row>
        <row r="163">
          <cell r="A163" t="str">
            <v>Modificación registro contrato de trabajo -</v>
          </cell>
          <cell r="B163" t="str">
            <v>1.253</v>
          </cell>
        </row>
        <row r="164">
          <cell r="A164" t="str">
            <v>Certificado de inscripción de apoderamiento Apud Acta en el Archivo Electronico de Apoderamientos judiciales</v>
          </cell>
          <cell r="B164" t="str">
            <v>10.002</v>
          </cell>
        </row>
        <row r="165">
          <cell r="A165" t="str">
            <v>Ampliación de capital -</v>
          </cell>
          <cell r="B165" t="str">
            <v>10.040</v>
          </cell>
        </row>
        <row r="166">
          <cell r="A166" t="str">
            <v>Ampliación objeto social -</v>
          </cell>
          <cell r="B166" t="str">
            <v>10.041</v>
          </cell>
        </row>
        <row r="167">
          <cell r="A167" t="str">
            <v>Cambio administrador -</v>
          </cell>
          <cell r="B167" t="str">
            <v>10.042</v>
          </cell>
        </row>
        <row r="168">
          <cell r="A168" t="str">
            <v>Cambio domicilio social -</v>
          </cell>
          <cell r="B168" t="str">
            <v>10.043</v>
          </cell>
        </row>
        <row r="169">
          <cell r="A169" t="str">
            <v>Cambio denominación social -</v>
          </cell>
          <cell r="B169" t="str">
            <v>10.044</v>
          </cell>
        </row>
        <row r="170">
          <cell r="A170" t="str">
            <v>Compra-venta participaciones -</v>
          </cell>
          <cell r="B170" t="str">
            <v>10.047</v>
          </cell>
        </row>
        <row r="171">
          <cell r="A171" t="str">
            <v>Disolución y liquidación -</v>
          </cell>
          <cell r="B171" t="str">
            <v>10.048</v>
          </cell>
        </row>
        <row r="172">
          <cell r="A172" t="str">
            <v>Notaria -</v>
          </cell>
          <cell r="B172" t="str">
            <v>10.059</v>
          </cell>
        </row>
        <row r="173">
          <cell r="A173" t="str">
            <v>Registro Mercantil denominación nombre -</v>
          </cell>
          <cell r="B173" t="str">
            <v>10.099</v>
          </cell>
        </row>
        <row r="174">
          <cell r="A174" t="str">
            <v>Contrato Privado -</v>
          </cell>
          <cell r="B174" t="str">
            <v>10.133</v>
          </cell>
        </row>
        <row r="175">
          <cell r="A175" t="str">
            <v>Constitución entidad mercantil -</v>
          </cell>
          <cell r="B175" t="str">
            <v>10.140</v>
          </cell>
        </row>
        <row r="176">
          <cell r="A176" t="str">
            <v>Tarjertas transporte -</v>
          </cell>
          <cell r="B176" t="str">
            <v>11.041</v>
          </cell>
        </row>
        <row r="177">
          <cell r="A177" t="str">
            <v>Tarjetas transporte renovación -</v>
          </cell>
          <cell r="B177" t="str">
            <v>11.104</v>
          </cell>
        </row>
        <row r="178">
          <cell r="A178" t="str">
            <v>Baja de vehiculo -</v>
          </cell>
          <cell r="B178" t="str">
            <v>11.123</v>
          </cell>
        </row>
        <row r="179">
          <cell r="A179" t="str">
            <v>Visado -</v>
          </cell>
          <cell r="B179" t="str">
            <v>11.246</v>
          </cell>
        </row>
        <row r="180">
          <cell r="A180" t="str">
            <v>Certificados varios -</v>
          </cell>
          <cell r="B180" t="str">
            <v>12.025</v>
          </cell>
        </row>
        <row r="181">
          <cell r="A181" t="str">
            <v>Devolución de ingresos indebidos -</v>
          </cell>
          <cell r="B181" t="str">
            <v>12.029</v>
          </cell>
        </row>
        <row r="182">
          <cell r="A182" t="str">
            <v>Licencia -</v>
          </cell>
          <cell r="B182" t="str">
            <v>12.034</v>
          </cell>
        </row>
        <row r="183">
          <cell r="A183" t="str">
            <v>Informe urbanístico -</v>
          </cell>
          <cell r="B183" t="str">
            <v>12.106</v>
          </cell>
        </row>
        <row r="184">
          <cell r="A184" t="str">
            <v>Licencia de apertura aportación -</v>
          </cell>
          <cell r="B184" t="str">
            <v>12.108</v>
          </cell>
        </row>
        <row r="185">
          <cell r="A185" t="str">
            <v>Escrito alegaciones -</v>
          </cell>
          <cell r="B185" t="str">
            <v>12.137</v>
          </cell>
        </row>
        <row r="186">
          <cell r="A186" t="str">
            <v>Licencia Apertura transmisión -</v>
          </cell>
          <cell r="B186" t="str">
            <v>12.201</v>
          </cell>
        </row>
        <row r="187">
          <cell r="A187" t="str">
            <v>Informes BANCOS -</v>
          </cell>
          <cell r="B187" t="str">
            <v>13.007</v>
          </cell>
        </row>
        <row r="188">
          <cell r="A188" t="str">
            <v>Acta Constitución -</v>
          </cell>
          <cell r="B188" t="str">
            <v>13.008</v>
          </cell>
        </row>
        <row r="189">
          <cell r="A189" t="str">
            <v>Acta aprobación Cuentas Anuales -</v>
          </cell>
          <cell r="B189" t="str">
            <v>13.009</v>
          </cell>
        </row>
        <row r="190">
          <cell r="A190" t="str">
            <v>Acta otras -</v>
          </cell>
          <cell r="B190" t="str">
            <v>13.010</v>
          </cell>
        </row>
        <row r="191">
          <cell r="A191" t="str">
            <v>Informes/Cierres/Varios -</v>
          </cell>
          <cell r="B191" t="str">
            <v>13.012</v>
          </cell>
        </row>
        <row r="192">
          <cell r="A192" t="str">
            <v>Supervisión de Libros de IGIC trimestral -</v>
          </cell>
          <cell r="B192" t="str">
            <v>13.013</v>
          </cell>
        </row>
        <row r="193">
          <cell r="A193" t="str">
            <v>2º Informe verificación correcciones cierre -</v>
          </cell>
          <cell r="B193" t="str">
            <v>13.014</v>
          </cell>
        </row>
        <row r="194">
          <cell r="A194" t="str">
            <v>Cierre contable -</v>
          </cell>
          <cell r="B194" t="str">
            <v>13.019</v>
          </cell>
        </row>
        <row r="195">
          <cell r="A195" t="str">
            <v>Trámites varios autónomos</v>
          </cell>
          <cell r="B195" t="str">
            <v>13.058</v>
          </cell>
        </row>
        <row r="196">
          <cell r="A196" t="str">
            <v>Cierre contable trimestral -</v>
          </cell>
          <cell r="B196" t="str">
            <v>13.230</v>
          </cell>
        </row>
        <row r="197">
          <cell r="A197" t="str">
            <v>Comunicación de embargo - Nombre      Organismo</v>
          </cell>
          <cell r="B197" t="str">
            <v>14.030</v>
          </cell>
        </row>
        <row r="198">
          <cell r="A198" t="str">
            <v>Embargos de credito (departamento de contabilidad eliminar texto)</v>
          </cell>
          <cell r="B198" t="str">
            <v>14.031</v>
          </cell>
        </row>
        <row r="199">
          <cell r="A199" t="str">
            <v>Encuestas varias -</v>
          </cell>
          <cell r="B199" t="str">
            <v>15.032</v>
          </cell>
        </row>
        <row r="200">
          <cell r="A200" t="str">
            <v>Encuesta indice costes laborales -</v>
          </cell>
          <cell r="B200" t="str">
            <v>15.109</v>
          </cell>
        </row>
        <row r="201">
          <cell r="A201" t="str">
            <v>Encuesta sector servicios -</v>
          </cell>
          <cell r="B201" t="str">
            <v>15.176</v>
          </cell>
        </row>
        <row r="202">
          <cell r="A202" t="str">
            <v>Encuesta industria construcción -</v>
          </cell>
          <cell r="B202" t="str">
            <v>15.216</v>
          </cell>
        </row>
        <row r="203">
          <cell r="A203" t="str">
            <v>Encuestra estructura salarial -</v>
          </cell>
          <cell r="B203" t="str">
            <v>15.245</v>
          </cell>
        </row>
        <row r="204">
          <cell r="A204" t="str">
            <v>Pre.contrato -</v>
          </cell>
          <cell r="B204" t="str">
            <v>16.114</v>
          </cell>
        </row>
        <row r="205">
          <cell r="A205" t="str">
            <v>Extranjero solicitud -</v>
          </cell>
          <cell r="B205" t="str">
            <v>16.129</v>
          </cell>
        </row>
        <row r="206">
          <cell r="A206" t="str">
            <v>Regularización extranjeros -</v>
          </cell>
          <cell r="B206" t="str">
            <v>16.161</v>
          </cell>
        </row>
        <row r="207">
          <cell r="A207" t="str">
            <v>Escrito baja trabajador regularizado -</v>
          </cell>
          <cell r="B207" t="str">
            <v>16.171</v>
          </cell>
        </row>
        <row r="208">
          <cell r="A208" t="str">
            <v>Recurso ordinario  - Minimo</v>
          </cell>
          <cell r="B208" t="str">
            <v>16.250</v>
          </cell>
        </row>
        <row r="209">
          <cell r="A209" t="str">
            <v>Solicitud de Subvención Empleo Autónomo del Gobierno de Canarias, Publicado en el Boletín Oficial de Canarias el 10/02/2025 la Orden 36/2025, de 27 de enero, por la que se aprueban las Bases Reguladoras. El extracto de la convocatoria se publica en el Boletín Oficial de Canarias nº 60, de 26/03/2025. Solicitud presentada 27/03/2025 y se acompaña los documentos que se detallas a continuación:
-Certificados IAE
-Certificados de estar al corriente 
-Vida laboral
-Informe de datos del autonomo
-Certificado de actividades en TGSS
-Alta de terceros</v>
          </cell>
          <cell r="B209" t="str">
            <v>17.001</v>
          </cell>
        </row>
        <row r="210">
          <cell r="A210" t="str">
            <v>Actualización de la base de cotización y cuota del RETA según el Real Decreto Ley 13/2022 del 26 de julio. Trámites realizados:
1. Consulta y estudio de la renta 2024 y estimación actual 2025. 
2. Consulta de la base de cotización y cuota actual 2025.
3. Cálculo de rendimiento neto a informar a la TGSS.
4. Modificación de base de cotización e información del rendimiento neto 2025.</v>
          </cell>
          <cell r="B210" t="str">
            <v>17.002</v>
          </cell>
        </row>
        <row r="211">
          <cell r="A211" t="str">
            <v>Actualización de la base de cotización y cuota del RETA según el Real Decreto Ley 13/2022 del 26 de julio. Trámites realizados:
1. Consulta y estudio de la renta 2024 y estimación actual 2025. 
2. Consulta de la base de cotización y cuota actual 2025.
3. Cálculo de rendimiento neto a informar a la TGSS.</v>
          </cell>
          <cell r="B211" t="str">
            <v>17.005</v>
          </cell>
        </row>
        <row r="212">
          <cell r="A212" t="str">
            <v xml:space="preserve">Subvenciones Iniciativas para el mantenimiento del autoempleo y del empleo por cuenta ajena (C23I4-MRR). CERTIFICATE
</v>
          </cell>
          <cell r="B212" t="str">
            <v>17.040</v>
          </cell>
        </row>
        <row r="213">
          <cell r="A213" t="str">
            <v>Subvención - Incentivos para la contratación personal EVENTUAL. 2ª CONVOCATORIA   
15% descuento</v>
          </cell>
          <cell r="B213" t="str">
            <v>17.042</v>
          </cell>
        </row>
        <row r="214">
          <cell r="A214" t="str">
            <v>Solicitud tramitación Subvención para la financiación de nuevos prouectos territoriales para el equilibrio y la equidad en emprendimiento y microempresa, en le marco de plan de recuperación, transformación y resiliencia.
1) Solicitud subvención
2) Verificación de estar al corriente en todos los organismos.
3)Informe de trabajadores en alta emitido por la Seguridad Social.
4) Informe plantilla de personal emitido por Tesoreria General de la Seguridad Social.
5) Presentación 
6) Seguimiento
Se facturará un 8% de la cuota recibida tras la resolución y justificacion.
Esta factura sera remesada el proximo dia 10/03/22</v>
          </cell>
          <cell r="B214" t="str">
            <v>17.044</v>
          </cell>
        </row>
        <row r="215">
          <cell r="A215" t="str">
            <v>Justificación Subvención e apoyo a la solvencia empresarial.
- Documentar el cumplimiento de los requisitos exigidos.
- Encontrarse al corriente ante la Seguridad Social
- Encontrarse al corriente ante la Agencia Tributaria.
- Justificar que la actividad se mantiene de alta.
- Justificar que no existe reparto de dividendos.
-Justificar que no existe incremento en las retribuciones de los administradores.</v>
          </cell>
          <cell r="B215" t="str">
            <v>17.045</v>
          </cell>
        </row>
        <row r="216">
          <cell r="A216" t="str">
            <v>Justificación Subvención Mantenimiento de Empleo
-Seguimiento realización curso online.
-Pasado el periodo de 4 meses justificación de la subvención
-Realización de declaraciones responsables.
-Expedicion y entrega al organimos de certificados de estar al corriente.
- Entrega al organismo de certificicado de realización del curso.
- Entrega al organismo de certificado de alta en el RETA.
-Entrega al oraganimos de informe plantilla de alta</v>
          </cell>
          <cell r="B216" t="str">
            <v>17.046</v>
          </cell>
        </row>
        <row r="217">
          <cell r="A217" t="str">
            <v>Aportación documentación -</v>
          </cell>
          <cell r="B217" t="str">
            <v>17.050</v>
          </cell>
        </row>
        <row r="218">
          <cell r="A218" t="str">
            <v>Presentación subvención mantenimiento de autoempleo o empleo por cuenta ajena</v>
          </cell>
          <cell r="B218" t="str">
            <v>17.051</v>
          </cell>
        </row>
        <row r="219">
          <cell r="A219" t="str">
            <v>Justificación subvención -
1) Comprobar pago pendiente proveedores y acreedores, por orden de antigüedad.
2) Comprobación pago de deudas y reducción nominal de deudas bancarias.
3) Costes fijos inclurridos no cubiertos.
4) Declaración responsable en modelo normalizado
5) Detalle de otros ingresos o subvenciones que haya financiado la actividad.
Resolución nº1002/2021 de fecha 12/12/2021
Importe concedido 14.764,37 eurosx3% = 442,93 euros
Esta factura será remesada el 10/01/22 en su cuenta bancaria habitual</v>
          </cell>
          <cell r="B219" t="str">
            <v>17.233</v>
          </cell>
        </row>
        <row r="220">
          <cell r="A220" t="str">
            <v>Solicitud de alta urgente    Fecha:</v>
          </cell>
          <cell r="B220" t="str">
            <v>18.223</v>
          </cell>
        </row>
        <row r="221">
          <cell r="A221" t="str">
            <v>Anulación alta trabajadores -</v>
          </cell>
          <cell r="B221" t="str">
            <v>18.224</v>
          </cell>
        </row>
        <row r="222">
          <cell r="A222" t="str">
            <v>Anulacion nominas</v>
          </cell>
          <cell r="B222" t="str">
            <v>18.225</v>
          </cell>
        </row>
        <row r="223">
          <cell r="A223" t="str">
            <v>Actualización Trimestral -</v>
          </cell>
          <cell r="B223" t="str">
            <v>19.015</v>
          </cell>
        </row>
        <row r="224">
          <cell r="A224" t="str">
            <v>ITA -</v>
          </cell>
          <cell r="B224" t="str">
            <v>2.001</v>
          </cell>
        </row>
        <row r="225">
          <cell r="A225" t="str">
            <v>Varios SS.SS -</v>
          </cell>
          <cell r="B225" t="str">
            <v>2.003</v>
          </cell>
        </row>
        <row r="226">
          <cell r="A226" t="str">
            <v>Solicitud cambio cuenta bancaria domiciliación autonomo -</v>
          </cell>
          <cell r="B226" t="str">
            <v>2.004</v>
          </cell>
        </row>
        <row r="227">
          <cell r="A227" t="str">
            <v>Altas y bajas representantes de comercio -</v>
          </cell>
          <cell r="B227" t="str">
            <v>2.006</v>
          </cell>
        </row>
        <row r="228">
          <cell r="A228" t="str">
            <v>Solicitud prestación ceses actividad autónomos- MUTUA        DOCUMENTOS</v>
          </cell>
          <cell r="B228" t="str">
            <v>2.008</v>
          </cell>
        </row>
        <row r="229">
          <cell r="A229" t="str">
            <v>Autorización certificado Seguridad Social art.42 (subcontratas) -</v>
          </cell>
          <cell r="B229" t="str">
            <v>2.009</v>
          </cell>
        </row>
        <row r="230">
          <cell r="A230" t="str">
            <v>Aviso notificación Seguridad Social -
AÑADIR 20% DE DESCUENTO Y BORRAR ESTO</v>
          </cell>
          <cell r="B230" t="str">
            <v>2.011</v>
          </cell>
        </row>
        <row r="231">
          <cell r="A231" t="str">
            <v>Cuota mensual:
- Autorizaciones certificados Seg. Social art 42
- ITA- informe alta trabajadores
- informes vida laboral empresa
- Aviso notificaciones Seguridad Social</v>
          </cell>
          <cell r="B231" t="str">
            <v>2.013</v>
          </cell>
        </row>
        <row r="232">
          <cell r="A232" t="str">
            <v>Reclamación deuda -</v>
          </cell>
          <cell r="B232" t="str">
            <v>2.029</v>
          </cell>
        </row>
        <row r="233">
          <cell r="A233" t="str">
            <v>Baja Voluntaria -</v>
          </cell>
          <cell r="B233" t="str">
            <v>2.058</v>
          </cell>
        </row>
        <row r="234">
          <cell r="A234" t="str">
            <v>Modelo TC1 diferencias -</v>
          </cell>
          <cell r="B234" t="str">
            <v>2.091</v>
          </cell>
        </row>
        <row r="235">
          <cell r="A235" t="str">
            <v>Solicitud I.T.enfermedad/accidentes -</v>
          </cell>
          <cell r="B235" t="str">
            <v>2.092</v>
          </cell>
        </row>
        <row r="236">
          <cell r="A236" t="str">
            <v>Solicitud pensión y jubilación -</v>
          </cell>
          <cell r="B236" t="str">
            <v>2.093</v>
          </cell>
        </row>
        <row r="237">
          <cell r="A237" t="str">
            <v>Certificado SS.SS. Regimén General -Fecha  Estado positivo</v>
          </cell>
          <cell r="B237" t="str">
            <v>2.094</v>
          </cell>
        </row>
        <row r="238">
          <cell r="A238" t="str">
            <v>Certificado Autonomo -</v>
          </cell>
          <cell r="B238" t="str">
            <v>2.095</v>
          </cell>
        </row>
        <row r="239">
          <cell r="A239" t="str">
            <v>Informe Vida Laboral -</v>
          </cell>
          <cell r="B239" t="str">
            <v>2.130</v>
          </cell>
        </row>
        <row r="240">
          <cell r="A240" t="str">
            <v>Modificación datos Seguridad Social -</v>
          </cell>
          <cell r="B240" t="str">
            <v>2.131</v>
          </cell>
        </row>
        <row r="241">
          <cell r="A241" t="str">
            <v>Licencia utilización Portal Laboral - Bilky (subida de nóminas y documentación)</v>
          </cell>
          <cell r="B241" t="str">
            <v>2.132</v>
          </cell>
        </row>
        <row r="242">
          <cell r="A242" t="str">
            <v>Informe de plantilla media -</v>
          </cell>
          <cell r="B242" t="str">
            <v>2.133</v>
          </cell>
        </row>
        <row r="243">
          <cell r="A243" t="str">
            <v>Consulta laboral -</v>
          </cell>
          <cell r="B243" t="str">
            <v>2.142</v>
          </cell>
        </row>
        <row r="244">
          <cell r="A244" t="str">
            <v>Solicitud residuos no peligrosos NIMA</v>
          </cell>
          <cell r="B244" t="str">
            <v>2.143</v>
          </cell>
        </row>
        <row r="245">
          <cell r="A245" t="str">
            <v>Solicitud I.T.Autonomo -</v>
          </cell>
          <cell r="B245" t="str">
            <v>2.144</v>
          </cell>
        </row>
        <row r="246">
          <cell r="A246" t="str">
            <v>Solicitud I.T. maternidad/paternidad -</v>
          </cell>
          <cell r="B246" t="str">
            <v>2.145</v>
          </cell>
        </row>
        <row r="247">
          <cell r="A247" t="str">
            <v>Certificados Varios -</v>
          </cell>
          <cell r="B247" t="str">
            <v>2.148</v>
          </cell>
        </row>
        <row r="248">
          <cell r="A248" t="str">
            <v>Aplazamiento deuda Seguridad Social-
1. Solicitud inicial. 
2. Acuse recibió Notificación de electrónicas de S. Social. 
3. Envío notificación a empresa, de solicitud 
4. Apertura de expediente de control. 
5. Verificación diaria de Buzón, en espera de Respuesta. 
6. Recepción de Resolución admitida, buzón Asesoría. 
7. Recepción información pago cuota obrero inaplazable. 
8. Verificación de Resolución de importe Cuota obrera. 
9. Carta Paga de Cuota, hay enviar a pyme para su pago 
10. Recepción documento de pago, y posterior envío a Sede, para verificación. 
11. Recibimos Hoja de Amortización, con detalle vencimiento. 
12. Envío a la pyme de Hoja Amortización. 
13. Cada nueva anualidad, solicitar nueva Amortización. 
14. Seguimiento de pago y actualización de fraccionamiento. 
15. Tiempo estimado de Resolución mínimo un mes (antes de coronavirus). 
16. Plazo máximo para solicitar aplazamiento, día 7 de cada mes</v>
          </cell>
          <cell r="B248" t="str">
            <v>2.154</v>
          </cell>
        </row>
        <row r="249">
          <cell r="A249" t="str">
            <v>Devolución Ingresos Indebidos -</v>
          </cell>
          <cell r="B249" t="str">
            <v>2.162</v>
          </cell>
        </row>
        <row r="250">
          <cell r="A250" t="str">
            <v>Baja autónomo -</v>
          </cell>
          <cell r="B250" t="str">
            <v>2.163</v>
          </cell>
        </row>
        <row r="251">
          <cell r="A251" t="str">
            <v>Tarifa Plana - Prolongación/Renuncia</v>
          </cell>
          <cell r="B251" t="str">
            <v>2.164</v>
          </cell>
        </row>
        <row r="252">
          <cell r="A252" t="str">
            <v>Boletin autónomo -</v>
          </cell>
          <cell r="B252" t="str">
            <v>2.172</v>
          </cell>
        </row>
        <row r="253">
          <cell r="A253" t="str">
            <v>Cancelación deuda -</v>
          </cell>
          <cell r="B253" t="str">
            <v>2.177</v>
          </cell>
        </row>
        <row r="254">
          <cell r="A254" t="str">
            <v>Baja patronal -</v>
          </cell>
          <cell r="B254" t="str">
            <v>2.178</v>
          </cell>
        </row>
        <row r="255">
          <cell r="A255" t="str">
            <v>Alta empleada del hogar -</v>
          </cell>
          <cell r="B255" t="str">
            <v>2.182</v>
          </cell>
        </row>
        <row r="256">
          <cell r="A256" t="str">
            <v>Baja empleada del hogar -</v>
          </cell>
          <cell r="B256" t="str">
            <v>2.194</v>
          </cell>
        </row>
        <row r="257">
          <cell r="A257" t="str">
            <v>Escritos alegaciones -</v>
          </cell>
          <cell r="B257" t="str">
            <v>2.207</v>
          </cell>
        </row>
        <row r="258">
          <cell r="A258" t="str">
            <v>Reclamación diferencias TC1 -</v>
          </cell>
          <cell r="B258" t="str">
            <v>2.208</v>
          </cell>
        </row>
        <row r="259">
          <cell r="A259" t="str">
            <v>TC1 rectificativo/complementario dirigido a la Seguridad Social</v>
          </cell>
          <cell r="B259" t="str">
            <v>2.209</v>
          </cell>
        </row>
        <row r="260">
          <cell r="A260" t="str">
            <v>Apertura patronal -</v>
          </cell>
          <cell r="B260" t="str">
            <v>2.212</v>
          </cell>
        </row>
        <row r="261">
          <cell r="A261" t="str">
            <v>Alta autónomo -</v>
          </cell>
          <cell r="B261" t="str">
            <v>2.213</v>
          </cell>
        </row>
        <row r="262">
          <cell r="A262" t="str">
            <v>Costes sociales -</v>
          </cell>
          <cell r="B262" t="str">
            <v>2.226</v>
          </cell>
        </row>
        <row r="263">
          <cell r="A263" t="str">
            <v>BONIFICADO AL 50% Accidente sin baja - Nombre:            Fecha:</v>
          </cell>
          <cell r="B263" t="str">
            <v>2.228</v>
          </cell>
        </row>
        <row r="264">
          <cell r="A264" t="str">
            <v>Alta trabajadores bonificados -</v>
          </cell>
          <cell r="B264" t="str">
            <v>2.256</v>
          </cell>
        </row>
        <row r="265">
          <cell r="A265" t="str">
            <v>TC1 según nº trabajadores -</v>
          </cell>
          <cell r="B265" t="str">
            <v>2.257</v>
          </cell>
        </row>
        <row r="266">
          <cell r="A266" t="str">
            <v>TC1 según centro de trabajo -</v>
          </cell>
          <cell r="B266" t="str">
            <v>2.258</v>
          </cell>
        </row>
        <row r="267">
          <cell r="A267" t="str">
            <v>Finiquitos -</v>
          </cell>
          <cell r="B267" t="str">
            <v>2.261</v>
          </cell>
        </row>
        <row r="268">
          <cell r="A268" t="str">
            <v>Inaplicación Salarial -
a)TRAMITES A REALIZAR:
 1)Estudio y confección de estadísticas.
 2)Memoria explicativa 
 3)Confección acta de Apertura
 4)Detalle de las medidas propuestas.
 5)Confección acta de acuerdo.
 6)Confección de acta de creación comisión negociadora.
 7)Confección de acta de delegación del trámite.
 8)Justificación de las causas económicas, técnicas, organizativas o productivas que motivan el procedimiento.
 9) Informe técnico sobre la situación económica y financiera de la empresa. Este informe se acompañará de la documentación precisa (balances, cuentas de resultados, declaración impuesto de sociedades y, en su caso, informe de auditores).
b)CONCEPTOS DE AHORRO:
 1)Ahorro en bolsa de vacaciones y cotizaciones
 2)Ahorro en minoración de retribución SMI y cotizaciones.</v>
          </cell>
          <cell r="B268" t="str">
            <v>20.001</v>
          </cell>
        </row>
        <row r="269">
          <cell r="A269" t="str">
            <v>Registro Sanitario de Comercio Menor -</v>
          </cell>
          <cell r="B269" t="str">
            <v>20.002</v>
          </cell>
        </row>
        <row r="270">
          <cell r="A270" t="str">
            <v>Confección y tramitación de expediente regulador temporal de empleo:
a) Comunicando fecha inicio a los trabajadores 
b) Comunicación de inicio a la autoridad Laboral, y preparación de toda la documentación propia del expediente.
c) Remisión a Sede electrónica del Gobierno de Canarias
d) Elaboración de Informe.
e) Elaboración de dossier documental para aportación con Justificación
f) Elaboración de "criterio" de Expediente.
g) Recepción de resolución autoridad Laboral, y estudio.
h) Emisión de bajas de trabajadores
i) Comunicación a la Tesorería General de bajas empresa cuando correspondan.
j) Confección de Certificados de Empresa para emisión al SEPE.
k) Confección de documento de Autoridad Laboral autorizando, para trabajadores.
l)Tramites de datos individuales por trabajador que se tienen que gestionar por el Despacho, y posterior envío Telemático,  en modo masivo.
m) Envíos de bajas a la Tesorería General Seguridad Social
n) Envíos de Altas como solicitud de Prestaciones de desempleo, SEPE
ñ) Envíos de Certificados de Empresa al SEPE
o) Declaración Jurada al SEPE de presentación y representación de los trabajadores para envío de solicitud de desempleo.
p) Verificación de Vida Laboral de personas en Alta, una vez tramitado las Bajas en Tesorería General de la Seguridad Social.</v>
          </cell>
          <cell r="B270" t="str">
            <v>20.004</v>
          </cell>
        </row>
        <row r="271">
          <cell r="A271" t="str">
            <v>CANAL DE DENUNCIAS
Recepción de comunicaciones, e inicio de expediente;
1.  Recepción, acuse, inscripción en registro, y comunicación empresa.
2.  Estudio inicial, y propuestas a realizar,
3.  Verificación de necesidad Estudio previo de Profesionales expertos en materia
4.  Presupuesto previo de instrucción, hasta resolución.
5.  Cumplimiento de plazos.
6.  Manifestar los Derechos de los informantes, y de los posibles afectados.
7.  Protección de datos de carácter personal.</v>
          </cell>
          <cell r="B271" t="str">
            <v>20.010</v>
          </cell>
        </row>
        <row r="272">
          <cell r="A272" t="str">
            <v>PROTOCOLO ACOSO
1.Elaboración de protocolo.
2.Remisión al cliente para su firma.
3.Remisión y registro de protocolo firmado por todos los trabajadores en el organismo competente.</v>
          </cell>
          <cell r="B272" t="str">
            <v>20.011</v>
          </cell>
        </row>
        <row r="273">
          <cell r="A273" t="str">
            <v>Modelo 435 - Impuesto sobre combustible</v>
          </cell>
          <cell r="B273" t="str">
            <v>3.004</v>
          </cell>
        </row>
        <row r="274">
          <cell r="A274" t="str">
            <v>Recurso de alzada -</v>
          </cell>
          <cell r="B274" t="str">
            <v>3.005</v>
          </cell>
        </row>
        <row r="275">
          <cell r="A275" t="str">
            <v>Rercurso ordinario -</v>
          </cell>
          <cell r="B275" t="str">
            <v>3.006</v>
          </cell>
        </row>
        <row r="276">
          <cell r="A276" t="str">
            <v>Clasificación Empresarial - OBRAS ADAPTACION A NUEVA NORMATIVA
1) Solicitud
2) Anexo 1. Características jurídicas del operador económico.
3) Anexo 2. Organización del Operador económico.
4) Anexo 3. Medios financieros del operador económico.
5) Anexo 4. Medios personales del operador económico.
6) Anexo 5. Medios materiales para la ejecución de obras.
7) Anexo 6. Experiencia en obras. (realizado por empresa)
8) Aportar certificados experiencia.
9) Escritura de constitución.
10)Documentación acreditativa de no estar incurso en alguna de las prohibiciones para contratatar con la Administracion señaladas en la legislacion de contratos vigente.
11) Certificación positiva de estar al corriente en el pago de las obligaciones tributarias.
12) Certificación positiva de la Tesorería General de la Seguridad Social de estar al corriente en el pago de las obligaciones con la Seguridad Social.
13) Copia del alta en el Impuesto sobre Actividades Económicas.
14) Autorización o documento habilitante para ejercer la actividad correspondiente al subgrupo/s que solicita.
15) Justificación fehaciente de la representación y del apoderamiento de la persona que firma la solicitud.
16) Declaración anual de operaciones con terceros (Mod. 347) de los tres últimos años.
17) Copia de la declaración del cuarto trimestre del año anterior, del resumen anual de los dos últimos años y de las declaraciones parciales del año en curso del IGIC.
18) Copia de las cuentas anuales de los dos últimos años, presentadas en el Registro Mercantil.
19) Informe de la vida laboral del operador económico, referido al último mes, para cada una de las cuentas de cotización, emitido por la Tesorería General de la Seguridad Social En el Informe deben constar los siguientes datos: Actividad del operador económico, relación nominal de los trabajadores, grupos de cotización, fechas de altas y bajas, tipo de contratos y número de días cotizados.
20)Informe único de la Seguridad Social indicando el número anual medio de los trabajadores empleados por la empresa en los últimos tres años.
21) Justificación documental de la disponibilidad de los principales medios materiales relacionados en los anexos, que posea en propiedad, en arrendamiento o arrendamiento financiero.</v>
          </cell>
          <cell r="B276" t="str">
            <v>3.007</v>
          </cell>
        </row>
        <row r="277">
          <cell r="A277" t="str">
            <v>Alta terceros - Para ayudas o Subvenciones</v>
          </cell>
          <cell r="B277" t="str">
            <v>3.008</v>
          </cell>
        </row>
        <row r="278">
          <cell r="A278" t="str">
            <v>Aviso notificación -
AÑADIR DTO 20% - BORRAR ESTO</v>
          </cell>
          <cell r="B278" t="str">
            <v>3.010</v>
          </cell>
        </row>
        <row r="279">
          <cell r="A279" t="str">
            <v>Comunicación datos Estimación objetiva(módulos) Agencia Tributaria -</v>
          </cell>
          <cell r="B279" t="str">
            <v>3.011</v>
          </cell>
        </row>
        <row r="280">
          <cell r="A280" t="str">
            <v>Solicitud número de Registro EORI -</v>
          </cell>
          <cell r="B280" t="str">
            <v>3.012</v>
          </cell>
        </row>
        <row r="281">
          <cell r="A281" t="str">
            <v>Liquidación tasas judicial Modelo 696 -</v>
          </cell>
          <cell r="B281" t="str">
            <v>3.013</v>
          </cell>
        </row>
        <row r="282">
          <cell r="A282" t="str">
            <v>Solicitud y descarga certificado digital Agencia</v>
          </cell>
          <cell r="B282" t="str">
            <v>3.014</v>
          </cell>
        </row>
        <row r="283">
          <cell r="A283" t="str">
            <v>Modelo 720 -</v>
          </cell>
          <cell r="B283" t="str">
            <v>3.015</v>
          </cell>
        </row>
        <row r="284">
          <cell r="A284" t="str">
            <v>Modelo 400 -</v>
          </cell>
          <cell r="B284" t="str">
            <v>3.020</v>
          </cell>
        </row>
        <row r="285">
          <cell r="A285" t="str">
            <v>Modelo 660 - 650 - Sucesiones</v>
          </cell>
          <cell r="B285" t="str">
            <v>3.021</v>
          </cell>
        </row>
        <row r="286">
          <cell r="A286" t="str">
            <v>Modelo 652 -</v>
          </cell>
          <cell r="B286" t="str">
            <v>3.022</v>
          </cell>
        </row>
        <row r="287">
          <cell r="A287" t="str">
            <v>Modelo 600</v>
          </cell>
          <cell r="B287" t="str">
            <v>3.023</v>
          </cell>
        </row>
        <row r="288">
          <cell r="A288" t="str">
            <v>Certificado Agencia Tributaria Canaria - Fecha    Estado</v>
          </cell>
          <cell r="B288" t="str">
            <v>3.025</v>
          </cell>
        </row>
        <row r="289">
          <cell r="A289" t="str">
            <v>Certificado Consejeria Sucontrata -                        ESTADO</v>
          </cell>
          <cell r="B289" t="str">
            <v>3.026</v>
          </cell>
        </row>
        <row r="290">
          <cell r="A290" t="str">
            <v>Deudas -</v>
          </cell>
          <cell r="B290" t="str">
            <v>3.028</v>
          </cell>
        </row>
        <row r="291">
          <cell r="A291" t="str">
            <v>Cartas de pago -</v>
          </cell>
          <cell r="B291" t="str">
            <v>3.029</v>
          </cell>
        </row>
        <row r="292">
          <cell r="A292" t="str">
            <v>Escritos/Requerimiento/Varios -</v>
          </cell>
          <cell r="B292" t="str">
            <v>3.030</v>
          </cell>
        </row>
        <row r="293">
          <cell r="A293" t="str">
            <v>Requerimiento -</v>
          </cell>
          <cell r="B293" t="str">
            <v>3.051</v>
          </cell>
        </row>
        <row r="294">
          <cell r="A294" t="str">
            <v>Recurso de Reposición -</v>
          </cell>
          <cell r="B294" t="str">
            <v>3.060</v>
          </cell>
        </row>
        <row r="295">
          <cell r="A295" t="str">
            <v>Modelo 216 -</v>
          </cell>
          <cell r="B295" t="str">
            <v>3.067</v>
          </cell>
        </row>
        <row r="296">
          <cell r="A296" t="str">
            <v>Modelo 296 anual</v>
          </cell>
          <cell r="B296" t="str">
            <v>3.068</v>
          </cell>
        </row>
        <row r="297">
          <cell r="A297" t="str">
            <v>Modelo 036</v>
          </cell>
          <cell r="B297" t="str">
            <v>3.076</v>
          </cell>
        </row>
        <row r="298">
          <cell r="A298" t="str">
            <v>Certificado Hacienda - Fecha: Estado: positivo</v>
          </cell>
          <cell r="B298" t="str">
            <v>3.096</v>
          </cell>
        </row>
        <row r="299">
          <cell r="A299" t="str">
            <v>Fraccionamiento/Aplazamiento</v>
          </cell>
          <cell r="B299" t="str">
            <v>3.098</v>
          </cell>
        </row>
        <row r="300">
          <cell r="A300" t="str">
            <v>Modelo 846 -</v>
          </cell>
          <cell r="B300" t="str">
            <v>3.101</v>
          </cell>
        </row>
        <row r="301">
          <cell r="A301" t="str">
            <v>Devolución de ingresos indebidos -</v>
          </cell>
          <cell r="B301" t="str">
            <v>3.149</v>
          </cell>
        </row>
        <row r="302">
          <cell r="A302" t="str">
            <v>Confección, tramitación y envío de solicitud.
Información y recepción de solución afirmativa de Código LEI</v>
          </cell>
          <cell r="B302" t="str">
            <v>3.150</v>
          </cell>
        </row>
        <row r="303">
          <cell r="A303" t="str">
            <v>Modelo 340 - Registro Libros devolución mensual</v>
          </cell>
          <cell r="B303" t="str">
            <v>3.183</v>
          </cell>
        </row>
        <row r="304">
          <cell r="A304" t="str">
            <v>Modelo 193 - 2025</v>
          </cell>
          <cell r="B304" t="str">
            <v>3.184</v>
          </cell>
        </row>
        <row r="305">
          <cell r="A305" t="str">
            <v>Modelo 123</v>
          </cell>
          <cell r="B305" t="str">
            <v>3.185</v>
          </cell>
        </row>
        <row r="306">
          <cell r="A306" t="str">
            <v>Modelo 303</v>
          </cell>
          <cell r="B306" t="str">
            <v>3.186</v>
          </cell>
        </row>
        <row r="307">
          <cell r="A307" t="str">
            <v>MODELO 390</v>
          </cell>
          <cell r="B307" t="str">
            <v>3.187</v>
          </cell>
        </row>
        <row r="308">
          <cell r="A308" t="str">
            <v>Modelo 840 -</v>
          </cell>
          <cell r="B308" t="str">
            <v>3.188</v>
          </cell>
        </row>
        <row r="309">
          <cell r="A309" t="str">
            <v>Modelo 800</v>
          </cell>
          <cell r="B309" t="str">
            <v>3.189</v>
          </cell>
        </row>
        <row r="310">
          <cell r="A310" t="str">
            <v>Escritos Alegaciones -</v>
          </cell>
          <cell r="B310" t="str">
            <v>3.214</v>
          </cell>
        </row>
        <row r="311">
          <cell r="A311" t="str">
            <v>Deducion Maternidad -</v>
          </cell>
          <cell r="B311" t="str">
            <v>3.218</v>
          </cell>
        </row>
        <row r="312">
          <cell r="A312" t="str">
            <v>Modelo 349</v>
          </cell>
          <cell r="B312" t="str">
            <v>3.248</v>
          </cell>
        </row>
        <row r="313">
          <cell r="A313" t="str">
            <v>Escrito alegaciones -</v>
          </cell>
          <cell r="B313" t="str">
            <v>4.137</v>
          </cell>
        </row>
        <row r="314">
          <cell r="A314" t="str">
            <v>Escrito alegaciones/Recurso -</v>
          </cell>
          <cell r="B314" t="str">
            <v>4.193</v>
          </cell>
        </row>
        <row r="315">
          <cell r="A315" t="str">
            <v>Requerimiento de documentación -</v>
          </cell>
          <cell r="B315" t="str">
            <v>4.225</v>
          </cell>
        </row>
        <row r="316">
          <cell r="A316" t="str">
            <v>Comunicación y calculo de personal discapacitado de la empresa
Obligación prevista art. 5 Real decreto 1451/1983, de 11 de mayo</v>
          </cell>
          <cell r="B316" t="str">
            <v>4.240</v>
          </cell>
        </row>
        <row r="317">
          <cell r="A317" t="str">
            <v>Recurso Alzada -</v>
          </cell>
          <cell r="B317" t="str">
            <v>5.005</v>
          </cell>
        </row>
        <row r="318">
          <cell r="A318" t="str">
            <v>Sanciones -</v>
          </cell>
          <cell r="B318" t="str">
            <v>5.038</v>
          </cell>
        </row>
        <row r="319">
          <cell r="A319" t="str">
            <v>Solicitud titulo de transportista -</v>
          </cell>
          <cell r="B319" t="str">
            <v>5.047</v>
          </cell>
        </row>
        <row r="320">
          <cell r="A320" t="str">
            <v>Inspecciones - 1ª VISITA
- Localizar documentación
- Estudio documentación
- Visita a inspección
- Recomendaciones y correcciones tras visita
- Seguimiento del trámite</v>
          </cell>
          <cell r="B320" t="str">
            <v>6.008</v>
          </cell>
        </row>
        <row r="321">
          <cell r="A321" t="str">
            <v>Inspecciones - 2ª VISITA y siguientes
- Localizar documentación
- Estudio documentación
- Visita a inspección
- Recomendaciones y correcciones tras visita
- Seguimiento del trámite</v>
          </cell>
          <cell r="B321" t="str">
            <v>6.009</v>
          </cell>
        </row>
        <row r="322">
          <cell r="A322" t="str">
            <v>Inspección I.G.I.C -</v>
          </cell>
          <cell r="B322" t="str">
            <v>6.170</v>
          </cell>
        </row>
        <row r="323">
          <cell r="A323" t="str">
            <v>Diligencia de inspección -</v>
          </cell>
          <cell r="B323" t="str">
            <v>6.242</v>
          </cell>
        </row>
        <row r="324">
          <cell r="A324" t="str">
            <v>Libro de Subcontratación y gastos modelo 700-</v>
          </cell>
          <cell r="B324" t="str">
            <v>7.010</v>
          </cell>
        </row>
        <row r="325">
          <cell r="A325" t="str">
            <v>Apertura de centro - Gobierno de Canarias</v>
          </cell>
          <cell r="B325" t="str">
            <v>7.011</v>
          </cell>
        </row>
        <row r="326">
          <cell r="A326" t="str">
            <v>Aviso previo apertura obra -</v>
          </cell>
          <cell r="B326" t="str">
            <v>7.179</v>
          </cell>
        </row>
        <row r="327">
          <cell r="A327" t="str">
            <v>Contrato préstamo</v>
          </cell>
          <cell r="B327" t="str">
            <v>8.024</v>
          </cell>
        </row>
        <row r="328">
          <cell r="A328" t="str">
            <v>Anexo de contrato -</v>
          </cell>
          <cell r="B328" t="str">
            <v>8.025</v>
          </cell>
        </row>
        <row r="329">
          <cell r="A329" t="str">
            <v>Contratos arrendamiento vivienda o local simple -</v>
          </cell>
          <cell r="B329" t="str">
            <v>8.026</v>
          </cell>
        </row>
        <row r="330">
          <cell r="A330" t="str">
            <v>CONTRATOS ARRENDAMIENTO LOCAL CON TRASPASO O</v>
          </cell>
          <cell r="B330" t="str">
            <v>8.027</v>
          </cell>
        </row>
        <row r="331">
          <cell r="A331" t="str">
            <v>Actualización rentas arrendamiento -</v>
          </cell>
          <cell r="B331" t="str">
            <v>8.132</v>
          </cell>
        </row>
        <row r="332">
          <cell r="A332" t="str">
            <v>Contratos privados -</v>
          </cell>
          <cell r="B332" t="str">
            <v>8.133</v>
          </cell>
        </row>
        <row r="333">
          <cell r="A333" t="str">
            <v>Contratos obras -</v>
          </cell>
          <cell r="B333" t="str">
            <v>8.136</v>
          </cell>
        </row>
        <row r="334">
          <cell r="A334" t="str">
            <v>Contratos de compraventa -</v>
          </cell>
          <cell r="B334" t="str">
            <v>8.141</v>
          </cell>
        </row>
        <row r="335">
          <cell r="A335" t="str">
            <v>Resolución Contratos -</v>
          </cell>
          <cell r="B335" t="str">
            <v>8.150</v>
          </cell>
        </row>
        <row r="336">
          <cell r="A336" t="str">
            <v>Prorroga contrato arrendamiento -</v>
          </cell>
          <cell r="B336" t="str">
            <v>8.151</v>
          </cell>
        </row>
        <row r="337">
          <cell r="A337" t="str">
            <v>Contratos varios -</v>
          </cell>
          <cell r="B337" t="str">
            <v>8.167</v>
          </cell>
        </row>
        <row r="338">
          <cell r="A338" t="str">
            <v>Semac -</v>
          </cell>
          <cell r="B338" t="str">
            <v>9.039</v>
          </cell>
        </row>
        <row r="339">
          <cell r="A339" t="str">
            <v>Recurso de Reposición -</v>
          </cell>
          <cell r="B339" t="str">
            <v>9.060</v>
          </cell>
        </row>
        <row r="340">
          <cell r="A340" t="str">
            <v>Juzgado -</v>
          </cell>
          <cell r="B340" t="str">
            <v>9.206</v>
          </cell>
        </row>
        <row r="341">
          <cell r="A341" t="str">
            <v>Código LEI - Solicitud/Renovación anual</v>
          </cell>
          <cell r="B341" t="str">
            <v>9.300</v>
          </cell>
        </row>
      </sheetData>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04B2F9-D61B-440F-98D2-ED285336DA54}" name="Tabla133" displayName="Tabla133" ref="A6:R8" totalsRowShown="0" headerRowDxfId="18">
  <autoFilter ref="A6:R8" xr:uid="{AD04B2F9-D61B-440F-98D2-ED285336DA54}"/>
  <sortState xmlns:xlrd2="http://schemas.microsoft.com/office/spreadsheetml/2017/richdata2" ref="A7:R7">
    <sortCondition ref="K6"/>
  </sortState>
  <tableColumns count="18">
    <tableColumn id="1" xr3:uid="{41B46888-F095-4914-B814-8F97BE936E5D}" name="EXPT" dataDxfId="17"/>
    <tableColumn id="2" xr3:uid="{326F344A-3B23-4D3F-B589-48EC46F4DAB6}" name="EMPRESA" dataDxfId="16"/>
    <tableColumn id="3" xr3:uid="{C8B0BE3B-0837-4C00-AC06-84BB6E014745}" name="DNI TRAB" dataDxfId="15"/>
    <tableColumn id="4" xr3:uid="{9884A55F-D505-4E53-9E99-3B8954DAE871}" name="NOMBRE TRABAJADOR" dataDxfId="14"/>
    <tableColumn id="5" xr3:uid="{2342EBF0-8988-4B85-AD36-6E28DDDFF60F}" name="F. ALTA" dataDxfId="13"/>
    <tableColumn id="6" xr3:uid="{DEB3C2AA-15EE-4648-A5C6-EA0302BD6481}" name="F.BAJA" dataDxfId="12"/>
    <tableColumn id="7" xr3:uid="{2B23AA3F-A753-46E4-8DE7-3FD11F434E93}" name="F. CAMBIO " dataDxfId="11"/>
    <tableColumn id="8" xr3:uid="{3E695020-159B-4C14-A763-B7D9D64A0468}" name="FECHA " dataDxfId="10"/>
    <tableColumn id="9" xr3:uid="{9D797CEE-BAD4-4356-A78E-4188C0F70EDC}" name="OBSERVACION" dataDxfId="9"/>
    <tableColumn id="10" xr3:uid="{471E7841-E84E-45E1-A91E-E10B96CE2039}" name="ESTADO" dataDxfId="8"/>
    <tableColumn id="11" xr3:uid="{8BD67F6A-1120-4C14-984E-032148E69789}" name="TIPO TRAMITE" dataDxfId="7"/>
    <tableColumn id="12" xr3:uid="{FF61CC92-7C90-4EA3-B41C-DE1A22A2E257}" name="CONCEPTO FACT" dataDxfId="6">
      <calculatedColumnFormula>IFERROR(VLOOKUP(K7, [1]Conceptos!A:B, 2, FALSE), "")</calculatedColumnFormula>
    </tableColumn>
    <tableColumn id="13" xr3:uid="{2DB76720-957C-4DDA-886A-B23BE4D4194F}" name="IMPORTE" dataDxfId="5" dataCellStyle="Moneda"/>
    <tableColumn id="14" xr3:uid="{C86E0C7A-FAC9-4196-B111-CF60A5C8A864}" name="INICIO" dataDxfId="4">
      <calculatedColumnFormula>IFERROR(VLOOKUP(M7, [1]Conceptos!C:D, 2, FALSE), "")</calculatedColumnFormula>
    </tableColumn>
    <tableColumn id="15" xr3:uid="{213B77A2-FC1F-4AD9-901D-7F6ED8A5B70F}" name="DESPIDO" dataDxfId="3">
      <calculatedColumnFormula>IFERROR(VLOOKUP(N7, [1]Conceptos!D:E, 2, FALSE), "")</calculatedColumnFormula>
    </tableColumn>
    <tableColumn id="16" xr3:uid="{F17159D6-DD34-4370-B1DD-C9535B13544D}" name="TRANSAC" dataDxfId="2">
      <calculatedColumnFormula>IFERROR(VLOOKUP(O7, [1]Conceptos!E:F, 2, FALSE), "")</calculatedColumnFormula>
    </tableColumn>
    <tableColumn id="17" xr3:uid="{1A127904-8EF5-480E-8813-1766CDC63E41}" name="BUROFAX" dataDxfId="1">
      <calculatedColumnFormula>IFERROR(VLOOKUP(P7, [1]Conceptos!F:G, 2, FALSE), "")</calculatedColumnFormula>
    </tableColumn>
    <tableColumn id="18" xr3:uid="{83B7D149-7BF6-4E07-A8D8-CBF08799D749}" name="SMS" dataDxfId="0">
      <calculatedColumnFormula>IFERROR(VLOOKUP(Q7, [1]Conceptos!G:H, 2, FALSE), "")</calculatedColumnFormula>
    </tableColumn>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EB581-1968-4A76-8BA5-F3D3E645C141}">
  <dimension ref="A3:R202"/>
  <sheetViews>
    <sheetView tabSelected="1" topLeftCell="B1" workbookViewId="0">
      <selection activeCell="M11" sqref="M11"/>
    </sheetView>
  </sheetViews>
  <sheetFormatPr baseColWidth="10" defaultRowHeight="14.5" x14ac:dyDescent="0.35"/>
  <cols>
    <col min="1" max="1" width="7.7265625" customWidth="1"/>
    <col min="2" max="2" width="47.1796875" bestFit="1" customWidth="1"/>
    <col min="3" max="3" width="11.1796875" customWidth="1"/>
    <col min="4" max="4" width="28.54296875" bestFit="1" customWidth="1"/>
    <col min="5" max="5" width="14.453125" style="1" hidden="1" customWidth="1"/>
    <col min="6" max="6" width="9.453125" hidden="1" customWidth="1"/>
    <col min="7" max="7" width="2.453125" hidden="1" customWidth="1"/>
    <col min="8" max="8" width="12.26953125" style="1" bestFit="1" customWidth="1"/>
    <col min="9" max="9" width="67.54296875" bestFit="1" customWidth="1"/>
    <col min="10" max="10" width="13" bestFit="1" customWidth="1"/>
    <col min="11" max="11" width="43" bestFit="1" customWidth="1"/>
    <col min="12" max="12" width="16.1796875" style="2" customWidth="1"/>
    <col min="13" max="13" width="14" style="3" bestFit="1" customWidth="1"/>
    <col min="14" max="15" width="15.453125" style="16" bestFit="1" customWidth="1"/>
    <col min="16" max="16" width="15.81640625" style="16" bestFit="1" customWidth="1"/>
    <col min="17" max="17" width="16.1796875" style="17" bestFit="1" customWidth="1"/>
    <col min="18" max="18" width="15.453125" style="17" bestFit="1" customWidth="1"/>
  </cols>
  <sheetData>
    <row r="3" spans="1:18" x14ac:dyDescent="0.35">
      <c r="N3" s="3"/>
      <c r="O3" s="3"/>
      <c r="P3" s="3"/>
      <c r="Q3" s="3"/>
      <c r="R3" s="3"/>
    </row>
    <row r="4" spans="1:18" x14ac:dyDescent="0.35">
      <c r="N4" s="3"/>
      <c r="O4" s="3"/>
      <c r="P4" s="3"/>
      <c r="Q4" s="3"/>
      <c r="R4" s="3"/>
    </row>
    <row r="5" spans="1:18" ht="15.5" x14ac:dyDescent="0.35">
      <c r="N5" s="4" t="s">
        <v>0</v>
      </c>
      <c r="O5" s="4" t="s">
        <v>1</v>
      </c>
      <c r="P5" s="4" t="s">
        <v>2</v>
      </c>
      <c r="Q5" s="5" t="s">
        <v>3</v>
      </c>
      <c r="R5" s="5" t="s">
        <v>4</v>
      </c>
    </row>
    <row r="6" spans="1:18" ht="24.75" customHeight="1" x14ac:dyDescent="0.35">
      <c r="A6" s="6" t="s">
        <v>5</v>
      </c>
      <c r="B6" s="6" t="s">
        <v>6</v>
      </c>
      <c r="C6" s="6" t="s">
        <v>7</v>
      </c>
      <c r="D6" s="6" t="s">
        <v>8</v>
      </c>
      <c r="E6" s="7" t="s">
        <v>9</v>
      </c>
      <c r="F6" s="6" t="s">
        <v>10</v>
      </c>
      <c r="G6" s="6" t="s">
        <v>11</v>
      </c>
      <c r="H6" s="7" t="s">
        <v>12</v>
      </c>
      <c r="I6" s="6" t="s">
        <v>13</v>
      </c>
      <c r="J6" s="6" t="s">
        <v>14</v>
      </c>
      <c r="K6" s="6" t="s">
        <v>15</v>
      </c>
      <c r="L6" s="8" t="s">
        <v>16</v>
      </c>
      <c r="M6" s="6" t="s">
        <v>17</v>
      </c>
      <c r="N6" s="4" t="s">
        <v>18</v>
      </c>
      <c r="O6" s="4" t="s">
        <v>19</v>
      </c>
      <c r="P6" s="4" t="s">
        <v>20</v>
      </c>
      <c r="Q6" s="5" t="s">
        <v>21</v>
      </c>
      <c r="R6" s="5" t="s">
        <v>22</v>
      </c>
    </row>
    <row r="7" spans="1:18" x14ac:dyDescent="0.35">
      <c r="A7" s="9"/>
      <c r="B7" s="9"/>
      <c r="C7" s="9"/>
      <c r="D7" s="9"/>
      <c r="E7" s="10"/>
      <c r="F7" s="9"/>
      <c r="G7" s="9"/>
      <c r="H7" s="10">
        <v>46173</v>
      </c>
      <c r="I7" s="9"/>
      <c r="J7" s="9"/>
      <c r="K7" s="9"/>
      <c r="L7" s="11" t="str">
        <f>IFERROR(VLOOKUP(K7, [1]Conceptos!A:B, 2, FALSE), "")</f>
        <v/>
      </c>
      <c r="M7" s="12"/>
      <c r="N7" s="13" t="str">
        <f>IFERROR(VLOOKUP(M7, [1]Conceptos!C:D, 2, FALSE), "")</f>
        <v/>
      </c>
      <c r="O7" s="13" t="str">
        <f>IFERROR(VLOOKUP(N7, [1]Conceptos!D:E, 2, FALSE), "")</f>
        <v/>
      </c>
      <c r="P7" s="13" t="str">
        <f>IFERROR(VLOOKUP(O7, [1]Conceptos!E:F, 2, FALSE), "")</f>
        <v/>
      </c>
      <c r="Q7" s="14" t="str">
        <f>IFERROR(VLOOKUP(P7, [1]Conceptos!F:G, 2, FALSE), "")</f>
        <v/>
      </c>
      <c r="R7" s="14" t="str">
        <f>IFERROR(VLOOKUP(Q7, [1]Conceptos!G:H, 2, FALSE), "")</f>
        <v/>
      </c>
    </row>
    <row r="8" spans="1:18" x14ac:dyDescent="0.35">
      <c r="A8" s="9"/>
      <c r="B8" s="9"/>
      <c r="C8" s="9"/>
      <c r="D8" s="9"/>
      <c r="E8" s="10"/>
      <c r="F8" s="9"/>
      <c r="G8" s="9"/>
      <c r="H8" s="10">
        <v>46173</v>
      </c>
      <c r="I8" s="9"/>
      <c r="J8" s="9"/>
      <c r="K8" s="9"/>
      <c r="L8" s="11" t="str">
        <f>IFERROR(VLOOKUP(K8, [1]Conceptos!A:B, 2, FALSE), "")</f>
        <v/>
      </c>
      <c r="M8" s="12"/>
      <c r="N8" s="13" t="str">
        <f>IFERROR(VLOOKUP(M8, [1]Conceptos!C:D, 2, FALSE), "")</f>
        <v/>
      </c>
      <c r="O8" s="13" t="str">
        <f>IFERROR(VLOOKUP(N8, [1]Conceptos!D:E, 2, FALSE), "")</f>
        <v/>
      </c>
      <c r="P8" s="13" t="str">
        <f>IFERROR(VLOOKUP(O8, [1]Conceptos!E:F, 2, FALSE), "")</f>
        <v/>
      </c>
      <c r="Q8" s="14" t="str">
        <f>IFERROR(VLOOKUP(P8, [1]Conceptos!F:G, 2, FALSE), "")</f>
        <v/>
      </c>
      <c r="R8" s="14" t="str">
        <f>IFERROR(VLOOKUP(Q8, [1]Conceptos!G:H, 2, FALSE), "")</f>
        <v/>
      </c>
    </row>
    <row r="9" spans="1:18" x14ac:dyDescent="0.35">
      <c r="A9" s="15">
        <v>6</v>
      </c>
      <c r="B9" s="15" t="s">
        <v>157</v>
      </c>
      <c r="C9" s="9"/>
      <c r="D9" s="9"/>
      <c r="E9" s="10"/>
      <c r="F9" s="9"/>
      <c r="G9" s="9"/>
      <c r="H9" s="10">
        <v>46173</v>
      </c>
      <c r="I9" s="9">
        <v>2</v>
      </c>
      <c r="J9" s="9"/>
      <c r="K9" s="9" t="s">
        <v>158</v>
      </c>
      <c r="L9" s="11" t="str">
        <f>IFERROR(VLOOKUP(K9, [1]Conceptos!A:B, 2, FALSE), "")</f>
        <v>0.010</v>
      </c>
      <c r="M9" s="12"/>
      <c r="N9" s="13"/>
      <c r="O9" s="13" t="str">
        <f>IFERROR(VLOOKUP(N9, [1]Conceptos!D:E, 2, FALSE), "")</f>
        <v/>
      </c>
      <c r="P9" s="13" t="str">
        <f>IFERROR(VLOOKUP(O9, [1]Conceptos!E:F, 2, FALSE), "")</f>
        <v/>
      </c>
      <c r="Q9" s="14" t="str">
        <f>IFERROR(VLOOKUP(P9, [1]Conceptos!F:G, 2, FALSE), "")</f>
        <v/>
      </c>
      <c r="R9" s="14" t="str">
        <f>IFERROR(VLOOKUP(Q9, [1]Conceptos!G:H, 2, FALSE), "")</f>
        <v/>
      </c>
    </row>
    <row r="10" spans="1:18" x14ac:dyDescent="0.35">
      <c r="A10" s="15">
        <v>8</v>
      </c>
      <c r="B10" s="15" t="s">
        <v>159</v>
      </c>
      <c r="C10" s="9"/>
      <c r="D10" s="9"/>
      <c r="E10" s="10"/>
      <c r="F10" s="9"/>
      <c r="G10" s="9"/>
      <c r="H10" s="10">
        <v>46173</v>
      </c>
      <c r="I10" s="9">
        <v>42</v>
      </c>
      <c r="J10" s="9"/>
      <c r="K10" s="9" t="s">
        <v>158</v>
      </c>
      <c r="L10" s="11" t="str">
        <f>IFERROR(VLOOKUP(K10, [1]Conceptos!A:B, 2, FALSE), "")</f>
        <v>0.010</v>
      </c>
      <c r="M10" s="12"/>
      <c r="N10" s="13"/>
      <c r="O10" s="13" t="str">
        <f>IFERROR(VLOOKUP(N10, [1]Conceptos!D:E, 2, FALSE), "")</f>
        <v/>
      </c>
      <c r="P10" s="13" t="str">
        <f>IFERROR(VLOOKUP(O10, [1]Conceptos!E:F, 2, FALSE), "")</f>
        <v/>
      </c>
      <c r="Q10" s="14" t="str">
        <f>IFERROR(VLOOKUP(P10, [1]Conceptos!F:G, 2, FALSE), "")</f>
        <v/>
      </c>
      <c r="R10" s="14" t="str">
        <f>IFERROR(VLOOKUP(Q10, [1]Conceptos!G:H, 2, FALSE), "")</f>
        <v/>
      </c>
    </row>
    <row r="11" spans="1:18" x14ac:dyDescent="0.35">
      <c r="A11" s="15">
        <v>28</v>
      </c>
      <c r="B11" s="15" t="s">
        <v>160</v>
      </c>
      <c r="C11" s="9"/>
      <c r="D11" s="9"/>
      <c r="E11" s="10"/>
      <c r="F11" s="9"/>
      <c r="G11" s="9"/>
      <c r="H11" s="10">
        <v>46173</v>
      </c>
      <c r="I11" s="9">
        <v>15</v>
      </c>
      <c r="J11" s="9"/>
      <c r="K11" s="9" t="s">
        <v>158</v>
      </c>
      <c r="L11" s="11" t="str">
        <f>IFERROR(VLOOKUP(K11, [1]Conceptos!A:B, 2, FALSE), "")</f>
        <v>0.010</v>
      </c>
      <c r="M11" s="12"/>
      <c r="N11" s="13"/>
      <c r="O11" s="13" t="str">
        <f>IFERROR(VLOOKUP(N11, [1]Conceptos!D:E, 2, FALSE), "")</f>
        <v/>
      </c>
      <c r="P11" s="13" t="str">
        <f>IFERROR(VLOOKUP(O11, [1]Conceptos!E:F, 2, FALSE), "")</f>
        <v/>
      </c>
      <c r="Q11" s="14" t="str">
        <f>IFERROR(VLOOKUP(P11, [1]Conceptos!F:G, 2, FALSE), "")</f>
        <v/>
      </c>
      <c r="R11" s="14" t="str">
        <f>IFERROR(VLOOKUP(Q11, [1]Conceptos!G:H, 2, FALSE), "")</f>
        <v/>
      </c>
    </row>
    <row r="12" spans="1:18" x14ac:dyDescent="0.35">
      <c r="A12" s="15">
        <v>52</v>
      </c>
      <c r="B12" s="15" t="s">
        <v>161</v>
      </c>
      <c r="C12" s="9"/>
      <c r="D12" s="9"/>
      <c r="E12" s="10"/>
      <c r="F12" s="9"/>
      <c r="G12" s="9"/>
      <c r="H12" s="10">
        <v>46173</v>
      </c>
      <c r="I12" s="9">
        <v>1</v>
      </c>
      <c r="J12" s="9"/>
      <c r="K12" s="9" t="s">
        <v>158</v>
      </c>
      <c r="L12" s="11" t="str">
        <f>IFERROR(VLOOKUP(K12, [1]Conceptos!A:B, 2, FALSE), "")</f>
        <v>0.010</v>
      </c>
      <c r="M12" s="12"/>
      <c r="N12" s="13"/>
      <c r="O12" s="13" t="str">
        <f>IFERROR(VLOOKUP(N12, [1]Conceptos!D:E, 2, FALSE), "")</f>
        <v/>
      </c>
      <c r="P12" s="13" t="str">
        <f>IFERROR(VLOOKUP(O12, [1]Conceptos!E:F, 2, FALSE), "")</f>
        <v/>
      </c>
      <c r="Q12" s="14" t="str">
        <f>IFERROR(VLOOKUP(P12, [1]Conceptos!F:G, 2, FALSE), "")</f>
        <v/>
      </c>
      <c r="R12" s="14" t="str">
        <f>IFERROR(VLOOKUP(Q12, [1]Conceptos!G:H, 2, FALSE), "")</f>
        <v/>
      </c>
    </row>
    <row r="13" spans="1:18" x14ac:dyDescent="0.35">
      <c r="A13" s="15">
        <v>61</v>
      </c>
      <c r="B13" s="15" t="s">
        <v>162</v>
      </c>
      <c r="C13" s="9"/>
      <c r="D13" s="9"/>
      <c r="E13" s="10"/>
      <c r="F13" s="9"/>
      <c r="G13" s="9"/>
      <c r="H13" s="10">
        <v>46173</v>
      </c>
      <c r="I13" s="9">
        <v>23</v>
      </c>
      <c r="J13" s="9"/>
      <c r="K13" s="9" t="s">
        <v>158</v>
      </c>
      <c r="L13" s="11" t="str">
        <f>IFERROR(VLOOKUP(K13, [1]Conceptos!A:B, 2, FALSE), "")</f>
        <v>0.010</v>
      </c>
      <c r="M13" s="12"/>
      <c r="N13" s="13"/>
      <c r="O13" s="13" t="str">
        <f>IFERROR(VLOOKUP(N13, [1]Conceptos!D:E, 2, FALSE), "")</f>
        <v/>
      </c>
      <c r="P13" s="13" t="str">
        <f>IFERROR(VLOOKUP(O13, [1]Conceptos!E:F, 2, FALSE), "")</f>
        <v/>
      </c>
      <c r="Q13" s="14" t="str">
        <f>IFERROR(VLOOKUP(P13, [1]Conceptos!F:G, 2, FALSE), "")</f>
        <v/>
      </c>
      <c r="R13" s="14" t="str">
        <f>IFERROR(VLOOKUP(Q13, [1]Conceptos!G:H, 2, FALSE), "")</f>
        <v/>
      </c>
    </row>
    <row r="14" spans="1:18" x14ac:dyDescent="0.35">
      <c r="A14" s="15">
        <v>134</v>
      </c>
      <c r="B14" s="15" t="s">
        <v>163</v>
      </c>
      <c r="C14" s="9"/>
      <c r="D14" s="9"/>
      <c r="E14" s="10"/>
      <c r="F14" s="9"/>
      <c r="G14" s="9"/>
      <c r="H14" s="10">
        <v>46173</v>
      </c>
      <c r="I14" s="9">
        <v>4</v>
      </c>
      <c r="J14" s="9"/>
      <c r="K14" s="9" t="s">
        <v>158</v>
      </c>
      <c r="L14" s="11" t="str">
        <f>IFERROR(VLOOKUP(K14, [1]Conceptos!A:B, 2, FALSE), "")</f>
        <v>0.010</v>
      </c>
      <c r="M14" s="12"/>
      <c r="N14" s="13"/>
      <c r="O14" s="13" t="str">
        <f>IFERROR(VLOOKUP(N14, [1]Conceptos!D:E, 2, FALSE), "")</f>
        <v/>
      </c>
      <c r="P14" s="13" t="str">
        <f>IFERROR(VLOOKUP(O14, [1]Conceptos!E:F, 2, FALSE), "")</f>
        <v/>
      </c>
      <c r="Q14" s="14" t="str">
        <f>IFERROR(VLOOKUP(P14, [1]Conceptos!F:G, 2, FALSE), "")</f>
        <v/>
      </c>
      <c r="R14" s="14" t="str">
        <f>IFERROR(VLOOKUP(Q14, [1]Conceptos!G:H, 2, FALSE), "")</f>
        <v/>
      </c>
    </row>
    <row r="15" spans="1:18" x14ac:dyDescent="0.35">
      <c r="A15" s="15">
        <v>147</v>
      </c>
      <c r="B15" s="15" t="s">
        <v>164</v>
      </c>
      <c r="C15" s="9"/>
      <c r="D15" s="9"/>
      <c r="E15" s="10"/>
      <c r="F15" s="9"/>
      <c r="G15" s="9"/>
      <c r="H15" s="10">
        <v>46173</v>
      </c>
      <c r="I15" s="9">
        <v>3</v>
      </c>
      <c r="J15" s="9"/>
      <c r="K15" s="9" t="s">
        <v>158</v>
      </c>
      <c r="L15" s="11" t="str">
        <f>IFERROR(VLOOKUP(K15, [1]Conceptos!A:B, 2, FALSE), "")</f>
        <v>0.010</v>
      </c>
      <c r="M15" s="12"/>
      <c r="N15" s="13"/>
      <c r="O15" s="13" t="str">
        <f>IFERROR(VLOOKUP(N15, [1]Conceptos!D:E, 2, FALSE), "")</f>
        <v/>
      </c>
      <c r="P15" s="13" t="str">
        <f>IFERROR(VLOOKUP(O15, [1]Conceptos!E:F, 2, FALSE), "")</f>
        <v/>
      </c>
      <c r="Q15" s="14" t="str">
        <f>IFERROR(VLOOKUP(P15, [1]Conceptos!F:G, 2, FALSE), "")</f>
        <v/>
      </c>
      <c r="R15" s="14" t="str">
        <f>IFERROR(VLOOKUP(Q15, [1]Conceptos!G:H, 2, FALSE), "")</f>
        <v/>
      </c>
    </row>
    <row r="16" spans="1:18" x14ac:dyDescent="0.35">
      <c r="A16" s="15">
        <v>157</v>
      </c>
      <c r="B16" s="15" t="s">
        <v>165</v>
      </c>
      <c r="C16" s="9"/>
      <c r="D16" s="9"/>
      <c r="E16" s="10"/>
      <c r="F16" s="9"/>
      <c r="G16" s="9"/>
      <c r="H16" s="10">
        <v>46173</v>
      </c>
      <c r="I16" s="9">
        <v>11</v>
      </c>
      <c r="J16" s="9"/>
      <c r="K16" s="9" t="s">
        <v>158</v>
      </c>
      <c r="L16" s="11" t="str">
        <f>IFERROR(VLOOKUP(K16, [1]Conceptos!A:B, 2, FALSE), "")</f>
        <v>0.010</v>
      </c>
      <c r="M16" s="12"/>
      <c r="N16" s="13"/>
      <c r="O16" s="13" t="str">
        <f>IFERROR(VLOOKUP(N16, [1]Conceptos!D:E, 2, FALSE), "")</f>
        <v/>
      </c>
      <c r="P16" s="13" t="str">
        <f>IFERROR(VLOOKUP(O16, [1]Conceptos!E:F, 2, FALSE), "")</f>
        <v/>
      </c>
      <c r="Q16" s="14" t="str">
        <f>IFERROR(VLOOKUP(P16, [1]Conceptos!F:G, 2, FALSE), "")</f>
        <v/>
      </c>
      <c r="R16" s="14" t="str">
        <f>IFERROR(VLOOKUP(Q16, [1]Conceptos!G:H, 2, FALSE), "")</f>
        <v/>
      </c>
    </row>
    <row r="17" spans="1:18" x14ac:dyDescent="0.35">
      <c r="A17" s="15">
        <v>171</v>
      </c>
      <c r="B17" s="15" t="s">
        <v>166</v>
      </c>
      <c r="C17" s="9"/>
      <c r="D17" s="9"/>
      <c r="E17" s="10"/>
      <c r="F17" s="9"/>
      <c r="G17" s="9"/>
      <c r="H17" s="10">
        <v>46173</v>
      </c>
      <c r="I17" s="9">
        <v>16</v>
      </c>
      <c r="J17" s="9"/>
      <c r="K17" s="9" t="s">
        <v>158</v>
      </c>
      <c r="L17" s="11" t="str">
        <f>IFERROR(VLOOKUP(K17, [1]Conceptos!A:B, 2, FALSE), "")</f>
        <v>0.010</v>
      </c>
      <c r="M17" s="12"/>
      <c r="N17" s="13"/>
      <c r="O17" s="13" t="str">
        <f>IFERROR(VLOOKUP(N17, [1]Conceptos!D:E, 2, FALSE), "")</f>
        <v/>
      </c>
      <c r="P17" s="13" t="str">
        <f>IFERROR(VLOOKUP(O17, [1]Conceptos!E:F, 2, FALSE), "")</f>
        <v/>
      </c>
      <c r="Q17" s="14" t="str">
        <f>IFERROR(VLOOKUP(P17, [1]Conceptos!F:G, 2, FALSE), "")</f>
        <v/>
      </c>
      <c r="R17" s="14" t="str">
        <f>IFERROR(VLOOKUP(Q17, [1]Conceptos!G:H, 2, FALSE), "")</f>
        <v/>
      </c>
    </row>
    <row r="18" spans="1:18" x14ac:dyDescent="0.35">
      <c r="A18" s="15">
        <v>205</v>
      </c>
      <c r="B18" s="15" t="s">
        <v>167</v>
      </c>
      <c r="C18" s="9"/>
      <c r="D18" s="9"/>
      <c r="E18" s="10"/>
      <c r="F18" s="9"/>
      <c r="G18" s="9"/>
      <c r="H18" s="10">
        <v>46173</v>
      </c>
      <c r="I18" s="9">
        <v>46</v>
      </c>
      <c r="J18" s="9"/>
      <c r="K18" s="9" t="s">
        <v>158</v>
      </c>
      <c r="L18" s="11" t="str">
        <f>IFERROR(VLOOKUP(K18, [1]Conceptos!A:B, 2, FALSE), "")</f>
        <v>0.010</v>
      </c>
      <c r="M18" s="12"/>
      <c r="N18" s="13"/>
      <c r="O18" s="13" t="str">
        <f>IFERROR(VLOOKUP(N18, [1]Conceptos!D:E, 2, FALSE), "")</f>
        <v/>
      </c>
      <c r="P18" s="13" t="str">
        <f>IFERROR(VLOOKUP(O18, [1]Conceptos!E:F, 2, FALSE), "")</f>
        <v/>
      </c>
      <c r="Q18" s="14" t="str">
        <f>IFERROR(VLOOKUP(P18, [1]Conceptos!F:G, 2, FALSE), "")</f>
        <v/>
      </c>
      <c r="R18" s="14" t="str">
        <f>IFERROR(VLOOKUP(Q18, [1]Conceptos!G:H, 2, FALSE), "")</f>
        <v/>
      </c>
    </row>
    <row r="19" spans="1:18" x14ac:dyDescent="0.35">
      <c r="A19" s="15">
        <v>233</v>
      </c>
      <c r="B19" s="15" t="s">
        <v>168</v>
      </c>
      <c r="C19" s="9"/>
      <c r="D19" s="9"/>
      <c r="E19" s="10"/>
      <c r="F19" s="9"/>
      <c r="G19" s="9"/>
      <c r="H19" s="10">
        <v>46173</v>
      </c>
      <c r="I19" s="9">
        <v>3</v>
      </c>
      <c r="J19" s="9"/>
      <c r="K19" s="9" t="s">
        <v>158</v>
      </c>
      <c r="L19" s="11" t="str">
        <f>IFERROR(VLOOKUP(K19, [1]Conceptos!A:B, 2, FALSE), "")</f>
        <v>0.010</v>
      </c>
      <c r="M19" s="12"/>
      <c r="N19" s="13"/>
      <c r="O19" s="13" t="str">
        <f>IFERROR(VLOOKUP(N19, [1]Conceptos!D:E, 2, FALSE), "")</f>
        <v/>
      </c>
      <c r="P19" s="13" t="str">
        <f>IFERROR(VLOOKUP(O19, [1]Conceptos!E:F, 2, FALSE), "")</f>
        <v/>
      </c>
      <c r="Q19" s="14" t="str">
        <f>IFERROR(VLOOKUP(P19, [1]Conceptos!F:G, 2, FALSE), "")</f>
        <v/>
      </c>
      <c r="R19" s="14" t="str">
        <f>IFERROR(VLOOKUP(Q19, [1]Conceptos!G:H, 2, FALSE), "")</f>
        <v/>
      </c>
    </row>
    <row r="20" spans="1:18" x14ac:dyDescent="0.35">
      <c r="A20" s="15">
        <v>333</v>
      </c>
      <c r="B20" s="15" t="s">
        <v>169</v>
      </c>
      <c r="C20" s="9"/>
      <c r="D20" s="9"/>
      <c r="E20" s="10"/>
      <c r="F20" s="9"/>
      <c r="G20" s="9"/>
      <c r="H20" s="10">
        <v>46173</v>
      </c>
      <c r="I20" s="9">
        <v>2</v>
      </c>
      <c r="J20" s="9"/>
      <c r="K20" s="9" t="s">
        <v>158</v>
      </c>
      <c r="L20" s="11" t="str">
        <f>IFERROR(VLOOKUP(K20, [1]Conceptos!A:B, 2, FALSE), "")</f>
        <v>0.010</v>
      </c>
      <c r="M20" s="12"/>
      <c r="N20" s="13"/>
      <c r="O20" s="13" t="str">
        <f>IFERROR(VLOOKUP(N20, [1]Conceptos!D:E, 2, FALSE), "")</f>
        <v/>
      </c>
      <c r="P20" s="13" t="str">
        <f>IFERROR(VLOOKUP(O20, [1]Conceptos!E:F, 2, FALSE), "")</f>
        <v/>
      </c>
      <c r="Q20" s="14" t="str">
        <f>IFERROR(VLOOKUP(P20, [1]Conceptos!F:G, 2, FALSE), "")</f>
        <v/>
      </c>
      <c r="R20" s="14" t="str">
        <f>IFERROR(VLOOKUP(Q20, [1]Conceptos!G:H, 2, FALSE), "")</f>
        <v/>
      </c>
    </row>
    <row r="21" spans="1:18" x14ac:dyDescent="0.35">
      <c r="A21" s="15">
        <v>347</v>
      </c>
      <c r="B21" s="15" t="s">
        <v>170</v>
      </c>
      <c r="C21" s="9"/>
      <c r="D21" s="9"/>
      <c r="E21" s="10"/>
      <c r="F21" s="9"/>
      <c r="G21" s="9"/>
      <c r="H21" s="10">
        <v>46173</v>
      </c>
      <c r="I21" s="9">
        <v>148</v>
      </c>
      <c r="J21" s="9"/>
      <c r="K21" s="9" t="s">
        <v>158</v>
      </c>
      <c r="L21" s="11" t="str">
        <f>IFERROR(VLOOKUP(K21, [1]Conceptos!A:B, 2, FALSE), "")</f>
        <v>0.010</v>
      </c>
      <c r="M21" s="12"/>
      <c r="N21" s="13"/>
      <c r="O21" s="13" t="str">
        <f>IFERROR(VLOOKUP(N21, [1]Conceptos!D:E, 2, FALSE), "")</f>
        <v/>
      </c>
      <c r="P21" s="13" t="str">
        <f>IFERROR(VLOOKUP(O21, [1]Conceptos!E:F, 2, FALSE), "")</f>
        <v/>
      </c>
      <c r="Q21" s="14" t="str">
        <f>IFERROR(VLOOKUP(P21, [1]Conceptos!F:G, 2, FALSE), "")</f>
        <v/>
      </c>
      <c r="R21" s="14" t="str">
        <f>IFERROR(VLOOKUP(Q21, [1]Conceptos!G:H, 2, FALSE), "")</f>
        <v/>
      </c>
    </row>
    <row r="22" spans="1:18" x14ac:dyDescent="0.35">
      <c r="A22" s="15">
        <v>393</v>
      </c>
      <c r="B22" s="15" t="s">
        <v>171</v>
      </c>
      <c r="C22" s="9"/>
      <c r="D22" s="9"/>
      <c r="E22" s="10"/>
      <c r="F22" s="9"/>
      <c r="G22" s="9"/>
      <c r="H22" s="10">
        <v>46173</v>
      </c>
      <c r="I22" s="9">
        <v>2</v>
      </c>
      <c r="J22" s="9"/>
      <c r="K22" s="9" t="s">
        <v>158</v>
      </c>
      <c r="L22" s="11" t="str">
        <f>IFERROR(VLOOKUP(K22, [1]Conceptos!A:B, 2, FALSE), "")</f>
        <v>0.010</v>
      </c>
      <c r="M22" s="12"/>
      <c r="N22" s="13"/>
      <c r="O22" s="13" t="str">
        <f>IFERROR(VLOOKUP(N22, [1]Conceptos!D:E, 2, FALSE), "")</f>
        <v/>
      </c>
      <c r="P22" s="13" t="str">
        <f>IFERROR(VLOOKUP(O22, [1]Conceptos!E:F, 2, FALSE), "")</f>
        <v/>
      </c>
      <c r="Q22" s="14" t="str">
        <f>IFERROR(VLOOKUP(P22, [1]Conceptos!F:G, 2, FALSE), "")</f>
        <v/>
      </c>
      <c r="R22" s="14" t="str">
        <f>IFERROR(VLOOKUP(Q22, [1]Conceptos!G:H, 2, FALSE), "")</f>
        <v/>
      </c>
    </row>
    <row r="23" spans="1:18" x14ac:dyDescent="0.35">
      <c r="A23" s="15">
        <v>419</v>
      </c>
      <c r="B23" s="15" t="s">
        <v>172</v>
      </c>
      <c r="C23" s="9"/>
      <c r="D23" s="9"/>
      <c r="E23" s="10"/>
      <c r="F23" s="9"/>
      <c r="G23" s="9"/>
      <c r="H23" s="10">
        <v>46173</v>
      </c>
      <c r="I23" s="9">
        <v>7</v>
      </c>
      <c r="J23" s="9"/>
      <c r="K23" s="9" t="s">
        <v>158</v>
      </c>
      <c r="L23" s="11" t="str">
        <f>IFERROR(VLOOKUP(K23, [1]Conceptos!A:B, 2, FALSE), "")</f>
        <v>0.010</v>
      </c>
      <c r="M23" s="12"/>
      <c r="N23" s="13"/>
      <c r="O23" s="13" t="str">
        <f>IFERROR(VLOOKUP(N23, [1]Conceptos!D:E, 2, FALSE), "")</f>
        <v/>
      </c>
      <c r="P23" s="13" t="str">
        <f>IFERROR(VLOOKUP(O23, [1]Conceptos!E:F, 2, FALSE), "")</f>
        <v/>
      </c>
      <c r="Q23" s="14" t="str">
        <f>IFERROR(VLOOKUP(P23, [1]Conceptos!F:G, 2, FALSE), "")</f>
        <v/>
      </c>
      <c r="R23" s="14" t="str">
        <f>IFERROR(VLOOKUP(Q23, [1]Conceptos!G:H, 2, FALSE), "")</f>
        <v/>
      </c>
    </row>
    <row r="24" spans="1:18" x14ac:dyDescent="0.35">
      <c r="A24" s="15">
        <v>444</v>
      </c>
      <c r="B24" s="15" t="s">
        <v>173</v>
      </c>
      <c r="C24" s="9"/>
      <c r="D24" s="9"/>
      <c r="E24" s="10"/>
      <c r="F24" s="9"/>
      <c r="G24" s="9"/>
      <c r="H24" s="10">
        <v>46173</v>
      </c>
      <c r="I24" s="9">
        <v>3</v>
      </c>
      <c r="J24" s="9"/>
      <c r="K24" s="9" t="s">
        <v>158</v>
      </c>
      <c r="L24" s="11" t="str">
        <f>IFERROR(VLOOKUP(K24, [1]Conceptos!A:B, 2, FALSE), "")</f>
        <v>0.010</v>
      </c>
      <c r="M24" s="12"/>
      <c r="N24" s="13"/>
      <c r="O24" s="13" t="str">
        <f>IFERROR(VLOOKUP(N24, [1]Conceptos!D:E, 2, FALSE), "")</f>
        <v/>
      </c>
      <c r="P24" s="13" t="str">
        <f>IFERROR(VLOOKUP(O24, [1]Conceptos!E:F, 2, FALSE), "")</f>
        <v/>
      </c>
      <c r="Q24" s="14" t="str">
        <f>IFERROR(VLOOKUP(P24, [1]Conceptos!F:G, 2, FALSE), "")</f>
        <v/>
      </c>
      <c r="R24" s="14" t="str">
        <f>IFERROR(VLOOKUP(Q24, [1]Conceptos!G:H, 2, FALSE), "")</f>
        <v/>
      </c>
    </row>
    <row r="25" spans="1:18" x14ac:dyDescent="0.35">
      <c r="A25" s="15">
        <v>466</v>
      </c>
      <c r="B25" s="15" t="s">
        <v>174</v>
      </c>
      <c r="C25" s="9"/>
      <c r="D25" s="9"/>
      <c r="E25" s="10"/>
      <c r="F25" s="9"/>
      <c r="G25" s="9"/>
      <c r="H25" s="10">
        <v>46173</v>
      </c>
      <c r="I25" s="9">
        <v>8</v>
      </c>
      <c r="J25" s="9"/>
      <c r="K25" s="9" t="s">
        <v>158</v>
      </c>
      <c r="L25" s="11" t="str">
        <f>IFERROR(VLOOKUP(K25, [1]Conceptos!A:B, 2, FALSE), "")</f>
        <v>0.010</v>
      </c>
      <c r="M25" s="12"/>
      <c r="N25" s="13"/>
      <c r="O25" s="13" t="str">
        <f>IFERROR(VLOOKUP(N25, [1]Conceptos!D:E, 2, FALSE), "")</f>
        <v/>
      </c>
      <c r="P25" s="13" t="str">
        <f>IFERROR(VLOOKUP(O25, [1]Conceptos!E:F, 2, FALSE), "")</f>
        <v/>
      </c>
      <c r="Q25" s="14" t="str">
        <f>IFERROR(VLOOKUP(P25, [1]Conceptos!F:G, 2, FALSE), "")</f>
        <v/>
      </c>
      <c r="R25" s="14" t="str">
        <f>IFERROR(VLOOKUP(Q25, [1]Conceptos!G:H, 2, FALSE), "")</f>
        <v/>
      </c>
    </row>
    <row r="26" spans="1:18" x14ac:dyDescent="0.35">
      <c r="A26" s="15">
        <v>585</v>
      </c>
      <c r="B26" s="15" t="s">
        <v>175</v>
      </c>
      <c r="C26" s="9"/>
      <c r="D26" s="9"/>
      <c r="E26" s="10"/>
      <c r="F26" s="9"/>
      <c r="G26" s="9"/>
      <c r="H26" s="10">
        <v>46173</v>
      </c>
      <c r="I26" s="9">
        <v>6</v>
      </c>
      <c r="J26" s="9"/>
      <c r="K26" s="9" t="s">
        <v>158</v>
      </c>
      <c r="L26" s="11" t="str">
        <f>IFERROR(VLOOKUP(K26, [1]Conceptos!A:B, 2, FALSE), "")</f>
        <v>0.010</v>
      </c>
      <c r="M26" s="12"/>
      <c r="N26" s="13"/>
      <c r="O26" s="13" t="str">
        <f>IFERROR(VLOOKUP(N26, [1]Conceptos!D:E, 2, FALSE), "")</f>
        <v/>
      </c>
      <c r="P26" s="13" t="str">
        <f>IFERROR(VLOOKUP(O26, [1]Conceptos!E:F, 2, FALSE), "")</f>
        <v/>
      </c>
      <c r="Q26" s="14" t="str">
        <f>IFERROR(VLOOKUP(P26, [1]Conceptos!F:G, 2, FALSE), "")</f>
        <v/>
      </c>
      <c r="R26" s="14" t="str">
        <f>IFERROR(VLOOKUP(Q26, [1]Conceptos!G:H, 2, FALSE), "")</f>
        <v/>
      </c>
    </row>
    <row r="27" spans="1:18" x14ac:dyDescent="0.35">
      <c r="A27" s="15">
        <v>621</v>
      </c>
      <c r="B27" s="15" t="s">
        <v>176</v>
      </c>
      <c r="C27" s="9"/>
      <c r="D27" s="9"/>
      <c r="E27" s="10"/>
      <c r="F27" s="9"/>
      <c r="G27" s="9"/>
      <c r="H27" s="10">
        <v>46173</v>
      </c>
      <c r="I27" s="9">
        <v>13</v>
      </c>
      <c r="J27" s="9"/>
      <c r="K27" s="9" t="s">
        <v>158</v>
      </c>
      <c r="L27" s="11" t="str">
        <f>IFERROR(VLOOKUP(K27, [1]Conceptos!A:B, 2, FALSE), "")</f>
        <v>0.010</v>
      </c>
      <c r="M27" s="12"/>
      <c r="N27" s="13"/>
      <c r="O27" s="13" t="str">
        <f>IFERROR(VLOOKUP(N27, [1]Conceptos!D:E, 2, FALSE), "")</f>
        <v/>
      </c>
      <c r="P27" s="13" t="str">
        <f>IFERROR(VLOOKUP(O27, [1]Conceptos!E:F, 2, FALSE), "")</f>
        <v/>
      </c>
      <c r="Q27" s="14" t="str">
        <f>IFERROR(VLOOKUP(P27, [1]Conceptos!F:G, 2, FALSE), "")</f>
        <v/>
      </c>
      <c r="R27" s="14" t="str">
        <f>IFERROR(VLOOKUP(Q27, [1]Conceptos!G:H, 2, FALSE), "")</f>
        <v/>
      </c>
    </row>
    <row r="28" spans="1:18" x14ac:dyDescent="0.35">
      <c r="A28" s="15">
        <v>641</v>
      </c>
      <c r="B28" s="15" t="s">
        <v>177</v>
      </c>
      <c r="C28" s="9"/>
      <c r="D28" s="9"/>
      <c r="E28" s="10"/>
      <c r="F28" s="9"/>
      <c r="G28" s="9"/>
      <c r="H28" s="10">
        <v>46173</v>
      </c>
      <c r="I28" s="9">
        <v>1</v>
      </c>
      <c r="J28" s="9"/>
      <c r="K28" s="9" t="s">
        <v>158</v>
      </c>
      <c r="L28" s="11" t="str">
        <f>IFERROR(VLOOKUP(K28, [1]Conceptos!A:B, 2, FALSE), "")</f>
        <v>0.010</v>
      </c>
      <c r="M28" s="12"/>
      <c r="N28" s="13"/>
      <c r="O28" s="13" t="str">
        <f>IFERROR(VLOOKUP(N28, [1]Conceptos!D:E, 2, FALSE), "")</f>
        <v/>
      </c>
      <c r="P28" s="13" t="str">
        <f>IFERROR(VLOOKUP(O28, [1]Conceptos!E:F, 2, FALSE), "")</f>
        <v/>
      </c>
      <c r="Q28" s="14" t="str">
        <f>IFERROR(VLOOKUP(P28, [1]Conceptos!F:G, 2, FALSE), "")</f>
        <v/>
      </c>
      <c r="R28" s="14" t="str">
        <f>IFERROR(VLOOKUP(Q28, [1]Conceptos!G:H, 2, FALSE), "")</f>
        <v/>
      </c>
    </row>
    <row r="29" spans="1:18" x14ac:dyDescent="0.35">
      <c r="A29" s="15">
        <v>663</v>
      </c>
      <c r="B29" s="15" t="s">
        <v>178</v>
      </c>
      <c r="C29" s="9"/>
      <c r="D29" s="9"/>
      <c r="E29" s="10"/>
      <c r="F29" s="9"/>
      <c r="G29" s="9"/>
      <c r="H29" s="10">
        <v>46173</v>
      </c>
      <c r="I29" s="9">
        <v>1</v>
      </c>
      <c r="J29" s="9"/>
      <c r="K29" s="9" t="s">
        <v>158</v>
      </c>
      <c r="L29" s="11" t="str">
        <f>IFERROR(VLOOKUP(K29, [1]Conceptos!A:B, 2, FALSE), "")</f>
        <v>0.010</v>
      </c>
      <c r="M29" s="12"/>
      <c r="N29" s="13"/>
      <c r="O29" s="13" t="str">
        <f>IFERROR(VLOOKUP(N29, [1]Conceptos!D:E, 2, FALSE), "")</f>
        <v/>
      </c>
      <c r="P29" s="13" t="str">
        <f>IFERROR(VLOOKUP(O29, [1]Conceptos!E:F, 2, FALSE), "")</f>
        <v/>
      </c>
      <c r="Q29" s="14" t="str">
        <f>IFERROR(VLOOKUP(P29, [1]Conceptos!F:G, 2, FALSE), "")</f>
        <v/>
      </c>
      <c r="R29" s="14" t="str">
        <f>IFERROR(VLOOKUP(Q29, [1]Conceptos!G:H, 2, FALSE), "")</f>
        <v/>
      </c>
    </row>
    <row r="30" spans="1:18" x14ac:dyDescent="0.35">
      <c r="A30" s="15">
        <v>699</v>
      </c>
      <c r="B30" s="15" t="s">
        <v>179</v>
      </c>
      <c r="C30" s="9"/>
      <c r="D30" s="9"/>
      <c r="E30" s="10"/>
      <c r="F30" s="9"/>
      <c r="G30" s="9"/>
      <c r="H30" s="10">
        <v>46173</v>
      </c>
      <c r="I30" s="9">
        <v>6</v>
      </c>
      <c r="J30" s="9"/>
      <c r="K30" s="9" t="s">
        <v>158</v>
      </c>
      <c r="L30" s="11" t="str">
        <f>IFERROR(VLOOKUP(K30, [1]Conceptos!A:B, 2, FALSE), "")</f>
        <v>0.010</v>
      </c>
      <c r="M30" s="12"/>
      <c r="N30" s="13"/>
      <c r="O30" s="13" t="str">
        <f>IFERROR(VLOOKUP(N30, [1]Conceptos!D:E, 2, FALSE), "")</f>
        <v/>
      </c>
      <c r="P30" s="13" t="str">
        <f>IFERROR(VLOOKUP(O30, [1]Conceptos!E:F, 2, FALSE), "")</f>
        <v/>
      </c>
      <c r="Q30" s="14" t="str">
        <f>IFERROR(VLOOKUP(P30, [1]Conceptos!F:G, 2, FALSE), "")</f>
        <v/>
      </c>
      <c r="R30" s="14" t="str">
        <f>IFERROR(VLOOKUP(Q30, [1]Conceptos!G:H, 2, FALSE), "")</f>
        <v/>
      </c>
    </row>
    <row r="31" spans="1:18" x14ac:dyDescent="0.35">
      <c r="A31" s="15">
        <v>717</v>
      </c>
      <c r="B31" s="15" t="s">
        <v>180</v>
      </c>
      <c r="C31" s="9"/>
      <c r="D31" s="9"/>
      <c r="E31" s="10"/>
      <c r="F31" s="9"/>
      <c r="G31" s="9"/>
      <c r="H31" s="10">
        <v>46173</v>
      </c>
      <c r="I31" s="9">
        <v>18</v>
      </c>
      <c r="J31" s="9"/>
      <c r="K31" s="9" t="s">
        <v>158</v>
      </c>
      <c r="L31" s="11" t="str">
        <f>IFERROR(VLOOKUP(K31, [1]Conceptos!A:B, 2, FALSE), "")</f>
        <v>0.010</v>
      </c>
      <c r="M31" s="12"/>
      <c r="N31" s="13"/>
      <c r="O31" s="13" t="str">
        <f>IFERROR(VLOOKUP(N31, [1]Conceptos!D:E, 2, FALSE), "")</f>
        <v/>
      </c>
      <c r="P31" s="13" t="str">
        <f>IFERROR(VLOOKUP(O31, [1]Conceptos!E:F, 2, FALSE), "")</f>
        <v/>
      </c>
      <c r="Q31" s="14" t="str">
        <f>IFERROR(VLOOKUP(P31, [1]Conceptos!F:G, 2, FALSE), "")</f>
        <v/>
      </c>
      <c r="R31" s="14" t="str">
        <f>IFERROR(VLOOKUP(Q31, [1]Conceptos!G:H, 2, FALSE), "")</f>
        <v/>
      </c>
    </row>
    <row r="32" spans="1:18" x14ac:dyDescent="0.35">
      <c r="A32" s="15">
        <v>750</v>
      </c>
      <c r="B32" s="15" t="s">
        <v>181</v>
      </c>
      <c r="C32" s="9"/>
      <c r="D32" s="9"/>
      <c r="E32" s="10"/>
      <c r="F32" s="9"/>
      <c r="G32" s="9"/>
      <c r="H32" s="10">
        <v>46173</v>
      </c>
      <c r="I32" s="9">
        <v>2</v>
      </c>
      <c r="J32" s="9"/>
      <c r="K32" s="9" t="s">
        <v>158</v>
      </c>
      <c r="L32" s="11" t="str">
        <f>IFERROR(VLOOKUP(K32, [1]Conceptos!A:B, 2, FALSE), "")</f>
        <v>0.010</v>
      </c>
      <c r="M32" s="12"/>
      <c r="N32" s="13"/>
      <c r="O32" s="13" t="str">
        <f>IFERROR(VLOOKUP(N32, [1]Conceptos!D:E, 2, FALSE), "")</f>
        <v/>
      </c>
      <c r="P32" s="13" t="str">
        <f>IFERROR(VLOOKUP(O32, [1]Conceptos!E:F, 2, FALSE), "")</f>
        <v/>
      </c>
      <c r="Q32" s="14" t="str">
        <f>IFERROR(VLOOKUP(P32, [1]Conceptos!F:G, 2, FALSE), "")</f>
        <v/>
      </c>
      <c r="R32" s="14" t="str">
        <f>IFERROR(VLOOKUP(Q32, [1]Conceptos!G:H, 2, FALSE), "")</f>
        <v/>
      </c>
    </row>
    <row r="33" spans="1:18" x14ac:dyDescent="0.35">
      <c r="A33" s="15">
        <v>802</v>
      </c>
      <c r="B33" s="15" t="s">
        <v>182</v>
      </c>
      <c r="C33" s="9"/>
      <c r="D33" s="9"/>
      <c r="E33" s="10"/>
      <c r="F33" s="9"/>
      <c r="G33" s="9"/>
      <c r="H33" s="10">
        <v>46173</v>
      </c>
      <c r="I33" s="9">
        <v>12</v>
      </c>
      <c r="J33" s="9"/>
      <c r="K33" s="9" t="s">
        <v>158</v>
      </c>
      <c r="L33" s="11" t="str">
        <f>IFERROR(VLOOKUP(K33, [1]Conceptos!A:B, 2, FALSE), "")</f>
        <v>0.010</v>
      </c>
      <c r="M33" s="12"/>
      <c r="N33" s="13"/>
      <c r="O33" s="13" t="str">
        <f>IFERROR(VLOOKUP(N33, [1]Conceptos!D:E, 2, FALSE), "")</f>
        <v/>
      </c>
      <c r="P33" s="13" t="str">
        <f>IFERROR(VLOOKUP(O33, [1]Conceptos!E:F, 2, FALSE), "")</f>
        <v/>
      </c>
      <c r="Q33" s="14" t="str">
        <f>IFERROR(VLOOKUP(P33, [1]Conceptos!F:G, 2, FALSE), "")</f>
        <v/>
      </c>
      <c r="R33" s="14" t="str">
        <f>IFERROR(VLOOKUP(Q33, [1]Conceptos!G:H, 2, FALSE), "")</f>
        <v/>
      </c>
    </row>
    <row r="34" spans="1:18" x14ac:dyDescent="0.35">
      <c r="A34" s="15">
        <v>869</v>
      </c>
      <c r="B34" s="15" t="s">
        <v>183</v>
      </c>
      <c r="C34" s="9"/>
      <c r="D34" s="9"/>
      <c r="E34" s="10"/>
      <c r="F34" s="9"/>
      <c r="G34" s="9"/>
      <c r="H34" s="10">
        <v>46173</v>
      </c>
      <c r="I34" s="9">
        <v>4</v>
      </c>
      <c r="J34" s="9"/>
      <c r="K34" s="9" t="s">
        <v>158</v>
      </c>
      <c r="L34" s="11" t="str">
        <f>IFERROR(VLOOKUP(K34, [1]Conceptos!A:B, 2, FALSE), "")</f>
        <v>0.010</v>
      </c>
      <c r="M34" s="12"/>
      <c r="N34" s="13"/>
      <c r="O34" s="13" t="str">
        <f>IFERROR(VLOOKUP(N34, [1]Conceptos!D:E, 2, FALSE), "")</f>
        <v/>
      </c>
      <c r="P34" s="13" t="str">
        <f>IFERROR(VLOOKUP(O34, [1]Conceptos!E:F, 2, FALSE), "")</f>
        <v/>
      </c>
      <c r="Q34" s="14" t="str">
        <f>IFERROR(VLOOKUP(P34, [1]Conceptos!F:G, 2, FALSE), "")</f>
        <v/>
      </c>
      <c r="R34" s="14" t="str">
        <f>IFERROR(VLOOKUP(Q34, [1]Conceptos!G:H, 2, FALSE), "")</f>
        <v/>
      </c>
    </row>
    <row r="35" spans="1:18" x14ac:dyDescent="0.35">
      <c r="A35" s="15">
        <v>879</v>
      </c>
      <c r="B35" s="15" t="s">
        <v>184</v>
      </c>
      <c r="C35" s="9"/>
      <c r="D35" s="9"/>
      <c r="E35" s="10"/>
      <c r="F35" s="9"/>
      <c r="G35" s="9"/>
      <c r="H35" s="10">
        <v>46173</v>
      </c>
      <c r="I35" s="9">
        <v>1</v>
      </c>
      <c r="J35" s="9"/>
      <c r="K35" s="9" t="s">
        <v>158</v>
      </c>
      <c r="L35" s="11" t="str">
        <f>IFERROR(VLOOKUP(K35, [1]Conceptos!A:B, 2, FALSE), "")</f>
        <v>0.010</v>
      </c>
      <c r="M35" s="12"/>
      <c r="N35" s="13"/>
      <c r="O35" s="13" t="str">
        <f>IFERROR(VLOOKUP(N35, [1]Conceptos!D:E, 2, FALSE), "")</f>
        <v/>
      </c>
      <c r="P35" s="13" t="str">
        <f>IFERROR(VLOOKUP(O35, [1]Conceptos!E:F, 2, FALSE), "")</f>
        <v/>
      </c>
      <c r="Q35" s="14" t="str">
        <f>IFERROR(VLOOKUP(P35, [1]Conceptos!F:G, 2, FALSE), "")</f>
        <v/>
      </c>
      <c r="R35" s="14" t="str">
        <f>IFERROR(VLOOKUP(Q35, [1]Conceptos!G:H, 2, FALSE), "")</f>
        <v/>
      </c>
    </row>
    <row r="36" spans="1:18" x14ac:dyDescent="0.35">
      <c r="A36" s="15">
        <v>885</v>
      </c>
      <c r="B36" s="15" t="s">
        <v>185</v>
      </c>
      <c r="C36" s="9"/>
      <c r="D36" s="9"/>
      <c r="E36" s="10"/>
      <c r="F36" s="9"/>
      <c r="G36" s="9"/>
      <c r="H36" s="10">
        <v>46173</v>
      </c>
      <c r="I36" s="9">
        <v>1</v>
      </c>
      <c r="J36" s="9"/>
      <c r="K36" s="9" t="s">
        <v>158</v>
      </c>
      <c r="L36" s="11" t="str">
        <f>IFERROR(VLOOKUP(K36, [1]Conceptos!A:B, 2, FALSE), "")</f>
        <v>0.010</v>
      </c>
      <c r="M36" s="12"/>
      <c r="N36" s="13"/>
      <c r="O36" s="13" t="str">
        <f>IFERROR(VLOOKUP(N36, [1]Conceptos!D:E, 2, FALSE), "")</f>
        <v/>
      </c>
      <c r="P36" s="13" t="str">
        <f>IFERROR(VLOOKUP(O36, [1]Conceptos!E:F, 2, FALSE), "")</f>
        <v/>
      </c>
      <c r="Q36" s="14" t="str">
        <f>IFERROR(VLOOKUP(P36, [1]Conceptos!F:G, 2, FALSE), "")</f>
        <v/>
      </c>
      <c r="R36" s="14" t="str">
        <f>IFERROR(VLOOKUP(Q36, [1]Conceptos!G:H, 2, FALSE), "")</f>
        <v/>
      </c>
    </row>
    <row r="37" spans="1:18" x14ac:dyDescent="0.35">
      <c r="A37" s="15">
        <v>920</v>
      </c>
      <c r="B37" s="15" t="s">
        <v>186</v>
      </c>
      <c r="C37" s="9"/>
      <c r="D37" s="9"/>
      <c r="E37" s="10"/>
      <c r="F37" s="9"/>
      <c r="G37" s="9"/>
      <c r="H37" s="10">
        <v>46173</v>
      </c>
      <c r="I37" s="9">
        <v>5</v>
      </c>
      <c r="J37" s="9"/>
      <c r="K37" s="9" t="s">
        <v>158</v>
      </c>
      <c r="L37" s="11" t="str">
        <f>IFERROR(VLOOKUP(K37, [1]Conceptos!A:B, 2, FALSE), "")</f>
        <v>0.010</v>
      </c>
      <c r="M37" s="12"/>
      <c r="N37" s="13"/>
      <c r="O37" s="13" t="str">
        <f>IFERROR(VLOOKUP(N37, [1]Conceptos!D:E, 2, FALSE), "")</f>
        <v/>
      </c>
      <c r="P37" s="13" t="str">
        <f>IFERROR(VLOOKUP(O37, [1]Conceptos!E:F, 2, FALSE), "")</f>
        <v/>
      </c>
      <c r="Q37" s="14" t="str">
        <f>IFERROR(VLOOKUP(P37, [1]Conceptos!F:G, 2, FALSE), "")</f>
        <v/>
      </c>
      <c r="R37" s="14" t="str">
        <f>IFERROR(VLOOKUP(Q37, [1]Conceptos!G:H, 2, FALSE), "")</f>
        <v/>
      </c>
    </row>
    <row r="38" spans="1:18" x14ac:dyDescent="0.35">
      <c r="A38" s="15">
        <v>1003</v>
      </c>
      <c r="B38" s="15" t="s">
        <v>187</v>
      </c>
      <c r="C38" s="9"/>
      <c r="D38" s="9"/>
      <c r="E38" s="10"/>
      <c r="F38" s="9"/>
      <c r="G38" s="9"/>
      <c r="H38" s="10">
        <v>46173</v>
      </c>
      <c r="I38" s="9">
        <v>6</v>
      </c>
      <c r="J38" s="9"/>
      <c r="K38" s="9" t="s">
        <v>158</v>
      </c>
      <c r="L38" s="11" t="str">
        <f>IFERROR(VLOOKUP(K38, [1]Conceptos!A:B, 2, FALSE), "")</f>
        <v>0.010</v>
      </c>
      <c r="M38" s="12"/>
      <c r="N38" s="13"/>
      <c r="O38" s="13" t="str">
        <f>IFERROR(VLOOKUP(N38, [1]Conceptos!D:E, 2, FALSE), "")</f>
        <v/>
      </c>
      <c r="P38" s="13" t="str">
        <f>IFERROR(VLOOKUP(O38, [1]Conceptos!E:F, 2, FALSE), "")</f>
        <v/>
      </c>
      <c r="Q38" s="14" t="str">
        <f>IFERROR(VLOOKUP(P38, [1]Conceptos!F:G, 2, FALSE), "")</f>
        <v/>
      </c>
      <c r="R38" s="14" t="str">
        <f>IFERROR(VLOOKUP(Q38, [1]Conceptos!G:H, 2, FALSE), "")</f>
        <v/>
      </c>
    </row>
    <row r="39" spans="1:18" x14ac:dyDescent="0.35">
      <c r="A39" s="15">
        <v>1010</v>
      </c>
      <c r="B39" s="15" t="s">
        <v>188</v>
      </c>
      <c r="C39" s="9"/>
      <c r="D39" s="9"/>
      <c r="E39" s="10"/>
      <c r="F39" s="9"/>
      <c r="G39" s="9"/>
      <c r="H39" s="10">
        <v>46173</v>
      </c>
      <c r="I39" s="9">
        <v>13</v>
      </c>
      <c r="J39" s="9"/>
      <c r="K39" s="9" t="s">
        <v>158</v>
      </c>
      <c r="L39" s="11" t="str">
        <f>IFERROR(VLOOKUP(K39, [1]Conceptos!A:B, 2, FALSE), "")</f>
        <v>0.010</v>
      </c>
      <c r="M39" s="12"/>
      <c r="N39" s="13"/>
      <c r="O39" s="13" t="str">
        <f>IFERROR(VLOOKUP(N39, [1]Conceptos!D:E, 2, FALSE), "")</f>
        <v/>
      </c>
      <c r="P39" s="13" t="str">
        <f>IFERROR(VLOOKUP(O39, [1]Conceptos!E:F, 2, FALSE), "")</f>
        <v/>
      </c>
      <c r="Q39" s="14" t="str">
        <f>IFERROR(VLOOKUP(P39, [1]Conceptos!F:G, 2, FALSE), "")</f>
        <v/>
      </c>
      <c r="R39" s="14" t="str">
        <f>IFERROR(VLOOKUP(Q39, [1]Conceptos!G:H, 2, FALSE), "")</f>
        <v/>
      </c>
    </row>
    <row r="40" spans="1:18" x14ac:dyDescent="0.35">
      <c r="A40" s="15">
        <v>1012</v>
      </c>
      <c r="B40" s="15" t="s">
        <v>189</v>
      </c>
      <c r="C40" s="9"/>
      <c r="D40" s="9"/>
      <c r="E40" s="10"/>
      <c r="F40" s="9"/>
      <c r="G40" s="9"/>
      <c r="H40" s="10">
        <v>46173</v>
      </c>
      <c r="I40" s="9">
        <v>1</v>
      </c>
      <c r="J40" s="9"/>
      <c r="K40" s="9" t="s">
        <v>158</v>
      </c>
      <c r="L40" s="11" t="str">
        <f>IFERROR(VLOOKUP(K40, [1]Conceptos!A:B, 2, FALSE), "")</f>
        <v>0.010</v>
      </c>
      <c r="M40" s="12"/>
      <c r="N40" s="13"/>
      <c r="O40" s="13" t="str">
        <f>IFERROR(VLOOKUP(N40, [1]Conceptos!D:E, 2, FALSE), "")</f>
        <v/>
      </c>
      <c r="P40" s="13" t="str">
        <f>IFERROR(VLOOKUP(O40, [1]Conceptos!E:F, 2, FALSE), "")</f>
        <v/>
      </c>
      <c r="Q40" s="14" t="str">
        <f>IFERROR(VLOOKUP(P40, [1]Conceptos!F:G, 2, FALSE), "")</f>
        <v/>
      </c>
      <c r="R40" s="14" t="str">
        <f>IFERROR(VLOOKUP(Q40, [1]Conceptos!G:H, 2, FALSE), "")</f>
        <v/>
      </c>
    </row>
    <row r="41" spans="1:18" x14ac:dyDescent="0.35">
      <c r="A41" s="15">
        <v>1020</v>
      </c>
      <c r="B41" s="15" t="s">
        <v>190</v>
      </c>
      <c r="C41" s="9"/>
      <c r="D41" s="9"/>
      <c r="E41" s="10"/>
      <c r="F41" s="9"/>
      <c r="G41" s="9"/>
      <c r="H41" s="10">
        <v>46173</v>
      </c>
      <c r="I41" s="9">
        <v>6</v>
      </c>
      <c r="J41" s="9"/>
      <c r="K41" s="9" t="s">
        <v>158</v>
      </c>
      <c r="L41" s="11" t="str">
        <f>IFERROR(VLOOKUP(K41, [1]Conceptos!A:B, 2, FALSE), "")</f>
        <v>0.010</v>
      </c>
      <c r="M41" s="12"/>
      <c r="N41" s="13"/>
      <c r="O41" s="13" t="str">
        <f>IFERROR(VLOOKUP(N41, [1]Conceptos!D:E, 2, FALSE), "")</f>
        <v/>
      </c>
      <c r="P41" s="13" t="str">
        <f>IFERROR(VLOOKUP(O41, [1]Conceptos!E:F, 2, FALSE), "")</f>
        <v/>
      </c>
      <c r="Q41" s="14" t="str">
        <f>IFERROR(VLOOKUP(P41, [1]Conceptos!F:G, 2, FALSE), "")</f>
        <v/>
      </c>
      <c r="R41" s="14" t="str">
        <f>IFERROR(VLOOKUP(Q41, [1]Conceptos!G:H, 2, FALSE), "")</f>
        <v/>
      </c>
    </row>
    <row r="42" spans="1:18" x14ac:dyDescent="0.35">
      <c r="A42" s="15">
        <v>1025</v>
      </c>
      <c r="B42" s="15" t="s">
        <v>191</v>
      </c>
      <c r="C42" s="9"/>
      <c r="D42" s="9"/>
      <c r="E42" s="10"/>
      <c r="F42" s="9"/>
      <c r="G42" s="9"/>
      <c r="H42" s="10">
        <v>46173</v>
      </c>
      <c r="I42" s="9">
        <v>1</v>
      </c>
      <c r="J42" s="9"/>
      <c r="K42" s="9" t="s">
        <v>158</v>
      </c>
      <c r="L42" s="11" t="str">
        <f>IFERROR(VLOOKUP(K42, [1]Conceptos!A:B, 2, FALSE), "")</f>
        <v>0.010</v>
      </c>
      <c r="M42" s="12"/>
      <c r="N42" s="13"/>
      <c r="O42" s="13" t="str">
        <f>IFERROR(VLOOKUP(N42, [1]Conceptos!D:E, 2, FALSE), "")</f>
        <v/>
      </c>
      <c r="P42" s="13" t="str">
        <f>IFERROR(VLOOKUP(O42, [1]Conceptos!E:F, 2, FALSE), "")</f>
        <v/>
      </c>
      <c r="Q42" s="14" t="str">
        <f>IFERROR(VLOOKUP(P42, [1]Conceptos!F:G, 2, FALSE), "")</f>
        <v/>
      </c>
      <c r="R42" s="14" t="str">
        <f>IFERROR(VLOOKUP(Q42, [1]Conceptos!G:H, 2, FALSE), "")</f>
        <v/>
      </c>
    </row>
    <row r="43" spans="1:18" x14ac:dyDescent="0.35">
      <c r="A43" s="15">
        <v>1031</v>
      </c>
      <c r="B43" s="15" t="s">
        <v>192</v>
      </c>
      <c r="C43" s="9"/>
      <c r="D43" s="9"/>
      <c r="E43" s="10"/>
      <c r="F43" s="9"/>
      <c r="G43" s="9"/>
      <c r="H43" s="10">
        <v>46173</v>
      </c>
      <c r="I43" s="9">
        <v>2</v>
      </c>
      <c r="J43" s="9"/>
      <c r="K43" s="9" t="s">
        <v>158</v>
      </c>
      <c r="L43" s="11" t="str">
        <f>IFERROR(VLOOKUP(K43, [1]Conceptos!A:B, 2, FALSE), "")</f>
        <v>0.010</v>
      </c>
      <c r="M43" s="12"/>
      <c r="N43" s="13"/>
      <c r="O43" s="13" t="str">
        <f>IFERROR(VLOOKUP(N43, [1]Conceptos!D:E, 2, FALSE), "")</f>
        <v/>
      </c>
      <c r="P43" s="13" t="str">
        <f>IFERROR(VLOOKUP(O43, [1]Conceptos!E:F, 2, FALSE), "")</f>
        <v/>
      </c>
      <c r="Q43" s="14" t="str">
        <f>IFERROR(VLOOKUP(P43, [1]Conceptos!F:G, 2, FALSE), "")</f>
        <v/>
      </c>
      <c r="R43" s="14" t="str">
        <f>IFERROR(VLOOKUP(Q43, [1]Conceptos!G:H, 2, FALSE), "")</f>
        <v/>
      </c>
    </row>
    <row r="44" spans="1:18" x14ac:dyDescent="0.35">
      <c r="A44" s="15">
        <v>1036</v>
      </c>
      <c r="B44" s="15" t="s">
        <v>193</v>
      </c>
      <c r="C44" s="9"/>
      <c r="D44" s="9"/>
      <c r="E44" s="10"/>
      <c r="F44" s="9"/>
      <c r="G44" s="9"/>
      <c r="H44" s="10">
        <v>46173</v>
      </c>
      <c r="I44" s="9">
        <v>4</v>
      </c>
      <c r="J44" s="9"/>
      <c r="K44" s="9" t="s">
        <v>158</v>
      </c>
      <c r="L44" s="11" t="str">
        <f>IFERROR(VLOOKUP(K44, [1]Conceptos!A:B, 2, FALSE), "")</f>
        <v>0.010</v>
      </c>
      <c r="M44" s="12"/>
      <c r="N44" s="13"/>
      <c r="O44" s="13" t="str">
        <f>IFERROR(VLOOKUP(N44, [1]Conceptos!D:E, 2, FALSE), "")</f>
        <v/>
      </c>
      <c r="P44" s="13" t="str">
        <f>IFERROR(VLOOKUP(O44, [1]Conceptos!E:F, 2, FALSE), "")</f>
        <v/>
      </c>
      <c r="Q44" s="14" t="str">
        <f>IFERROR(VLOOKUP(P44, [1]Conceptos!F:G, 2, FALSE), "")</f>
        <v/>
      </c>
      <c r="R44" s="14" t="str">
        <f>IFERROR(VLOOKUP(Q44, [1]Conceptos!G:H, 2, FALSE), "")</f>
        <v/>
      </c>
    </row>
    <row r="45" spans="1:18" x14ac:dyDescent="0.35">
      <c r="A45" s="15">
        <v>1087</v>
      </c>
      <c r="B45" s="15" t="s">
        <v>194</v>
      </c>
      <c r="C45" s="9"/>
      <c r="D45" s="9"/>
      <c r="E45" s="10"/>
      <c r="F45" s="9"/>
      <c r="G45" s="9"/>
      <c r="H45" s="10">
        <v>46173</v>
      </c>
      <c r="I45" s="9">
        <v>2</v>
      </c>
      <c r="J45" s="9"/>
      <c r="K45" s="9" t="s">
        <v>158</v>
      </c>
      <c r="L45" s="11" t="str">
        <f>IFERROR(VLOOKUP(K45, [1]Conceptos!A:B, 2, FALSE), "")</f>
        <v>0.010</v>
      </c>
      <c r="M45" s="12"/>
      <c r="N45" s="13"/>
      <c r="O45" s="13" t="str">
        <f>IFERROR(VLOOKUP(N45, [1]Conceptos!D:E, 2, FALSE), "")</f>
        <v/>
      </c>
      <c r="P45" s="13" t="str">
        <f>IFERROR(VLOOKUP(O45, [1]Conceptos!E:F, 2, FALSE), "")</f>
        <v/>
      </c>
      <c r="Q45" s="14" t="str">
        <f>IFERROR(VLOOKUP(P45, [1]Conceptos!F:G, 2, FALSE), "")</f>
        <v/>
      </c>
      <c r="R45" s="14" t="str">
        <f>IFERROR(VLOOKUP(Q45, [1]Conceptos!G:H, 2, FALSE), "")</f>
        <v/>
      </c>
    </row>
    <row r="46" spans="1:18" x14ac:dyDescent="0.35">
      <c r="A46" s="15">
        <v>1104</v>
      </c>
      <c r="B46" s="15" t="s">
        <v>195</v>
      </c>
      <c r="C46" s="9"/>
      <c r="D46" s="9"/>
      <c r="E46" s="10"/>
      <c r="F46" s="9"/>
      <c r="G46" s="9"/>
      <c r="H46" s="10">
        <v>46173</v>
      </c>
      <c r="I46" s="9">
        <v>1</v>
      </c>
      <c r="J46" s="9"/>
      <c r="K46" s="9" t="s">
        <v>158</v>
      </c>
      <c r="L46" s="11" t="str">
        <f>IFERROR(VLOOKUP(K46, [1]Conceptos!A:B, 2, FALSE), "")</f>
        <v>0.010</v>
      </c>
      <c r="M46" s="12"/>
      <c r="N46" s="13"/>
      <c r="O46" s="13" t="str">
        <f>IFERROR(VLOOKUP(N46, [1]Conceptos!D:E, 2, FALSE), "")</f>
        <v/>
      </c>
      <c r="P46" s="13" t="str">
        <f>IFERROR(VLOOKUP(O46, [1]Conceptos!E:F, 2, FALSE), "")</f>
        <v/>
      </c>
      <c r="Q46" s="14" t="str">
        <f>IFERROR(VLOOKUP(P46, [1]Conceptos!F:G, 2, FALSE), "")</f>
        <v/>
      </c>
      <c r="R46" s="14" t="str">
        <f>IFERROR(VLOOKUP(Q46, [1]Conceptos!G:H, 2, FALSE), "")</f>
        <v/>
      </c>
    </row>
    <row r="47" spans="1:18" x14ac:dyDescent="0.35">
      <c r="A47" s="15">
        <v>1117</v>
      </c>
      <c r="B47" s="15" t="s">
        <v>196</v>
      </c>
      <c r="C47" s="9"/>
      <c r="D47" s="9"/>
      <c r="E47" s="10"/>
      <c r="F47" s="9"/>
      <c r="G47" s="9"/>
      <c r="H47" s="10">
        <v>46173</v>
      </c>
      <c r="I47" s="9">
        <v>5</v>
      </c>
      <c r="J47" s="9"/>
      <c r="K47" s="9" t="s">
        <v>158</v>
      </c>
      <c r="L47" s="11" t="str">
        <f>IFERROR(VLOOKUP(K47, [1]Conceptos!A:B, 2, FALSE), "")</f>
        <v>0.010</v>
      </c>
      <c r="M47" s="12"/>
      <c r="N47" s="13"/>
      <c r="O47" s="13" t="str">
        <f>IFERROR(VLOOKUP(N47, [1]Conceptos!D:E, 2, FALSE), "")</f>
        <v/>
      </c>
      <c r="P47" s="13" t="str">
        <f>IFERROR(VLOOKUP(O47, [1]Conceptos!E:F, 2, FALSE), "")</f>
        <v/>
      </c>
      <c r="Q47" s="14" t="str">
        <f>IFERROR(VLOOKUP(P47, [1]Conceptos!F:G, 2, FALSE), "")</f>
        <v/>
      </c>
      <c r="R47" s="14" t="str">
        <f>IFERROR(VLOOKUP(Q47, [1]Conceptos!G:H, 2, FALSE), "")</f>
        <v/>
      </c>
    </row>
    <row r="48" spans="1:18" x14ac:dyDescent="0.35">
      <c r="A48" s="15">
        <v>1222</v>
      </c>
      <c r="B48" s="15" t="s">
        <v>197</v>
      </c>
      <c r="C48" s="9"/>
      <c r="D48" s="9"/>
      <c r="E48" s="10"/>
      <c r="F48" s="9"/>
      <c r="G48" s="9"/>
      <c r="H48" s="10">
        <v>46173</v>
      </c>
      <c r="I48" s="9">
        <v>1</v>
      </c>
      <c r="J48" s="9"/>
      <c r="K48" s="9" t="s">
        <v>158</v>
      </c>
      <c r="L48" s="11" t="str">
        <f>IFERROR(VLOOKUP(K48, [1]Conceptos!A:B, 2, FALSE), "")</f>
        <v>0.010</v>
      </c>
      <c r="M48" s="12"/>
      <c r="N48" s="13"/>
      <c r="O48" s="13" t="str">
        <f>IFERROR(VLOOKUP(N48, [1]Conceptos!D:E, 2, FALSE), "")</f>
        <v/>
      </c>
      <c r="P48" s="13" t="str">
        <f>IFERROR(VLOOKUP(O48, [1]Conceptos!E:F, 2, FALSE), "")</f>
        <v/>
      </c>
      <c r="Q48" s="14" t="str">
        <f>IFERROR(VLOOKUP(P48, [1]Conceptos!F:G, 2, FALSE), "")</f>
        <v/>
      </c>
      <c r="R48" s="14" t="str">
        <f>IFERROR(VLOOKUP(Q48, [1]Conceptos!G:H, 2, FALSE), "")</f>
        <v/>
      </c>
    </row>
    <row r="49" spans="1:18" x14ac:dyDescent="0.35">
      <c r="A49" s="15">
        <v>1240</v>
      </c>
      <c r="B49" s="15" t="s">
        <v>198</v>
      </c>
      <c r="C49" s="9"/>
      <c r="D49" s="9"/>
      <c r="E49" s="10"/>
      <c r="F49" s="9"/>
      <c r="G49" s="9"/>
      <c r="H49" s="10">
        <v>46173</v>
      </c>
      <c r="I49" s="9">
        <v>10</v>
      </c>
      <c r="J49" s="9"/>
      <c r="K49" s="9" t="s">
        <v>158</v>
      </c>
      <c r="L49" s="11" t="str">
        <f>IFERROR(VLOOKUP(K49, [1]Conceptos!A:B, 2, FALSE), "")</f>
        <v>0.010</v>
      </c>
      <c r="M49" s="12"/>
      <c r="N49" s="13"/>
      <c r="O49" s="13" t="str">
        <f>IFERROR(VLOOKUP(N49, [1]Conceptos!D:E, 2, FALSE), "")</f>
        <v/>
      </c>
      <c r="P49" s="13" t="str">
        <f>IFERROR(VLOOKUP(O49, [1]Conceptos!E:F, 2, FALSE), "")</f>
        <v/>
      </c>
      <c r="Q49" s="14" t="str">
        <f>IFERROR(VLOOKUP(P49, [1]Conceptos!F:G, 2, FALSE), "")</f>
        <v/>
      </c>
      <c r="R49" s="14" t="str">
        <f>IFERROR(VLOOKUP(Q49, [1]Conceptos!G:H, 2, FALSE), "")</f>
        <v/>
      </c>
    </row>
    <row r="50" spans="1:18" x14ac:dyDescent="0.35">
      <c r="A50" s="15">
        <v>1241</v>
      </c>
      <c r="B50" s="15" t="s">
        <v>199</v>
      </c>
      <c r="C50" s="9"/>
      <c r="D50" s="9"/>
      <c r="E50" s="10"/>
      <c r="F50" s="9"/>
      <c r="G50" s="9"/>
      <c r="H50" s="10">
        <v>46173</v>
      </c>
      <c r="I50" s="9">
        <v>5</v>
      </c>
      <c r="J50" s="9"/>
      <c r="K50" s="9" t="s">
        <v>158</v>
      </c>
      <c r="L50" s="11" t="str">
        <f>IFERROR(VLOOKUP(K50, [1]Conceptos!A:B, 2, FALSE), "")</f>
        <v>0.010</v>
      </c>
      <c r="M50" s="12"/>
      <c r="N50" s="13"/>
      <c r="O50" s="13" t="str">
        <f>IFERROR(VLOOKUP(N50, [1]Conceptos!D:E, 2, FALSE), "")</f>
        <v/>
      </c>
      <c r="P50" s="13" t="str">
        <f>IFERROR(VLOOKUP(O50, [1]Conceptos!E:F, 2, FALSE), "")</f>
        <v/>
      </c>
      <c r="Q50" s="14" t="str">
        <f>IFERROR(VLOOKUP(P50, [1]Conceptos!F:G, 2, FALSE), "")</f>
        <v/>
      </c>
      <c r="R50" s="14" t="str">
        <f>IFERROR(VLOOKUP(Q50, [1]Conceptos!G:H, 2, FALSE), "")</f>
        <v/>
      </c>
    </row>
    <row r="51" spans="1:18" x14ac:dyDescent="0.35">
      <c r="A51" s="15">
        <v>1245</v>
      </c>
      <c r="B51" s="15" t="s">
        <v>200</v>
      </c>
      <c r="C51" s="9"/>
      <c r="D51" s="9"/>
      <c r="E51" s="10"/>
      <c r="F51" s="9"/>
      <c r="G51" s="9"/>
      <c r="H51" s="10">
        <v>46173</v>
      </c>
      <c r="I51" s="9">
        <v>13</v>
      </c>
      <c r="J51" s="9"/>
      <c r="K51" s="9" t="s">
        <v>158</v>
      </c>
      <c r="L51" s="11" t="str">
        <f>IFERROR(VLOOKUP(K51, [1]Conceptos!A:B, 2, FALSE), "")</f>
        <v>0.010</v>
      </c>
      <c r="M51" s="12"/>
      <c r="N51" s="13"/>
      <c r="O51" s="13" t="str">
        <f>IFERROR(VLOOKUP(N51, [1]Conceptos!D:E, 2, FALSE), "")</f>
        <v/>
      </c>
      <c r="P51" s="13" t="str">
        <f>IFERROR(VLOOKUP(O51, [1]Conceptos!E:F, 2, FALSE), "")</f>
        <v/>
      </c>
      <c r="Q51" s="14" t="str">
        <f>IFERROR(VLOOKUP(P51, [1]Conceptos!F:G, 2, FALSE), "")</f>
        <v/>
      </c>
      <c r="R51" s="14" t="str">
        <f>IFERROR(VLOOKUP(Q51, [1]Conceptos!G:H, 2, FALSE), "")</f>
        <v/>
      </c>
    </row>
    <row r="52" spans="1:18" x14ac:dyDescent="0.35">
      <c r="A52" s="15">
        <v>1246</v>
      </c>
      <c r="B52" s="15" t="s">
        <v>201</v>
      </c>
      <c r="C52" s="9"/>
      <c r="D52" s="9"/>
      <c r="E52" s="10"/>
      <c r="F52" s="9"/>
      <c r="G52" s="9"/>
      <c r="H52" s="10">
        <v>46173</v>
      </c>
      <c r="I52" s="9">
        <v>8</v>
      </c>
      <c r="J52" s="9"/>
      <c r="K52" s="9" t="s">
        <v>158</v>
      </c>
      <c r="L52" s="11" t="str">
        <f>IFERROR(VLOOKUP(K52, [1]Conceptos!A:B, 2, FALSE), "")</f>
        <v>0.010</v>
      </c>
      <c r="M52" s="12"/>
      <c r="N52" s="13"/>
      <c r="O52" s="13" t="str">
        <f>IFERROR(VLOOKUP(N52, [1]Conceptos!D:E, 2, FALSE), "")</f>
        <v/>
      </c>
      <c r="P52" s="13" t="str">
        <f>IFERROR(VLOOKUP(O52, [1]Conceptos!E:F, 2, FALSE), "")</f>
        <v/>
      </c>
      <c r="Q52" s="14" t="str">
        <f>IFERROR(VLOOKUP(P52, [1]Conceptos!F:G, 2, FALSE), "")</f>
        <v/>
      </c>
      <c r="R52" s="14" t="str">
        <f>IFERROR(VLOOKUP(Q52, [1]Conceptos!G:H, 2, FALSE), "")</f>
        <v/>
      </c>
    </row>
    <row r="53" spans="1:18" x14ac:dyDescent="0.35">
      <c r="A53" s="15">
        <v>1254</v>
      </c>
      <c r="B53" s="15" t="s">
        <v>202</v>
      </c>
      <c r="C53" s="9"/>
      <c r="D53" s="9"/>
      <c r="E53" s="10"/>
      <c r="F53" s="9"/>
      <c r="G53" s="9"/>
      <c r="H53" s="10">
        <v>46173</v>
      </c>
      <c r="I53" s="9">
        <v>17</v>
      </c>
      <c r="J53" s="9"/>
      <c r="K53" s="9" t="s">
        <v>158</v>
      </c>
      <c r="L53" s="11" t="str">
        <f>IFERROR(VLOOKUP(K53, [1]Conceptos!A:B, 2, FALSE), "")</f>
        <v>0.010</v>
      </c>
      <c r="M53" s="12"/>
      <c r="N53" s="13"/>
      <c r="O53" s="13" t="str">
        <f>IFERROR(VLOOKUP(N53, [1]Conceptos!D:E, 2, FALSE), "")</f>
        <v/>
      </c>
      <c r="P53" s="13" t="str">
        <f>IFERROR(VLOOKUP(O53, [1]Conceptos!E:F, 2, FALSE), "")</f>
        <v/>
      </c>
      <c r="Q53" s="14" t="str">
        <f>IFERROR(VLOOKUP(P53, [1]Conceptos!F:G, 2, FALSE), "")</f>
        <v/>
      </c>
      <c r="R53" s="14" t="str">
        <f>IFERROR(VLOOKUP(Q53, [1]Conceptos!G:H, 2, FALSE), "")</f>
        <v/>
      </c>
    </row>
    <row r="54" spans="1:18" x14ac:dyDescent="0.35">
      <c r="A54" s="15">
        <v>1279</v>
      </c>
      <c r="B54" s="15" t="s">
        <v>203</v>
      </c>
      <c r="C54" s="9"/>
      <c r="D54" s="9"/>
      <c r="E54" s="10"/>
      <c r="F54" s="9"/>
      <c r="G54" s="9"/>
      <c r="H54" s="10">
        <v>46173</v>
      </c>
      <c r="I54" s="9">
        <v>16</v>
      </c>
      <c r="J54" s="9"/>
      <c r="K54" s="9" t="s">
        <v>158</v>
      </c>
      <c r="L54" s="11" t="str">
        <f>IFERROR(VLOOKUP(K54, [1]Conceptos!A:B, 2, FALSE), "")</f>
        <v>0.010</v>
      </c>
      <c r="M54" s="12"/>
      <c r="N54" s="13"/>
      <c r="O54" s="13" t="str">
        <f>IFERROR(VLOOKUP(N54, [1]Conceptos!D:E, 2, FALSE), "")</f>
        <v/>
      </c>
      <c r="P54" s="13" t="str">
        <f>IFERROR(VLOOKUP(O54, [1]Conceptos!E:F, 2, FALSE), "")</f>
        <v/>
      </c>
      <c r="Q54" s="14" t="str">
        <f>IFERROR(VLOOKUP(P54, [1]Conceptos!F:G, 2, FALSE), "")</f>
        <v/>
      </c>
      <c r="R54" s="14" t="str">
        <f>IFERROR(VLOOKUP(Q54, [1]Conceptos!G:H, 2, FALSE), "")</f>
        <v/>
      </c>
    </row>
    <row r="55" spans="1:18" x14ac:dyDescent="0.35">
      <c r="A55" s="15">
        <v>1291</v>
      </c>
      <c r="B55" s="15" t="s">
        <v>204</v>
      </c>
      <c r="C55" s="9"/>
      <c r="D55" s="9"/>
      <c r="E55" s="10"/>
      <c r="F55" s="9"/>
      <c r="G55" s="9"/>
      <c r="H55" s="10">
        <v>46173</v>
      </c>
      <c r="I55" s="9">
        <v>2</v>
      </c>
      <c r="J55" s="9"/>
      <c r="K55" s="9" t="s">
        <v>158</v>
      </c>
      <c r="L55" s="11" t="str">
        <f>IFERROR(VLOOKUP(K55, [1]Conceptos!A:B, 2, FALSE), "")</f>
        <v>0.010</v>
      </c>
      <c r="M55" s="12"/>
      <c r="N55" s="13"/>
      <c r="O55" s="13" t="str">
        <f>IFERROR(VLOOKUP(N55, [1]Conceptos!D:E, 2, FALSE), "")</f>
        <v/>
      </c>
      <c r="P55" s="13" t="str">
        <f>IFERROR(VLOOKUP(O55, [1]Conceptos!E:F, 2, FALSE), "")</f>
        <v/>
      </c>
      <c r="Q55" s="14" t="str">
        <f>IFERROR(VLOOKUP(P55, [1]Conceptos!F:G, 2, FALSE), "")</f>
        <v/>
      </c>
      <c r="R55" s="14" t="str">
        <f>IFERROR(VLOOKUP(Q55, [1]Conceptos!G:H, 2, FALSE), "")</f>
        <v/>
      </c>
    </row>
    <row r="56" spans="1:18" x14ac:dyDescent="0.35">
      <c r="A56" s="15">
        <v>1303</v>
      </c>
      <c r="B56" s="15" t="s">
        <v>205</v>
      </c>
      <c r="C56" s="9"/>
      <c r="D56" s="9"/>
      <c r="E56" s="10"/>
      <c r="F56" s="9"/>
      <c r="G56" s="9"/>
      <c r="H56" s="10">
        <v>46173</v>
      </c>
      <c r="I56" s="9">
        <v>2</v>
      </c>
      <c r="J56" s="9"/>
      <c r="K56" s="9" t="s">
        <v>158</v>
      </c>
      <c r="L56" s="11" t="str">
        <f>IFERROR(VLOOKUP(K56, [1]Conceptos!A:B, 2, FALSE), "")</f>
        <v>0.010</v>
      </c>
      <c r="M56" s="12"/>
      <c r="N56" s="13"/>
      <c r="O56" s="13" t="str">
        <f>IFERROR(VLOOKUP(N56, [1]Conceptos!D:E, 2, FALSE), "")</f>
        <v/>
      </c>
      <c r="P56" s="13" t="str">
        <f>IFERROR(VLOOKUP(O56, [1]Conceptos!E:F, 2, FALSE), "")</f>
        <v/>
      </c>
      <c r="Q56" s="14" t="str">
        <f>IFERROR(VLOOKUP(P56, [1]Conceptos!F:G, 2, FALSE), "")</f>
        <v/>
      </c>
      <c r="R56" s="14" t="str">
        <f>IFERROR(VLOOKUP(Q56, [1]Conceptos!G:H, 2, FALSE), "")</f>
        <v/>
      </c>
    </row>
    <row r="57" spans="1:18" x14ac:dyDescent="0.35">
      <c r="A57" s="15">
        <v>1306</v>
      </c>
      <c r="B57" s="15" t="s">
        <v>206</v>
      </c>
      <c r="C57" s="9"/>
      <c r="D57" s="9"/>
      <c r="E57" s="10"/>
      <c r="F57" s="9"/>
      <c r="G57" s="9"/>
      <c r="H57" s="10">
        <v>46173</v>
      </c>
      <c r="I57" s="9">
        <v>7</v>
      </c>
      <c r="J57" s="9"/>
      <c r="K57" s="9" t="s">
        <v>158</v>
      </c>
      <c r="L57" s="11" t="str">
        <f>IFERROR(VLOOKUP(K57, [1]Conceptos!A:B, 2, FALSE), "")</f>
        <v>0.010</v>
      </c>
      <c r="M57" s="12"/>
      <c r="N57" s="13"/>
      <c r="O57" s="13" t="str">
        <f>IFERROR(VLOOKUP(N57, [1]Conceptos!D:E, 2, FALSE), "")</f>
        <v/>
      </c>
      <c r="P57" s="13" t="str">
        <f>IFERROR(VLOOKUP(O57, [1]Conceptos!E:F, 2, FALSE), "")</f>
        <v/>
      </c>
      <c r="Q57" s="14" t="str">
        <f>IFERROR(VLOOKUP(P57, [1]Conceptos!F:G, 2, FALSE), "")</f>
        <v/>
      </c>
      <c r="R57" s="14" t="str">
        <f>IFERROR(VLOOKUP(Q57, [1]Conceptos!G:H, 2, FALSE), "")</f>
        <v/>
      </c>
    </row>
    <row r="58" spans="1:18" x14ac:dyDescent="0.35">
      <c r="A58" s="15">
        <v>1353</v>
      </c>
      <c r="B58" s="15" t="s">
        <v>207</v>
      </c>
      <c r="C58" s="9"/>
      <c r="D58" s="9"/>
      <c r="E58" s="10"/>
      <c r="F58" s="9"/>
      <c r="G58" s="9"/>
      <c r="H58" s="10">
        <v>46173</v>
      </c>
      <c r="I58" s="9">
        <v>6</v>
      </c>
      <c r="J58" s="9"/>
      <c r="K58" s="9" t="s">
        <v>158</v>
      </c>
      <c r="L58" s="11" t="str">
        <f>IFERROR(VLOOKUP(K58, [1]Conceptos!A:B, 2, FALSE), "")</f>
        <v>0.010</v>
      </c>
      <c r="M58" s="12"/>
      <c r="N58" s="13"/>
      <c r="O58" s="13" t="str">
        <f>IFERROR(VLOOKUP(N58, [1]Conceptos!D:E, 2, FALSE), "")</f>
        <v/>
      </c>
      <c r="P58" s="13" t="str">
        <f>IFERROR(VLOOKUP(O58, [1]Conceptos!E:F, 2, FALSE), "")</f>
        <v/>
      </c>
      <c r="Q58" s="14" t="str">
        <f>IFERROR(VLOOKUP(P58, [1]Conceptos!F:G, 2, FALSE), "")</f>
        <v/>
      </c>
      <c r="R58" s="14" t="str">
        <f>IFERROR(VLOOKUP(Q58, [1]Conceptos!G:H, 2, FALSE), "")</f>
        <v/>
      </c>
    </row>
    <row r="59" spans="1:18" x14ac:dyDescent="0.35">
      <c r="A59" s="15">
        <v>1356</v>
      </c>
      <c r="B59" s="15" t="s">
        <v>208</v>
      </c>
      <c r="C59" s="9"/>
      <c r="D59" s="9"/>
      <c r="E59" s="10"/>
      <c r="F59" s="9"/>
      <c r="G59" s="9"/>
      <c r="H59" s="10">
        <v>46173</v>
      </c>
      <c r="I59" s="9">
        <v>13</v>
      </c>
      <c r="J59" s="9"/>
      <c r="K59" s="9" t="s">
        <v>158</v>
      </c>
      <c r="L59" s="11" t="str">
        <f>IFERROR(VLOOKUP(K59, [1]Conceptos!A:B, 2, FALSE), "")</f>
        <v>0.010</v>
      </c>
      <c r="M59" s="12"/>
      <c r="N59" s="13"/>
      <c r="O59" s="13" t="str">
        <f>IFERROR(VLOOKUP(N59, [1]Conceptos!D:E, 2, FALSE), "")</f>
        <v/>
      </c>
      <c r="P59" s="13" t="str">
        <f>IFERROR(VLOOKUP(O59, [1]Conceptos!E:F, 2, FALSE), "")</f>
        <v/>
      </c>
      <c r="Q59" s="14" t="str">
        <f>IFERROR(VLOOKUP(P59, [1]Conceptos!F:G, 2, FALSE), "")</f>
        <v/>
      </c>
      <c r="R59" s="14" t="str">
        <f>IFERROR(VLOOKUP(Q59, [1]Conceptos!G:H, 2, FALSE), "")</f>
        <v/>
      </c>
    </row>
    <row r="60" spans="1:18" x14ac:dyDescent="0.35">
      <c r="A60" s="15">
        <v>1378</v>
      </c>
      <c r="B60" s="15" t="s">
        <v>209</v>
      </c>
      <c r="C60" s="9"/>
      <c r="D60" s="9"/>
      <c r="E60" s="10"/>
      <c r="F60" s="9"/>
      <c r="G60" s="9"/>
      <c r="H60" s="10">
        <v>46173</v>
      </c>
      <c r="I60" s="9">
        <v>68</v>
      </c>
      <c r="J60" s="9"/>
      <c r="K60" s="9" t="s">
        <v>158</v>
      </c>
      <c r="L60" s="11" t="str">
        <f>IFERROR(VLOOKUP(K60, [1]Conceptos!A:B, 2, FALSE), "")</f>
        <v>0.010</v>
      </c>
      <c r="M60" s="12"/>
      <c r="N60" s="13"/>
      <c r="O60" s="13" t="str">
        <f>IFERROR(VLOOKUP(N60, [1]Conceptos!D:E, 2, FALSE), "")</f>
        <v/>
      </c>
      <c r="P60" s="13" t="str">
        <f>IFERROR(VLOOKUP(O60, [1]Conceptos!E:F, 2, FALSE), "")</f>
        <v/>
      </c>
      <c r="Q60" s="14" t="str">
        <f>IFERROR(VLOOKUP(P60, [1]Conceptos!F:G, 2, FALSE), "")</f>
        <v/>
      </c>
      <c r="R60" s="14" t="str">
        <f>IFERROR(VLOOKUP(Q60, [1]Conceptos!G:H, 2, FALSE), "")</f>
        <v/>
      </c>
    </row>
    <row r="61" spans="1:18" x14ac:dyDescent="0.35">
      <c r="A61" s="15">
        <v>1386</v>
      </c>
      <c r="B61" s="15" t="s">
        <v>210</v>
      </c>
      <c r="C61" s="9"/>
      <c r="D61" s="9"/>
      <c r="E61" s="10"/>
      <c r="F61" s="9"/>
      <c r="G61" s="9"/>
      <c r="H61" s="10">
        <v>46173</v>
      </c>
      <c r="I61" s="9">
        <v>5</v>
      </c>
      <c r="J61" s="9"/>
      <c r="K61" s="9" t="s">
        <v>158</v>
      </c>
      <c r="L61" s="11" t="str">
        <f>IFERROR(VLOOKUP(K61, [1]Conceptos!A:B, 2, FALSE), "")</f>
        <v>0.010</v>
      </c>
      <c r="M61" s="12"/>
      <c r="N61" s="13"/>
      <c r="O61" s="13" t="str">
        <f>IFERROR(VLOOKUP(N61, [1]Conceptos!D:E, 2, FALSE), "")</f>
        <v/>
      </c>
      <c r="P61" s="13" t="str">
        <f>IFERROR(VLOOKUP(O61, [1]Conceptos!E:F, 2, FALSE), "")</f>
        <v/>
      </c>
      <c r="Q61" s="14" t="str">
        <f>IFERROR(VLOOKUP(P61, [1]Conceptos!F:G, 2, FALSE), "")</f>
        <v/>
      </c>
      <c r="R61" s="14" t="str">
        <f>IFERROR(VLOOKUP(Q61, [1]Conceptos!G:H, 2, FALSE), "")</f>
        <v/>
      </c>
    </row>
    <row r="62" spans="1:18" x14ac:dyDescent="0.35">
      <c r="A62" s="15">
        <v>1390</v>
      </c>
      <c r="B62" s="15" t="s">
        <v>211</v>
      </c>
      <c r="C62" s="9"/>
      <c r="D62" s="9"/>
      <c r="E62" s="10"/>
      <c r="F62" s="9"/>
      <c r="G62" s="9"/>
      <c r="H62" s="10">
        <v>46173</v>
      </c>
      <c r="I62" s="9">
        <v>3</v>
      </c>
      <c r="J62" s="9"/>
      <c r="K62" s="9" t="s">
        <v>158</v>
      </c>
      <c r="L62" s="11" t="str">
        <f>IFERROR(VLOOKUP(K62, [1]Conceptos!A:B, 2, FALSE), "")</f>
        <v>0.010</v>
      </c>
      <c r="M62" s="12"/>
      <c r="N62" s="13"/>
      <c r="O62" s="13" t="str">
        <f>IFERROR(VLOOKUP(N62, [1]Conceptos!D:E, 2, FALSE), "")</f>
        <v/>
      </c>
      <c r="P62" s="13" t="str">
        <f>IFERROR(VLOOKUP(O62, [1]Conceptos!E:F, 2, FALSE), "")</f>
        <v/>
      </c>
      <c r="Q62" s="14" t="str">
        <f>IFERROR(VLOOKUP(P62, [1]Conceptos!F:G, 2, FALSE), "")</f>
        <v/>
      </c>
      <c r="R62" s="14" t="str">
        <f>IFERROR(VLOOKUP(Q62, [1]Conceptos!G:H, 2, FALSE), "")</f>
        <v/>
      </c>
    </row>
    <row r="63" spans="1:18" x14ac:dyDescent="0.35">
      <c r="A63" s="15">
        <v>1436</v>
      </c>
      <c r="B63" s="15" t="s">
        <v>212</v>
      </c>
      <c r="C63" s="9"/>
      <c r="D63" s="9"/>
      <c r="E63" s="10"/>
      <c r="F63" s="9"/>
      <c r="G63" s="9"/>
      <c r="H63" s="10">
        <v>46173</v>
      </c>
      <c r="I63" s="9">
        <v>37</v>
      </c>
      <c r="J63" s="9"/>
      <c r="K63" s="9" t="s">
        <v>158</v>
      </c>
      <c r="L63" s="11" t="str">
        <f>IFERROR(VLOOKUP(K63, [1]Conceptos!A:B, 2, FALSE), "")</f>
        <v>0.010</v>
      </c>
      <c r="M63" s="12"/>
      <c r="N63" s="13"/>
      <c r="O63" s="13" t="str">
        <f>IFERROR(VLOOKUP(N63, [1]Conceptos!D:E, 2, FALSE), "")</f>
        <v/>
      </c>
      <c r="P63" s="13" t="str">
        <f>IFERROR(VLOOKUP(O63, [1]Conceptos!E:F, 2, FALSE), "")</f>
        <v/>
      </c>
      <c r="Q63" s="14" t="str">
        <f>IFERROR(VLOOKUP(P63, [1]Conceptos!F:G, 2, FALSE), "")</f>
        <v/>
      </c>
      <c r="R63" s="14" t="str">
        <f>IFERROR(VLOOKUP(Q63, [1]Conceptos!G:H, 2, FALSE), "")</f>
        <v/>
      </c>
    </row>
    <row r="64" spans="1:18" x14ac:dyDescent="0.35">
      <c r="A64" s="15">
        <v>1437</v>
      </c>
      <c r="B64" s="15" t="s">
        <v>213</v>
      </c>
      <c r="C64" s="9"/>
      <c r="D64" s="9"/>
      <c r="E64" s="10"/>
      <c r="F64" s="9"/>
      <c r="G64" s="9"/>
      <c r="H64" s="10">
        <v>46173</v>
      </c>
      <c r="I64" s="9">
        <v>2</v>
      </c>
      <c r="J64" s="9"/>
      <c r="K64" s="9" t="s">
        <v>158</v>
      </c>
      <c r="L64" s="11" t="str">
        <f>IFERROR(VLOOKUP(K64, [1]Conceptos!A:B, 2, FALSE), "")</f>
        <v>0.010</v>
      </c>
      <c r="M64" s="12"/>
      <c r="N64" s="13"/>
      <c r="O64" s="13" t="str">
        <f>IFERROR(VLOOKUP(N64, [1]Conceptos!D:E, 2, FALSE), "")</f>
        <v/>
      </c>
      <c r="P64" s="13" t="str">
        <f>IFERROR(VLOOKUP(O64, [1]Conceptos!E:F, 2, FALSE), "")</f>
        <v/>
      </c>
      <c r="Q64" s="14" t="str">
        <f>IFERROR(VLOOKUP(P64, [1]Conceptos!F:G, 2, FALSE), "")</f>
        <v/>
      </c>
      <c r="R64" s="14" t="str">
        <f>IFERROR(VLOOKUP(Q64, [1]Conceptos!G:H, 2, FALSE), "")</f>
        <v/>
      </c>
    </row>
    <row r="65" spans="1:18" x14ac:dyDescent="0.35">
      <c r="A65" s="15">
        <v>1447</v>
      </c>
      <c r="B65" s="15" t="s">
        <v>214</v>
      </c>
      <c r="C65" s="9"/>
      <c r="D65" s="9"/>
      <c r="E65" s="10"/>
      <c r="F65" s="9"/>
      <c r="G65" s="9"/>
      <c r="H65" s="10">
        <v>46173</v>
      </c>
      <c r="I65" s="9">
        <v>1</v>
      </c>
      <c r="J65" s="9"/>
      <c r="K65" s="9" t="s">
        <v>158</v>
      </c>
      <c r="L65" s="11" t="str">
        <f>IFERROR(VLOOKUP(K65, [1]Conceptos!A:B, 2, FALSE), "")</f>
        <v>0.010</v>
      </c>
      <c r="M65" s="12"/>
      <c r="N65" s="13"/>
      <c r="O65" s="13" t="str">
        <f>IFERROR(VLOOKUP(N65, [1]Conceptos!D:E, 2, FALSE), "")</f>
        <v/>
      </c>
      <c r="P65" s="13" t="str">
        <f>IFERROR(VLOOKUP(O65, [1]Conceptos!E:F, 2, FALSE), "")</f>
        <v/>
      </c>
      <c r="Q65" s="14" t="str">
        <f>IFERROR(VLOOKUP(P65, [1]Conceptos!F:G, 2, FALSE), "")</f>
        <v/>
      </c>
      <c r="R65" s="14" t="str">
        <f>IFERROR(VLOOKUP(Q65, [1]Conceptos!G:H, 2, FALSE), "")</f>
        <v/>
      </c>
    </row>
    <row r="66" spans="1:18" x14ac:dyDescent="0.35">
      <c r="A66" s="15">
        <v>1476</v>
      </c>
      <c r="B66" s="15" t="s">
        <v>215</v>
      </c>
      <c r="C66" s="9"/>
      <c r="D66" s="9"/>
      <c r="E66" s="10"/>
      <c r="F66" s="9"/>
      <c r="G66" s="9"/>
      <c r="H66" s="10">
        <v>46173</v>
      </c>
      <c r="I66" s="9">
        <v>11</v>
      </c>
      <c r="J66" s="9"/>
      <c r="K66" s="9" t="s">
        <v>158</v>
      </c>
      <c r="L66" s="11" t="str">
        <f>IFERROR(VLOOKUP(K66, [1]Conceptos!A:B, 2, FALSE), "")</f>
        <v>0.010</v>
      </c>
      <c r="M66" s="12"/>
      <c r="N66" s="13"/>
      <c r="O66" s="13" t="str">
        <f>IFERROR(VLOOKUP(N66, [1]Conceptos!D:E, 2, FALSE), "")</f>
        <v/>
      </c>
      <c r="P66" s="13" t="str">
        <f>IFERROR(VLOOKUP(O66, [1]Conceptos!E:F, 2, FALSE), "")</f>
        <v/>
      </c>
      <c r="Q66" s="14" t="str">
        <f>IFERROR(VLOOKUP(P66, [1]Conceptos!F:G, 2, FALSE), "")</f>
        <v/>
      </c>
      <c r="R66" s="14" t="str">
        <f>IFERROR(VLOOKUP(Q66, [1]Conceptos!G:H, 2, FALSE), "")</f>
        <v/>
      </c>
    </row>
    <row r="67" spans="1:18" x14ac:dyDescent="0.35">
      <c r="A67" s="15">
        <v>1481</v>
      </c>
      <c r="B67" s="15" t="s">
        <v>216</v>
      </c>
      <c r="C67" s="9"/>
      <c r="D67" s="9"/>
      <c r="E67" s="10"/>
      <c r="F67" s="9"/>
      <c r="G67" s="9"/>
      <c r="H67" s="10">
        <v>46173</v>
      </c>
      <c r="I67" s="9">
        <v>6</v>
      </c>
      <c r="J67" s="9"/>
      <c r="K67" s="9" t="s">
        <v>158</v>
      </c>
      <c r="L67" s="11" t="str">
        <f>IFERROR(VLOOKUP(K67, [1]Conceptos!A:B, 2, FALSE), "")</f>
        <v>0.010</v>
      </c>
      <c r="M67" s="12"/>
      <c r="N67" s="13"/>
      <c r="O67" s="13" t="str">
        <f>IFERROR(VLOOKUP(N67, [1]Conceptos!D:E, 2, FALSE), "")</f>
        <v/>
      </c>
      <c r="P67" s="13" t="str">
        <f>IFERROR(VLOOKUP(O67, [1]Conceptos!E:F, 2, FALSE), "")</f>
        <v/>
      </c>
      <c r="Q67" s="14" t="str">
        <f>IFERROR(VLOOKUP(P67, [1]Conceptos!F:G, 2, FALSE), "")</f>
        <v/>
      </c>
      <c r="R67" s="14" t="str">
        <f>IFERROR(VLOOKUP(Q67, [1]Conceptos!G:H, 2, FALSE), "")</f>
        <v/>
      </c>
    </row>
    <row r="68" spans="1:18" x14ac:dyDescent="0.35">
      <c r="A68" s="15">
        <v>1503</v>
      </c>
      <c r="B68" s="15" t="s">
        <v>217</v>
      </c>
      <c r="C68" s="9"/>
      <c r="D68" s="9"/>
      <c r="E68" s="10"/>
      <c r="F68" s="9"/>
      <c r="G68" s="9"/>
      <c r="H68" s="10">
        <v>46173</v>
      </c>
      <c r="I68" s="9">
        <v>2</v>
      </c>
      <c r="J68" s="9"/>
      <c r="K68" s="9" t="s">
        <v>158</v>
      </c>
      <c r="L68" s="11" t="str">
        <f>IFERROR(VLOOKUP(K68, [1]Conceptos!A:B, 2, FALSE), "")</f>
        <v>0.010</v>
      </c>
      <c r="M68" s="12"/>
      <c r="N68" s="13"/>
      <c r="O68" s="13" t="str">
        <f>IFERROR(VLOOKUP(N68, [1]Conceptos!D:E, 2, FALSE), "")</f>
        <v/>
      </c>
      <c r="P68" s="13" t="str">
        <f>IFERROR(VLOOKUP(O68, [1]Conceptos!E:F, 2, FALSE), "")</f>
        <v/>
      </c>
      <c r="Q68" s="14" t="str">
        <f>IFERROR(VLOOKUP(P68, [1]Conceptos!F:G, 2, FALSE), "")</f>
        <v/>
      </c>
      <c r="R68" s="14" t="str">
        <f>IFERROR(VLOOKUP(Q68, [1]Conceptos!G:H, 2, FALSE), "")</f>
        <v/>
      </c>
    </row>
    <row r="69" spans="1:18" x14ac:dyDescent="0.35">
      <c r="A69" s="15">
        <v>1527</v>
      </c>
      <c r="B69" s="15" t="s">
        <v>24</v>
      </c>
      <c r="C69" s="9"/>
      <c r="D69" s="9"/>
      <c r="E69" s="10"/>
      <c r="F69" s="9"/>
      <c r="G69" s="9"/>
      <c r="H69" s="10">
        <v>46173</v>
      </c>
      <c r="I69" s="9">
        <v>2</v>
      </c>
      <c r="J69" s="9"/>
      <c r="K69" s="9" t="s">
        <v>158</v>
      </c>
      <c r="L69" s="11" t="str">
        <f>IFERROR(VLOOKUP(K69, [1]Conceptos!A:B, 2, FALSE), "")</f>
        <v>0.010</v>
      </c>
      <c r="M69" s="12"/>
      <c r="N69" s="13"/>
      <c r="O69" s="13" t="str">
        <f>IFERROR(VLOOKUP(N69, [1]Conceptos!D:E, 2, FALSE), "")</f>
        <v/>
      </c>
      <c r="P69" s="13" t="str">
        <f>IFERROR(VLOOKUP(O69, [1]Conceptos!E:F, 2, FALSE), "")</f>
        <v/>
      </c>
      <c r="Q69" s="14" t="str">
        <f>IFERROR(VLOOKUP(P69, [1]Conceptos!F:G, 2, FALSE), "")</f>
        <v/>
      </c>
      <c r="R69" s="14" t="str">
        <f>IFERROR(VLOOKUP(Q69, [1]Conceptos!G:H, 2, FALSE), "")</f>
        <v/>
      </c>
    </row>
    <row r="70" spans="1:18" x14ac:dyDescent="0.35">
      <c r="A70" s="15">
        <v>1536</v>
      </c>
      <c r="B70" s="15" t="s">
        <v>25</v>
      </c>
      <c r="C70" s="9"/>
      <c r="D70" s="9"/>
      <c r="E70" s="10"/>
      <c r="F70" s="9"/>
      <c r="G70" s="9"/>
      <c r="H70" s="10">
        <v>46173</v>
      </c>
      <c r="I70" s="9">
        <v>5</v>
      </c>
      <c r="J70" s="9"/>
      <c r="K70" s="9" t="s">
        <v>158</v>
      </c>
      <c r="L70" s="11" t="str">
        <f>IFERROR(VLOOKUP(K70, [1]Conceptos!A:B, 2, FALSE), "")</f>
        <v>0.010</v>
      </c>
      <c r="M70" s="12"/>
      <c r="N70" s="13"/>
      <c r="O70" s="13"/>
      <c r="P70" s="13"/>
      <c r="Q70" s="14"/>
      <c r="R70" s="14"/>
    </row>
    <row r="71" spans="1:18" x14ac:dyDescent="0.35">
      <c r="A71" s="15">
        <v>1558</v>
      </c>
      <c r="B71" s="15" t="s">
        <v>26</v>
      </c>
      <c r="C71" s="9"/>
      <c r="D71" s="9"/>
      <c r="E71" s="10"/>
      <c r="F71" s="9"/>
      <c r="G71" s="9"/>
      <c r="H71" s="10">
        <v>46173</v>
      </c>
      <c r="I71" s="9">
        <v>8</v>
      </c>
      <c r="J71" s="9"/>
      <c r="K71" s="9" t="s">
        <v>158</v>
      </c>
      <c r="L71" s="11" t="str">
        <f>IFERROR(VLOOKUP(K71, [1]Conceptos!A:B, 2, FALSE), "")</f>
        <v>0.010</v>
      </c>
      <c r="M71" s="12"/>
      <c r="N71" s="13"/>
      <c r="O71" s="13"/>
      <c r="P71" s="13"/>
      <c r="Q71" s="14"/>
      <c r="R71" s="14"/>
    </row>
    <row r="72" spans="1:18" x14ac:dyDescent="0.35">
      <c r="A72" s="15">
        <v>1576</v>
      </c>
      <c r="B72" s="15" t="s">
        <v>27</v>
      </c>
      <c r="C72" s="9"/>
      <c r="D72" s="9"/>
      <c r="E72" s="10"/>
      <c r="F72" s="9"/>
      <c r="G72" s="9"/>
      <c r="H72" s="10">
        <v>46173</v>
      </c>
      <c r="I72" s="9">
        <v>15</v>
      </c>
      <c r="J72" s="9"/>
      <c r="K72" s="9" t="s">
        <v>158</v>
      </c>
      <c r="L72" s="11" t="str">
        <f>IFERROR(VLOOKUP(K72, [1]Conceptos!A:B, 2, FALSE), "")</f>
        <v>0.010</v>
      </c>
      <c r="M72" s="12"/>
      <c r="N72" s="13"/>
      <c r="O72" s="13"/>
      <c r="P72" s="13"/>
      <c r="Q72" s="14"/>
      <c r="R72" s="14"/>
    </row>
    <row r="73" spans="1:18" x14ac:dyDescent="0.35">
      <c r="A73" s="15">
        <v>1584</v>
      </c>
      <c r="B73" s="15" t="s">
        <v>28</v>
      </c>
      <c r="C73" s="9"/>
      <c r="D73" s="9"/>
      <c r="E73" s="10"/>
      <c r="F73" s="9"/>
      <c r="G73" s="9"/>
      <c r="H73" s="10">
        <v>46173</v>
      </c>
      <c r="I73" s="9">
        <v>4</v>
      </c>
      <c r="J73" s="9"/>
      <c r="K73" s="9" t="s">
        <v>158</v>
      </c>
      <c r="L73" s="11" t="str">
        <f>IFERROR(VLOOKUP(K73, [1]Conceptos!A:B, 2, FALSE), "")</f>
        <v>0.010</v>
      </c>
      <c r="M73" s="12"/>
      <c r="N73" s="13"/>
      <c r="O73" s="13"/>
      <c r="P73" s="13"/>
      <c r="Q73" s="14"/>
      <c r="R73" s="14"/>
    </row>
    <row r="74" spans="1:18" x14ac:dyDescent="0.35">
      <c r="A74" s="15">
        <v>1591</v>
      </c>
      <c r="B74" s="15" t="s">
        <v>29</v>
      </c>
      <c r="C74" s="9"/>
      <c r="D74" s="9"/>
      <c r="E74" s="10"/>
      <c r="F74" s="9"/>
      <c r="G74" s="9"/>
      <c r="H74" s="10">
        <v>46173</v>
      </c>
      <c r="I74" s="9">
        <v>32</v>
      </c>
      <c r="J74" s="9"/>
      <c r="K74" s="9" t="s">
        <v>158</v>
      </c>
      <c r="L74" s="11" t="str">
        <f>IFERROR(VLOOKUP(K74, [1]Conceptos!A:B, 2, FALSE), "")</f>
        <v>0.010</v>
      </c>
      <c r="M74" s="12"/>
      <c r="N74" s="13"/>
      <c r="O74" s="13"/>
      <c r="P74" s="13"/>
      <c r="Q74" s="14"/>
      <c r="R74" s="14"/>
    </row>
    <row r="75" spans="1:18" x14ac:dyDescent="0.35">
      <c r="A75" s="15">
        <v>1594</v>
      </c>
      <c r="B75" s="15" t="s">
        <v>30</v>
      </c>
      <c r="C75" s="9"/>
      <c r="D75" s="9"/>
      <c r="E75" s="10"/>
      <c r="F75" s="9"/>
      <c r="G75" s="9"/>
      <c r="H75" s="10">
        <v>46173</v>
      </c>
      <c r="I75" s="9">
        <v>12</v>
      </c>
      <c r="J75" s="9"/>
      <c r="K75" s="9" t="s">
        <v>158</v>
      </c>
      <c r="L75" s="11" t="str">
        <f>IFERROR(VLOOKUP(K75, [1]Conceptos!A:B, 2, FALSE), "")</f>
        <v>0.010</v>
      </c>
      <c r="M75" s="12"/>
      <c r="N75" s="13"/>
      <c r="O75" s="13"/>
      <c r="P75" s="13"/>
      <c r="Q75" s="14"/>
      <c r="R75" s="14"/>
    </row>
    <row r="76" spans="1:18" x14ac:dyDescent="0.35">
      <c r="A76" s="15">
        <v>1599</v>
      </c>
      <c r="B76" s="15" t="s">
        <v>31</v>
      </c>
      <c r="C76" s="9"/>
      <c r="D76" s="9"/>
      <c r="E76" s="10"/>
      <c r="F76" s="9"/>
      <c r="G76" s="9"/>
      <c r="H76" s="10">
        <v>46173</v>
      </c>
      <c r="I76" s="9">
        <v>4</v>
      </c>
      <c r="J76" s="9"/>
      <c r="K76" s="9" t="s">
        <v>158</v>
      </c>
      <c r="L76" s="11" t="str">
        <f>IFERROR(VLOOKUP(K76, [1]Conceptos!A:B, 2, FALSE), "")</f>
        <v>0.010</v>
      </c>
      <c r="M76" s="12"/>
      <c r="N76" s="13"/>
      <c r="O76" s="13"/>
      <c r="P76" s="13"/>
      <c r="Q76" s="14"/>
      <c r="R76" s="14"/>
    </row>
    <row r="77" spans="1:18" x14ac:dyDescent="0.35">
      <c r="A77" s="15">
        <v>1605</v>
      </c>
      <c r="B77" s="15" t="s">
        <v>32</v>
      </c>
      <c r="C77" s="9"/>
      <c r="D77" s="9"/>
      <c r="E77" s="10"/>
      <c r="F77" s="9"/>
      <c r="G77" s="9"/>
      <c r="H77" s="10">
        <v>46173</v>
      </c>
      <c r="I77" s="9">
        <v>10</v>
      </c>
      <c r="J77" s="9"/>
      <c r="K77" s="9" t="s">
        <v>158</v>
      </c>
      <c r="L77" s="11" t="str">
        <f>IFERROR(VLOOKUP(K77, [1]Conceptos!A:B, 2, FALSE), "")</f>
        <v>0.010</v>
      </c>
      <c r="M77" s="12"/>
      <c r="N77" s="13"/>
      <c r="O77" s="13"/>
      <c r="P77" s="13"/>
      <c r="Q77" s="14"/>
      <c r="R77" s="14"/>
    </row>
    <row r="78" spans="1:18" x14ac:dyDescent="0.35">
      <c r="A78" s="15">
        <v>1628</v>
      </c>
      <c r="B78" s="15" t="s">
        <v>33</v>
      </c>
      <c r="C78" s="9"/>
      <c r="D78" s="9"/>
      <c r="E78" s="10"/>
      <c r="F78" s="9"/>
      <c r="G78" s="9"/>
      <c r="H78" s="10">
        <v>46173</v>
      </c>
      <c r="I78" s="9">
        <v>27</v>
      </c>
      <c r="J78" s="9"/>
      <c r="K78" s="9" t="s">
        <v>158</v>
      </c>
      <c r="L78" s="11" t="str">
        <f>IFERROR(VLOOKUP(K78, [1]Conceptos!A:B, 2, FALSE), "")</f>
        <v>0.010</v>
      </c>
      <c r="M78" s="12"/>
      <c r="N78" s="13"/>
      <c r="O78" s="13"/>
      <c r="P78" s="13"/>
      <c r="Q78" s="14"/>
      <c r="R78" s="14"/>
    </row>
    <row r="79" spans="1:18" x14ac:dyDescent="0.35">
      <c r="A79" s="15">
        <v>1644</v>
      </c>
      <c r="B79" s="15" t="s">
        <v>34</v>
      </c>
      <c r="C79" s="9"/>
      <c r="D79" s="9"/>
      <c r="E79" s="10"/>
      <c r="F79" s="9"/>
      <c r="G79" s="9"/>
      <c r="H79" s="10">
        <v>46173</v>
      </c>
      <c r="I79" s="9">
        <v>48</v>
      </c>
      <c r="J79" s="9"/>
      <c r="K79" s="9" t="s">
        <v>158</v>
      </c>
      <c r="L79" s="11" t="str">
        <f>IFERROR(VLOOKUP(K79, [1]Conceptos!A:B, 2, FALSE), "")</f>
        <v>0.010</v>
      </c>
      <c r="M79" s="12"/>
      <c r="N79" s="13"/>
      <c r="O79" s="13"/>
      <c r="P79" s="13"/>
      <c r="Q79" s="14"/>
      <c r="R79" s="14"/>
    </row>
    <row r="80" spans="1:18" x14ac:dyDescent="0.35">
      <c r="A80" s="15">
        <v>1650</v>
      </c>
      <c r="B80" s="15" t="s">
        <v>35</v>
      </c>
      <c r="C80" s="9"/>
      <c r="D80" s="9"/>
      <c r="E80" s="10"/>
      <c r="F80" s="9"/>
      <c r="G80" s="9"/>
      <c r="H80" s="10">
        <v>46173</v>
      </c>
      <c r="I80" s="9">
        <v>29</v>
      </c>
      <c r="J80" s="9"/>
      <c r="K80" s="9" t="s">
        <v>158</v>
      </c>
      <c r="L80" s="11" t="str">
        <f>IFERROR(VLOOKUP(K80, [1]Conceptos!A:B, 2, FALSE), "")</f>
        <v>0.010</v>
      </c>
      <c r="M80" s="12"/>
      <c r="N80" s="13"/>
      <c r="O80" s="13"/>
      <c r="P80" s="13"/>
      <c r="Q80" s="14"/>
      <c r="R80" s="14"/>
    </row>
    <row r="81" spans="1:18" x14ac:dyDescent="0.35">
      <c r="A81" s="15">
        <v>1658</v>
      </c>
      <c r="B81" s="15" t="s">
        <v>36</v>
      </c>
      <c r="C81" s="9"/>
      <c r="D81" s="9"/>
      <c r="E81" s="10"/>
      <c r="F81" s="9"/>
      <c r="G81" s="9"/>
      <c r="H81" s="10">
        <v>46173</v>
      </c>
      <c r="I81" s="9">
        <v>18</v>
      </c>
      <c r="J81" s="9"/>
      <c r="K81" s="9" t="s">
        <v>158</v>
      </c>
      <c r="L81" s="11" t="str">
        <f>IFERROR(VLOOKUP(K81, [1]Conceptos!A:B, 2, FALSE), "")</f>
        <v>0.010</v>
      </c>
      <c r="M81" s="12"/>
      <c r="N81" s="13"/>
      <c r="O81" s="13"/>
      <c r="P81" s="13"/>
      <c r="Q81" s="14"/>
      <c r="R81" s="14"/>
    </row>
    <row r="82" spans="1:18" x14ac:dyDescent="0.35">
      <c r="A82" s="15">
        <v>1660</v>
      </c>
      <c r="B82" s="15" t="s">
        <v>37</v>
      </c>
      <c r="C82" s="9"/>
      <c r="D82" s="9"/>
      <c r="E82" s="10"/>
      <c r="F82" s="9"/>
      <c r="G82" s="9"/>
      <c r="H82" s="10">
        <v>46173</v>
      </c>
      <c r="I82" s="9">
        <v>11</v>
      </c>
      <c r="J82" s="9"/>
      <c r="K82" s="9" t="s">
        <v>158</v>
      </c>
      <c r="L82" s="11" t="str">
        <f>IFERROR(VLOOKUP(K82, [1]Conceptos!A:B, 2, FALSE), "")</f>
        <v>0.010</v>
      </c>
      <c r="M82" s="12"/>
      <c r="N82" s="13"/>
      <c r="O82" s="13"/>
      <c r="P82" s="13"/>
      <c r="Q82" s="14"/>
      <c r="R82" s="14"/>
    </row>
    <row r="83" spans="1:18" x14ac:dyDescent="0.35">
      <c r="A83" s="15">
        <v>1681</v>
      </c>
      <c r="B83" s="15" t="s">
        <v>38</v>
      </c>
      <c r="C83" s="9"/>
      <c r="D83" s="9"/>
      <c r="E83" s="10"/>
      <c r="F83" s="9"/>
      <c r="G83" s="9"/>
      <c r="H83" s="10">
        <v>46173</v>
      </c>
      <c r="I83" s="9">
        <v>103</v>
      </c>
      <c r="J83" s="9"/>
      <c r="K83" s="9" t="s">
        <v>158</v>
      </c>
      <c r="L83" s="11" t="str">
        <f>IFERROR(VLOOKUP(K83, [1]Conceptos!A:B, 2, FALSE), "")</f>
        <v>0.010</v>
      </c>
      <c r="M83" s="12"/>
      <c r="N83" s="13"/>
      <c r="O83" s="13"/>
      <c r="P83" s="13"/>
      <c r="Q83" s="14"/>
      <c r="R83" s="14"/>
    </row>
    <row r="84" spans="1:18" x14ac:dyDescent="0.35">
      <c r="A84" s="15">
        <v>1693</v>
      </c>
      <c r="B84" s="15" t="s">
        <v>39</v>
      </c>
      <c r="C84" s="9"/>
      <c r="D84" s="9"/>
      <c r="E84" s="10"/>
      <c r="F84" s="9"/>
      <c r="G84" s="9"/>
      <c r="H84" s="10">
        <v>46173</v>
      </c>
      <c r="I84" s="9">
        <v>34</v>
      </c>
      <c r="J84" s="9"/>
      <c r="K84" s="9" t="s">
        <v>158</v>
      </c>
      <c r="L84" s="11" t="str">
        <f>IFERROR(VLOOKUP(K84, [1]Conceptos!A:B, 2, FALSE), "")</f>
        <v>0.010</v>
      </c>
      <c r="M84" s="12"/>
      <c r="N84" s="13"/>
      <c r="O84" s="13"/>
      <c r="P84" s="13"/>
      <c r="Q84" s="14"/>
      <c r="R84" s="14"/>
    </row>
    <row r="85" spans="1:18" x14ac:dyDescent="0.35">
      <c r="A85" s="15">
        <v>1694</v>
      </c>
      <c r="B85" s="15" t="s">
        <v>40</v>
      </c>
      <c r="C85" s="9"/>
      <c r="D85" s="9"/>
      <c r="E85" s="10"/>
      <c r="F85" s="9"/>
      <c r="G85" s="9"/>
      <c r="H85" s="10">
        <v>46173</v>
      </c>
      <c r="I85" s="9">
        <v>11</v>
      </c>
      <c r="J85" s="9"/>
      <c r="K85" s="9" t="s">
        <v>158</v>
      </c>
      <c r="L85" s="11" t="str">
        <f>IFERROR(VLOOKUP(K85, [1]Conceptos!A:B, 2, FALSE), "")</f>
        <v>0.010</v>
      </c>
      <c r="M85" s="12"/>
      <c r="N85" s="13"/>
      <c r="O85" s="13"/>
      <c r="P85" s="13"/>
      <c r="Q85" s="14"/>
      <c r="R85" s="14"/>
    </row>
    <row r="86" spans="1:18" x14ac:dyDescent="0.35">
      <c r="A86" s="15">
        <v>1719</v>
      </c>
      <c r="B86" s="15" t="s">
        <v>41</v>
      </c>
      <c r="C86" s="9"/>
      <c r="D86" s="9"/>
      <c r="E86" s="10"/>
      <c r="F86" s="9"/>
      <c r="G86" s="9"/>
      <c r="H86" s="10">
        <v>46173</v>
      </c>
      <c r="I86" s="9">
        <v>1</v>
      </c>
      <c r="J86" s="9"/>
      <c r="K86" s="9" t="s">
        <v>158</v>
      </c>
      <c r="L86" s="11" t="str">
        <f>IFERROR(VLOOKUP(K86, [1]Conceptos!A:B, 2, FALSE), "")</f>
        <v>0.010</v>
      </c>
      <c r="M86" s="12"/>
      <c r="N86" s="13"/>
      <c r="O86" s="13"/>
      <c r="P86" s="13"/>
      <c r="Q86" s="14"/>
      <c r="R86" s="14"/>
    </row>
    <row r="87" spans="1:18" x14ac:dyDescent="0.35">
      <c r="A87" s="15">
        <v>1725</v>
      </c>
      <c r="B87" s="15" t="s">
        <v>42</v>
      </c>
      <c r="C87" s="9"/>
      <c r="D87" s="9"/>
      <c r="E87" s="10"/>
      <c r="F87" s="9"/>
      <c r="G87" s="9"/>
      <c r="H87" s="10">
        <v>46173</v>
      </c>
      <c r="I87" s="9">
        <v>1</v>
      </c>
      <c r="J87" s="9"/>
      <c r="K87" s="9" t="s">
        <v>158</v>
      </c>
      <c r="L87" s="11" t="str">
        <f>IFERROR(VLOOKUP(K87, [1]Conceptos!A:B, 2, FALSE), "")</f>
        <v>0.010</v>
      </c>
      <c r="M87" s="12"/>
      <c r="N87" s="13"/>
      <c r="O87" s="13"/>
      <c r="P87" s="13"/>
      <c r="Q87" s="14"/>
      <c r="R87" s="14"/>
    </row>
    <row r="88" spans="1:18" x14ac:dyDescent="0.35">
      <c r="A88" s="15">
        <v>1732</v>
      </c>
      <c r="B88" s="15" t="s">
        <v>43</v>
      </c>
      <c r="C88" s="9"/>
      <c r="D88" s="9"/>
      <c r="E88" s="10"/>
      <c r="F88" s="9"/>
      <c r="G88" s="9"/>
      <c r="H88" s="10">
        <v>46173</v>
      </c>
      <c r="I88" s="9">
        <v>1</v>
      </c>
      <c r="J88" s="9"/>
      <c r="K88" s="9" t="s">
        <v>158</v>
      </c>
      <c r="L88" s="11" t="str">
        <f>IFERROR(VLOOKUP(K88, [1]Conceptos!A:B, 2, FALSE), "")</f>
        <v>0.010</v>
      </c>
      <c r="M88" s="12"/>
      <c r="N88" s="13"/>
      <c r="O88" s="13"/>
      <c r="P88" s="13"/>
      <c r="Q88" s="14"/>
      <c r="R88" s="14"/>
    </row>
    <row r="89" spans="1:18" x14ac:dyDescent="0.35">
      <c r="A89" s="15">
        <v>1736</v>
      </c>
      <c r="B89" s="15" t="s">
        <v>44</v>
      </c>
      <c r="C89" s="9"/>
      <c r="D89" s="9"/>
      <c r="E89" s="10"/>
      <c r="F89" s="9"/>
      <c r="G89" s="9"/>
      <c r="H89" s="10">
        <v>46173</v>
      </c>
      <c r="I89" s="9">
        <v>5</v>
      </c>
      <c r="J89" s="9"/>
      <c r="K89" s="9" t="s">
        <v>158</v>
      </c>
      <c r="L89" s="11" t="str">
        <f>IFERROR(VLOOKUP(K89, [1]Conceptos!A:B, 2, FALSE), "")</f>
        <v>0.010</v>
      </c>
      <c r="M89" s="12"/>
      <c r="N89" s="13"/>
      <c r="O89" s="13"/>
      <c r="P89" s="13"/>
      <c r="Q89" s="14"/>
      <c r="R89" s="14"/>
    </row>
    <row r="90" spans="1:18" x14ac:dyDescent="0.35">
      <c r="A90" s="15">
        <v>1752</v>
      </c>
      <c r="B90" s="15" t="s">
        <v>45</v>
      </c>
      <c r="C90" s="9"/>
      <c r="D90" s="9"/>
      <c r="E90" s="10"/>
      <c r="F90" s="9"/>
      <c r="G90" s="9"/>
      <c r="H90" s="10">
        <v>46173</v>
      </c>
      <c r="I90" s="9">
        <v>4</v>
      </c>
      <c r="J90" s="9"/>
      <c r="K90" s="9" t="s">
        <v>158</v>
      </c>
      <c r="L90" s="11" t="str">
        <f>IFERROR(VLOOKUP(K90, [1]Conceptos!A:B, 2, FALSE), "")</f>
        <v>0.010</v>
      </c>
      <c r="M90" s="12"/>
      <c r="N90" s="13"/>
      <c r="O90" s="13"/>
      <c r="P90" s="13"/>
      <c r="Q90" s="14"/>
      <c r="R90" s="14"/>
    </row>
    <row r="91" spans="1:18" x14ac:dyDescent="0.35">
      <c r="A91" s="15">
        <v>1756</v>
      </c>
      <c r="B91" s="15" t="s">
        <v>46</v>
      </c>
      <c r="C91" s="9"/>
      <c r="D91" s="9"/>
      <c r="E91" s="10"/>
      <c r="F91" s="9"/>
      <c r="G91" s="9"/>
      <c r="H91" s="10">
        <v>46173</v>
      </c>
      <c r="I91" s="9">
        <v>7</v>
      </c>
      <c r="J91" s="9"/>
      <c r="K91" s="9" t="s">
        <v>158</v>
      </c>
      <c r="L91" s="11" t="str">
        <f>IFERROR(VLOOKUP(K91, [1]Conceptos!A:B, 2, FALSE), "")</f>
        <v>0.010</v>
      </c>
      <c r="M91" s="12"/>
      <c r="N91" s="13"/>
      <c r="O91" s="13"/>
      <c r="P91" s="13"/>
      <c r="Q91" s="14"/>
      <c r="R91" s="14"/>
    </row>
    <row r="92" spans="1:18" x14ac:dyDescent="0.35">
      <c r="A92" s="15">
        <v>1764</v>
      </c>
      <c r="B92" s="15" t="s">
        <v>47</v>
      </c>
      <c r="C92" s="9"/>
      <c r="D92" s="9"/>
      <c r="E92" s="10"/>
      <c r="F92" s="9"/>
      <c r="G92" s="9"/>
      <c r="H92" s="10">
        <v>46173</v>
      </c>
      <c r="I92" s="9">
        <v>17</v>
      </c>
      <c r="J92" s="9"/>
      <c r="K92" s="9" t="s">
        <v>158</v>
      </c>
      <c r="L92" s="11" t="str">
        <f>IFERROR(VLOOKUP(K92, [1]Conceptos!A:B, 2, FALSE), "")</f>
        <v>0.010</v>
      </c>
      <c r="M92" s="12"/>
      <c r="N92" s="13"/>
      <c r="O92" s="13"/>
      <c r="P92" s="13"/>
      <c r="Q92" s="14"/>
      <c r="R92" s="14"/>
    </row>
    <row r="93" spans="1:18" x14ac:dyDescent="0.35">
      <c r="A93" s="15">
        <v>1771</v>
      </c>
      <c r="B93" s="15" t="s">
        <v>48</v>
      </c>
      <c r="C93" s="9"/>
      <c r="D93" s="9"/>
      <c r="E93" s="10"/>
      <c r="F93" s="9"/>
      <c r="G93" s="9"/>
      <c r="H93" s="10">
        <v>46173</v>
      </c>
      <c r="I93" s="9">
        <v>11</v>
      </c>
      <c r="J93" s="9"/>
      <c r="K93" s="9" t="s">
        <v>158</v>
      </c>
      <c r="L93" s="11" t="str">
        <f>IFERROR(VLOOKUP(K93, [1]Conceptos!A:B, 2, FALSE), "")</f>
        <v>0.010</v>
      </c>
      <c r="M93" s="12"/>
      <c r="N93" s="13"/>
      <c r="O93" s="13"/>
      <c r="P93" s="13"/>
      <c r="Q93" s="14"/>
      <c r="R93" s="14"/>
    </row>
    <row r="94" spans="1:18" x14ac:dyDescent="0.35">
      <c r="A94" s="15">
        <v>1786</v>
      </c>
      <c r="B94" s="15" t="s">
        <v>49</v>
      </c>
      <c r="C94" s="9"/>
      <c r="D94" s="9"/>
      <c r="E94" s="10"/>
      <c r="F94" s="9"/>
      <c r="G94" s="9"/>
      <c r="H94" s="10">
        <v>46173</v>
      </c>
      <c r="I94" s="9">
        <v>1</v>
      </c>
      <c r="J94" s="9"/>
      <c r="K94" s="9" t="s">
        <v>158</v>
      </c>
      <c r="L94" s="11" t="str">
        <f>IFERROR(VLOOKUP(K94, [1]Conceptos!A:B, 2, FALSE), "")</f>
        <v>0.010</v>
      </c>
      <c r="M94" s="12"/>
      <c r="N94" s="13"/>
      <c r="O94" s="13"/>
      <c r="P94" s="13"/>
      <c r="Q94" s="14"/>
      <c r="R94" s="14"/>
    </row>
    <row r="95" spans="1:18" x14ac:dyDescent="0.35">
      <c r="A95" s="15">
        <v>1795</v>
      </c>
      <c r="B95" s="15" t="s">
        <v>50</v>
      </c>
      <c r="C95" s="9"/>
      <c r="D95" s="9"/>
      <c r="E95" s="10"/>
      <c r="F95" s="9"/>
      <c r="G95" s="9"/>
      <c r="H95" s="10">
        <v>46173</v>
      </c>
      <c r="I95" s="9">
        <v>38</v>
      </c>
      <c r="J95" s="9"/>
      <c r="K95" s="9" t="s">
        <v>158</v>
      </c>
      <c r="L95" s="11" t="str">
        <f>IFERROR(VLOOKUP(K95, [1]Conceptos!A:B, 2, FALSE), "")</f>
        <v>0.010</v>
      </c>
      <c r="M95" s="12"/>
      <c r="N95" s="13"/>
      <c r="O95" s="13"/>
      <c r="P95" s="13"/>
      <c r="Q95" s="14"/>
      <c r="R95" s="14"/>
    </row>
    <row r="96" spans="1:18" x14ac:dyDescent="0.35">
      <c r="A96" s="15">
        <v>1796</v>
      </c>
      <c r="B96" s="15" t="s">
        <v>51</v>
      </c>
      <c r="C96" s="9"/>
      <c r="D96" s="9"/>
      <c r="E96" s="10"/>
      <c r="F96" s="9"/>
      <c r="G96" s="9"/>
      <c r="H96" s="10">
        <v>46173</v>
      </c>
      <c r="I96" s="9">
        <v>9</v>
      </c>
      <c r="J96" s="9"/>
      <c r="K96" s="9" t="s">
        <v>158</v>
      </c>
      <c r="L96" s="11" t="str">
        <f>IFERROR(VLOOKUP(K96, [1]Conceptos!A:B, 2, FALSE), "")</f>
        <v>0.010</v>
      </c>
      <c r="M96" s="12"/>
      <c r="N96" s="13"/>
      <c r="O96" s="13"/>
      <c r="P96" s="13"/>
      <c r="Q96" s="14"/>
      <c r="R96" s="14"/>
    </row>
    <row r="97" spans="1:18" x14ac:dyDescent="0.35">
      <c r="A97" s="15">
        <v>1804</v>
      </c>
      <c r="B97" s="15" t="s">
        <v>52</v>
      </c>
      <c r="C97" s="9"/>
      <c r="D97" s="9"/>
      <c r="E97" s="10"/>
      <c r="F97" s="9"/>
      <c r="G97" s="9"/>
      <c r="H97" s="10">
        <v>46173</v>
      </c>
      <c r="I97" s="9">
        <v>1</v>
      </c>
      <c r="J97" s="9"/>
      <c r="K97" s="9" t="s">
        <v>158</v>
      </c>
      <c r="L97" s="11" t="str">
        <f>IFERROR(VLOOKUP(K97, [1]Conceptos!A:B, 2, FALSE), "")</f>
        <v>0.010</v>
      </c>
      <c r="M97" s="12"/>
      <c r="N97" s="13"/>
      <c r="O97" s="13"/>
      <c r="P97" s="13"/>
      <c r="Q97" s="14"/>
      <c r="R97" s="14"/>
    </row>
    <row r="98" spans="1:18" x14ac:dyDescent="0.35">
      <c r="A98" s="15">
        <v>1815</v>
      </c>
      <c r="B98" s="15" t="s">
        <v>53</v>
      </c>
      <c r="C98" s="9"/>
      <c r="D98" s="9"/>
      <c r="E98" s="10"/>
      <c r="F98" s="9"/>
      <c r="G98" s="9"/>
      <c r="H98" s="10">
        <v>46173</v>
      </c>
      <c r="I98" s="9">
        <v>26</v>
      </c>
      <c r="J98" s="9"/>
      <c r="K98" s="9" t="s">
        <v>158</v>
      </c>
      <c r="L98" s="11" t="str">
        <f>IFERROR(VLOOKUP(K98, [1]Conceptos!A:B, 2, FALSE), "")</f>
        <v>0.010</v>
      </c>
      <c r="M98" s="12"/>
      <c r="N98" s="13"/>
      <c r="O98" s="13"/>
      <c r="P98" s="13"/>
      <c r="Q98" s="14"/>
      <c r="R98" s="14"/>
    </row>
    <row r="99" spans="1:18" x14ac:dyDescent="0.35">
      <c r="A99" s="15">
        <v>1818</v>
      </c>
      <c r="B99" s="15" t="s">
        <v>54</v>
      </c>
      <c r="C99" s="9"/>
      <c r="D99" s="9"/>
      <c r="E99" s="10"/>
      <c r="F99" s="9"/>
      <c r="G99" s="9"/>
      <c r="H99" s="10">
        <v>46173</v>
      </c>
      <c r="I99" s="9">
        <v>2</v>
      </c>
      <c r="J99" s="9"/>
      <c r="K99" s="9" t="s">
        <v>158</v>
      </c>
      <c r="L99" s="11" t="str">
        <f>IFERROR(VLOOKUP(K99, [1]Conceptos!A:B, 2, FALSE), "")</f>
        <v>0.010</v>
      </c>
      <c r="M99" s="12"/>
      <c r="N99" s="13"/>
      <c r="O99" s="13"/>
      <c r="P99" s="13"/>
      <c r="Q99" s="14"/>
      <c r="R99" s="14"/>
    </row>
    <row r="100" spans="1:18" x14ac:dyDescent="0.35">
      <c r="A100" s="15">
        <v>1834</v>
      </c>
      <c r="B100" s="15" t="s">
        <v>55</v>
      </c>
      <c r="C100" s="9"/>
      <c r="D100" s="9"/>
      <c r="E100" s="10"/>
      <c r="F100" s="9"/>
      <c r="G100" s="9"/>
      <c r="H100" s="10">
        <v>46173</v>
      </c>
      <c r="I100" s="9">
        <v>7</v>
      </c>
      <c r="J100" s="9"/>
      <c r="K100" s="9" t="s">
        <v>158</v>
      </c>
      <c r="L100" s="11" t="str">
        <f>IFERROR(VLOOKUP(K100, [1]Conceptos!A:B, 2, FALSE), "")</f>
        <v>0.010</v>
      </c>
      <c r="M100" s="12"/>
      <c r="N100" s="13"/>
      <c r="O100" s="13"/>
      <c r="P100" s="13"/>
      <c r="Q100" s="14"/>
      <c r="R100" s="14"/>
    </row>
    <row r="101" spans="1:18" x14ac:dyDescent="0.35">
      <c r="A101" s="15">
        <v>1836</v>
      </c>
      <c r="B101" s="15" t="s">
        <v>56</v>
      </c>
      <c r="C101" s="9"/>
      <c r="D101" s="9"/>
      <c r="E101" s="10"/>
      <c r="F101" s="9"/>
      <c r="G101" s="9"/>
      <c r="H101" s="10">
        <v>46173</v>
      </c>
      <c r="I101" s="9">
        <v>2</v>
      </c>
      <c r="J101" s="9"/>
      <c r="K101" s="9" t="s">
        <v>158</v>
      </c>
      <c r="L101" s="11" t="str">
        <f>IFERROR(VLOOKUP(K101, [1]Conceptos!A:B, 2, FALSE), "")</f>
        <v>0.010</v>
      </c>
      <c r="M101" s="12"/>
      <c r="N101" s="13"/>
      <c r="O101" s="13"/>
      <c r="P101" s="13"/>
      <c r="Q101" s="14"/>
      <c r="R101" s="14"/>
    </row>
    <row r="102" spans="1:18" x14ac:dyDescent="0.35">
      <c r="A102" s="15">
        <v>1841</v>
      </c>
      <c r="B102" s="15" t="s">
        <v>57</v>
      </c>
      <c r="C102" s="9"/>
      <c r="D102" s="9"/>
      <c r="E102" s="10"/>
      <c r="F102" s="9"/>
      <c r="G102" s="9"/>
      <c r="H102" s="10">
        <v>46173</v>
      </c>
      <c r="I102" s="9">
        <v>9</v>
      </c>
      <c r="J102" s="9"/>
      <c r="K102" s="9" t="s">
        <v>158</v>
      </c>
      <c r="L102" s="11" t="str">
        <f>IFERROR(VLOOKUP(K102, [1]Conceptos!A:B, 2, FALSE), "")</f>
        <v>0.010</v>
      </c>
      <c r="M102" s="12"/>
      <c r="N102" s="13"/>
      <c r="O102" s="13"/>
      <c r="P102" s="13"/>
      <c r="Q102" s="14"/>
      <c r="R102" s="14"/>
    </row>
    <row r="103" spans="1:18" x14ac:dyDescent="0.35">
      <c r="A103" s="15">
        <v>1846</v>
      </c>
      <c r="B103" s="15" t="s">
        <v>58</v>
      </c>
      <c r="C103" s="9"/>
      <c r="D103" s="9"/>
      <c r="E103" s="10"/>
      <c r="F103" s="9"/>
      <c r="G103" s="9"/>
      <c r="H103" s="10">
        <v>46173</v>
      </c>
      <c r="I103" s="9">
        <v>14</v>
      </c>
      <c r="J103" s="9"/>
      <c r="K103" s="9" t="s">
        <v>158</v>
      </c>
      <c r="L103" s="11" t="str">
        <f>IFERROR(VLOOKUP(K103, [1]Conceptos!A:B, 2, FALSE), "")</f>
        <v>0.010</v>
      </c>
      <c r="M103" s="12"/>
      <c r="N103" s="13"/>
      <c r="O103" s="13"/>
      <c r="P103" s="13"/>
      <c r="Q103" s="14"/>
      <c r="R103" s="14"/>
    </row>
    <row r="104" spans="1:18" x14ac:dyDescent="0.35">
      <c r="A104" s="15">
        <v>1864</v>
      </c>
      <c r="B104" s="15" t="s">
        <v>59</v>
      </c>
      <c r="C104" s="9"/>
      <c r="D104" s="9"/>
      <c r="E104" s="10"/>
      <c r="F104" s="9"/>
      <c r="G104" s="9"/>
      <c r="H104" s="10">
        <v>46173</v>
      </c>
      <c r="I104" s="9">
        <v>17</v>
      </c>
      <c r="J104" s="9"/>
      <c r="K104" s="9" t="s">
        <v>158</v>
      </c>
      <c r="L104" s="11" t="str">
        <f>IFERROR(VLOOKUP(K104, [1]Conceptos!A:B, 2, FALSE), "")</f>
        <v>0.010</v>
      </c>
      <c r="M104" s="12"/>
      <c r="N104" s="13"/>
      <c r="O104" s="13"/>
      <c r="P104" s="13"/>
      <c r="Q104" s="14"/>
      <c r="R104" s="14"/>
    </row>
    <row r="105" spans="1:18" x14ac:dyDescent="0.35">
      <c r="A105" s="15">
        <v>1868</v>
      </c>
      <c r="B105" s="15" t="s">
        <v>60</v>
      </c>
      <c r="C105" s="9"/>
      <c r="D105" s="9"/>
      <c r="E105" s="10"/>
      <c r="F105" s="9"/>
      <c r="G105" s="9"/>
      <c r="H105" s="10">
        <v>46173</v>
      </c>
      <c r="I105" s="9">
        <v>4</v>
      </c>
      <c r="J105" s="9"/>
      <c r="K105" s="9" t="s">
        <v>158</v>
      </c>
      <c r="L105" s="11" t="str">
        <f>IFERROR(VLOOKUP(K105, [1]Conceptos!A:B, 2, FALSE), "")</f>
        <v>0.010</v>
      </c>
      <c r="M105" s="12"/>
      <c r="N105" s="13"/>
      <c r="O105" s="13"/>
      <c r="P105" s="13"/>
      <c r="Q105" s="14"/>
      <c r="R105" s="14"/>
    </row>
    <row r="106" spans="1:18" x14ac:dyDescent="0.35">
      <c r="A106" s="15">
        <v>1870</v>
      </c>
      <c r="B106" s="15" t="s">
        <v>61</v>
      </c>
      <c r="C106" s="9"/>
      <c r="D106" s="9"/>
      <c r="E106" s="10"/>
      <c r="F106" s="9"/>
      <c r="G106" s="9"/>
      <c r="H106" s="10">
        <v>46173</v>
      </c>
      <c r="I106" s="9">
        <v>5</v>
      </c>
      <c r="J106" s="9"/>
      <c r="K106" s="9" t="s">
        <v>158</v>
      </c>
      <c r="L106" s="11" t="str">
        <f>IFERROR(VLOOKUP(K106, [1]Conceptos!A:B, 2, FALSE), "")</f>
        <v>0.010</v>
      </c>
      <c r="M106" s="12"/>
      <c r="N106" s="13"/>
      <c r="O106" s="13"/>
      <c r="P106" s="13"/>
      <c r="Q106" s="14"/>
      <c r="R106" s="14"/>
    </row>
    <row r="107" spans="1:18" x14ac:dyDescent="0.35">
      <c r="A107" s="15">
        <v>1872</v>
      </c>
      <c r="B107" s="15" t="s">
        <v>62</v>
      </c>
      <c r="C107" s="9"/>
      <c r="D107" s="9"/>
      <c r="E107" s="10"/>
      <c r="F107" s="9"/>
      <c r="G107" s="9"/>
      <c r="H107" s="10">
        <v>46173</v>
      </c>
      <c r="I107" s="9">
        <v>6</v>
      </c>
      <c r="J107" s="9"/>
      <c r="K107" s="9" t="s">
        <v>158</v>
      </c>
      <c r="L107" s="11" t="str">
        <f>IFERROR(VLOOKUP(K107, [1]Conceptos!A:B, 2, FALSE), "")</f>
        <v>0.010</v>
      </c>
      <c r="M107" s="12"/>
      <c r="N107" s="13"/>
      <c r="O107" s="13"/>
      <c r="P107" s="13"/>
      <c r="Q107" s="14"/>
      <c r="R107" s="14"/>
    </row>
    <row r="108" spans="1:18" x14ac:dyDescent="0.35">
      <c r="A108" s="15">
        <v>1874</v>
      </c>
      <c r="B108" s="15" t="s">
        <v>63</v>
      </c>
      <c r="C108" s="9"/>
      <c r="D108" s="9"/>
      <c r="E108" s="10"/>
      <c r="F108" s="9"/>
      <c r="G108" s="9"/>
      <c r="H108" s="10">
        <v>46173</v>
      </c>
      <c r="I108" s="9">
        <v>3</v>
      </c>
      <c r="J108" s="9"/>
      <c r="K108" s="9" t="s">
        <v>158</v>
      </c>
      <c r="L108" s="11" t="str">
        <f>IFERROR(VLOOKUP(K108, [1]Conceptos!A:B, 2, FALSE), "")</f>
        <v>0.010</v>
      </c>
      <c r="M108" s="12"/>
      <c r="N108" s="13"/>
      <c r="O108" s="13"/>
      <c r="P108" s="13"/>
      <c r="Q108" s="14"/>
      <c r="R108" s="14"/>
    </row>
    <row r="109" spans="1:18" x14ac:dyDescent="0.35">
      <c r="A109" s="15">
        <v>1887</v>
      </c>
      <c r="B109" s="15" t="s">
        <v>64</v>
      </c>
      <c r="C109" s="9"/>
      <c r="D109" s="9"/>
      <c r="E109" s="10"/>
      <c r="F109" s="9"/>
      <c r="G109" s="9"/>
      <c r="H109" s="10">
        <v>46173</v>
      </c>
      <c r="I109" s="9">
        <v>2</v>
      </c>
      <c r="J109" s="9"/>
      <c r="K109" s="9" t="s">
        <v>158</v>
      </c>
      <c r="L109" s="11" t="str">
        <f>IFERROR(VLOOKUP(K109, [1]Conceptos!A:B, 2, FALSE), "")</f>
        <v>0.010</v>
      </c>
      <c r="M109" s="12"/>
      <c r="N109" s="13"/>
      <c r="O109" s="13"/>
      <c r="P109" s="13"/>
      <c r="Q109" s="14"/>
      <c r="R109" s="14"/>
    </row>
    <row r="110" spans="1:18" x14ac:dyDescent="0.35">
      <c r="A110" s="15">
        <v>1903</v>
      </c>
      <c r="B110" s="15" t="s">
        <v>65</v>
      </c>
      <c r="C110" s="9"/>
      <c r="D110" s="9"/>
      <c r="E110" s="10"/>
      <c r="F110" s="9"/>
      <c r="G110" s="9"/>
      <c r="H110" s="10">
        <v>46173</v>
      </c>
      <c r="I110" s="9">
        <v>34</v>
      </c>
      <c r="J110" s="9"/>
      <c r="K110" s="9" t="s">
        <v>158</v>
      </c>
      <c r="L110" s="11" t="str">
        <f>IFERROR(VLOOKUP(K110, [1]Conceptos!A:B, 2, FALSE), "")</f>
        <v>0.010</v>
      </c>
      <c r="M110" s="12"/>
      <c r="N110" s="13"/>
      <c r="O110" s="13"/>
      <c r="P110" s="13"/>
      <c r="Q110" s="14"/>
      <c r="R110" s="14"/>
    </row>
    <row r="111" spans="1:18" x14ac:dyDescent="0.35">
      <c r="A111" s="15">
        <v>1939</v>
      </c>
      <c r="B111" s="15" t="s">
        <v>66</v>
      </c>
      <c r="C111" s="9"/>
      <c r="D111" s="9"/>
      <c r="E111" s="10"/>
      <c r="F111" s="9"/>
      <c r="G111" s="9"/>
      <c r="H111" s="10">
        <v>46173</v>
      </c>
      <c r="I111" s="9">
        <v>10</v>
      </c>
      <c r="J111" s="9"/>
      <c r="K111" s="9" t="s">
        <v>158</v>
      </c>
      <c r="L111" s="11" t="str">
        <f>IFERROR(VLOOKUP(K111, [1]Conceptos!A:B, 2, FALSE), "")</f>
        <v>0.010</v>
      </c>
      <c r="M111" s="12"/>
      <c r="N111" s="13"/>
      <c r="O111" s="13"/>
      <c r="P111" s="13"/>
      <c r="Q111" s="14"/>
      <c r="R111" s="14"/>
    </row>
    <row r="112" spans="1:18" x14ac:dyDescent="0.35">
      <c r="A112" s="15">
        <v>1964</v>
      </c>
      <c r="B112" s="15" t="s">
        <v>67</v>
      </c>
      <c r="C112" s="9"/>
      <c r="D112" s="9"/>
      <c r="E112" s="10"/>
      <c r="F112" s="9"/>
      <c r="G112" s="9"/>
      <c r="H112" s="10">
        <v>46173</v>
      </c>
      <c r="I112" s="9">
        <v>1</v>
      </c>
      <c r="J112" s="9"/>
      <c r="K112" s="9" t="s">
        <v>158</v>
      </c>
      <c r="L112" s="11" t="str">
        <f>IFERROR(VLOOKUP(K112, [1]Conceptos!A:B, 2, FALSE), "")</f>
        <v>0.010</v>
      </c>
      <c r="M112" s="12"/>
      <c r="N112" s="13"/>
      <c r="O112" s="13"/>
      <c r="P112" s="13"/>
      <c r="Q112" s="14"/>
      <c r="R112" s="14"/>
    </row>
    <row r="113" spans="1:18" x14ac:dyDescent="0.35">
      <c r="A113" s="15">
        <v>1965</v>
      </c>
      <c r="B113" s="15" t="s">
        <v>68</v>
      </c>
      <c r="C113" s="9"/>
      <c r="D113" s="9"/>
      <c r="E113" s="10"/>
      <c r="F113" s="9"/>
      <c r="G113" s="9"/>
      <c r="H113" s="10">
        <v>46173</v>
      </c>
      <c r="I113" s="9">
        <v>7</v>
      </c>
      <c r="J113" s="9"/>
      <c r="K113" s="9" t="s">
        <v>158</v>
      </c>
      <c r="L113" s="11" t="str">
        <f>IFERROR(VLOOKUP(K113, [1]Conceptos!A:B, 2, FALSE), "")</f>
        <v>0.010</v>
      </c>
      <c r="M113" s="12"/>
      <c r="N113" s="13"/>
      <c r="O113" s="13"/>
      <c r="P113" s="13"/>
      <c r="Q113" s="14"/>
      <c r="R113" s="14"/>
    </row>
    <row r="114" spans="1:18" x14ac:dyDescent="0.35">
      <c r="A114" s="15">
        <v>1983</v>
      </c>
      <c r="B114" s="15" t="s">
        <v>69</v>
      </c>
      <c r="C114" s="9"/>
      <c r="D114" s="9"/>
      <c r="E114" s="10"/>
      <c r="F114" s="9"/>
      <c r="G114" s="9"/>
      <c r="H114" s="10">
        <v>46173</v>
      </c>
      <c r="I114" s="9">
        <v>3</v>
      </c>
      <c r="J114" s="9"/>
      <c r="K114" s="9" t="s">
        <v>158</v>
      </c>
      <c r="L114" s="11" t="str">
        <f>IFERROR(VLOOKUP(K114, [1]Conceptos!A:B, 2, FALSE), "")</f>
        <v>0.010</v>
      </c>
      <c r="M114" s="12"/>
      <c r="N114" s="13"/>
      <c r="O114" s="13"/>
      <c r="P114" s="13"/>
      <c r="Q114" s="14"/>
      <c r="R114" s="14"/>
    </row>
    <row r="115" spans="1:18" x14ac:dyDescent="0.35">
      <c r="A115" s="15">
        <v>1985</v>
      </c>
      <c r="B115" s="15" t="s">
        <v>70</v>
      </c>
      <c r="C115" s="9"/>
      <c r="D115" s="9"/>
      <c r="E115" s="10"/>
      <c r="F115" s="9"/>
      <c r="G115" s="9"/>
      <c r="H115" s="10">
        <v>46173</v>
      </c>
      <c r="I115" s="9">
        <v>32</v>
      </c>
      <c r="J115" s="9"/>
      <c r="K115" s="9" t="s">
        <v>158</v>
      </c>
      <c r="L115" s="11" t="str">
        <f>IFERROR(VLOOKUP(K115, [1]Conceptos!A:B, 2, FALSE), "")</f>
        <v>0.010</v>
      </c>
      <c r="M115" s="12"/>
      <c r="N115" s="13"/>
      <c r="O115" s="13"/>
      <c r="P115" s="13"/>
      <c r="Q115" s="14"/>
      <c r="R115" s="14"/>
    </row>
    <row r="116" spans="1:18" x14ac:dyDescent="0.35">
      <c r="A116" s="15">
        <v>2000</v>
      </c>
      <c r="B116" s="15" t="s">
        <v>71</v>
      </c>
      <c r="C116" s="9"/>
      <c r="D116" s="9"/>
      <c r="E116" s="10"/>
      <c r="F116" s="9"/>
      <c r="G116" s="9"/>
      <c r="H116" s="10">
        <v>46173</v>
      </c>
      <c r="I116" s="9">
        <v>24</v>
      </c>
      <c r="J116" s="9"/>
      <c r="K116" s="9" t="s">
        <v>158</v>
      </c>
      <c r="L116" s="11" t="str">
        <f>IFERROR(VLOOKUP(K116, [1]Conceptos!A:B, 2, FALSE), "")</f>
        <v>0.010</v>
      </c>
      <c r="M116" s="12"/>
      <c r="N116" s="13"/>
      <c r="O116" s="13"/>
      <c r="P116" s="13"/>
      <c r="Q116" s="14"/>
      <c r="R116" s="14"/>
    </row>
    <row r="117" spans="1:18" x14ac:dyDescent="0.35">
      <c r="A117" s="15">
        <v>2020</v>
      </c>
      <c r="B117" s="15" t="s">
        <v>72</v>
      </c>
      <c r="C117" s="9"/>
      <c r="D117" s="9"/>
      <c r="E117" s="10"/>
      <c r="F117" s="9"/>
      <c r="G117" s="9"/>
      <c r="H117" s="10">
        <v>46173</v>
      </c>
      <c r="I117" s="9">
        <v>3</v>
      </c>
      <c r="J117" s="9"/>
      <c r="K117" s="9" t="s">
        <v>158</v>
      </c>
      <c r="L117" s="11" t="str">
        <f>IFERROR(VLOOKUP(K117, [1]Conceptos!A:B, 2, FALSE), "")</f>
        <v>0.010</v>
      </c>
      <c r="M117" s="12"/>
      <c r="N117" s="13"/>
      <c r="O117" s="13"/>
      <c r="P117" s="13"/>
      <c r="Q117" s="14"/>
      <c r="R117" s="14"/>
    </row>
    <row r="118" spans="1:18" x14ac:dyDescent="0.35">
      <c r="A118" s="15">
        <v>2036</v>
      </c>
      <c r="B118" s="15" t="s">
        <v>73</v>
      </c>
      <c r="C118" s="9"/>
      <c r="D118" s="9"/>
      <c r="E118" s="10"/>
      <c r="F118" s="9"/>
      <c r="G118" s="9"/>
      <c r="H118" s="10">
        <v>46173</v>
      </c>
      <c r="I118" s="9">
        <v>5</v>
      </c>
      <c r="J118" s="9"/>
      <c r="K118" s="9" t="s">
        <v>158</v>
      </c>
      <c r="L118" s="11" t="str">
        <f>IFERROR(VLOOKUP(K118, [1]Conceptos!A:B, 2, FALSE), "")</f>
        <v>0.010</v>
      </c>
      <c r="M118" s="12"/>
      <c r="N118" s="13"/>
      <c r="O118" s="13"/>
      <c r="P118" s="13"/>
      <c r="Q118" s="14"/>
      <c r="R118" s="14"/>
    </row>
    <row r="119" spans="1:18" x14ac:dyDescent="0.35">
      <c r="A119" s="15">
        <v>2058</v>
      </c>
      <c r="B119" s="15" t="s">
        <v>74</v>
      </c>
      <c r="C119" s="9"/>
      <c r="D119" s="9"/>
      <c r="E119" s="10"/>
      <c r="F119" s="9"/>
      <c r="G119" s="9"/>
      <c r="H119" s="10">
        <v>46173</v>
      </c>
      <c r="I119" s="9">
        <v>3</v>
      </c>
      <c r="J119" s="9"/>
      <c r="K119" s="9" t="s">
        <v>158</v>
      </c>
      <c r="L119" s="11" t="str">
        <f>IFERROR(VLOOKUP(K119, [1]Conceptos!A:B, 2, FALSE), "")</f>
        <v>0.010</v>
      </c>
      <c r="M119" s="12"/>
      <c r="N119" s="13"/>
      <c r="O119" s="13"/>
      <c r="P119" s="13"/>
      <c r="Q119" s="14"/>
      <c r="R119" s="14"/>
    </row>
    <row r="120" spans="1:18" x14ac:dyDescent="0.35">
      <c r="A120" s="15">
        <v>2068</v>
      </c>
      <c r="B120" s="15" t="s">
        <v>75</v>
      </c>
      <c r="C120" s="9"/>
      <c r="D120" s="9"/>
      <c r="E120" s="10"/>
      <c r="F120" s="9"/>
      <c r="G120" s="9"/>
      <c r="H120" s="10">
        <v>46173</v>
      </c>
      <c r="I120" s="9">
        <v>8</v>
      </c>
      <c r="J120" s="9"/>
      <c r="K120" s="9" t="s">
        <v>158</v>
      </c>
      <c r="L120" s="11" t="str">
        <f>IFERROR(VLOOKUP(K120, [1]Conceptos!A:B, 2, FALSE), "")</f>
        <v>0.010</v>
      </c>
      <c r="M120" s="12"/>
      <c r="N120" s="13"/>
      <c r="O120" s="13"/>
      <c r="P120" s="13"/>
      <c r="Q120" s="14"/>
      <c r="R120" s="14"/>
    </row>
    <row r="121" spans="1:18" x14ac:dyDescent="0.35">
      <c r="A121" s="15">
        <v>2080</v>
      </c>
      <c r="B121" s="15" t="s">
        <v>76</v>
      </c>
      <c r="C121" s="9"/>
      <c r="D121" s="9"/>
      <c r="E121" s="10"/>
      <c r="F121" s="9"/>
      <c r="G121" s="9"/>
      <c r="H121" s="10">
        <v>46173</v>
      </c>
      <c r="I121" s="9">
        <v>1</v>
      </c>
      <c r="J121" s="9"/>
      <c r="K121" s="9" t="s">
        <v>158</v>
      </c>
      <c r="L121" s="11" t="str">
        <f>IFERROR(VLOOKUP(K121, [1]Conceptos!A:B, 2, FALSE), "")</f>
        <v>0.010</v>
      </c>
      <c r="M121" s="12"/>
      <c r="N121" s="13"/>
      <c r="O121" s="13"/>
      <c r="P121" s="13"/>
      <c r="Q121" s="14"/>
      <c r="R121" s="14"/>
    </row>
    <row r="122" spans="1:18" x14ac:dyDescent="0.35">
      <c r="A122" s="15">
        <v>2095</v>
      </c>
      <c r="B122" s="15" t="s">
        <v>77</v>
      </c>
      <c r="C122" s="9"/>
      <c r="D122" s="9"/>
      <c r="E122" s="10"/>
      <c r="F122" s="9"/>
      <c r="G122" s="9"/>
      <c r="H122" s="10">
        <v>46173</v>
      </c>
      <c r="I122" s="9">
        <v>9</v>
      </c>
      <c r="J122" s="9"/>
      <c r="K122" s="9" t="s">
        <v>158</v>
      </c>
      <c r="L122" s="11" t="str">
        <f>IFERROR(VLOOKUP(K122, [1]Conceptos!A:B, 2, FALSE), "")</f>
        <v>0.010</v>
      </c>
      <c r="M122" s="12"/>
      <c r="N122" s="13"/>
      <c r="O122" s="13"/>
      <c r="P122" s="13"/>
      <c r="Q122" s="14"/>
      <c r="R122" s="14"/>
    </row>
    <row r="123" spans="1:18" x14ac:dyDescent="0.35">
      <c r="A123" s="15">
        <v>2133</v>
      </c>
      <c r="B123" s="15" t="s">
        <v>78</v>
      </c>
      <c r="C123" s="9"/>
      <c r="D123" s="9"/>
      <c r="E123" s="10"/>
      <c r="F123" s="9"/>
      <c r="G123" s="9"/>
      <c r="H123" s="10">
        <v>46173</v>
      </c>
      <c r="I123" s="9">
        <v>1</v>
      </c>
      <c r="J123" s="9"/>
      <c r="K123" s="9" t="s">
        <v>158</v>
      </c>
      <c r="L123" s="11" t="str">
        <f>IFERROR(VLOOKUP(K123, [1]Conceptos!A:B, 2, FALSE), "")</f>
        <v>0.010</v>
      </c>
      <c r="M123" s="12"/>
      <c r="N123" s="13"/>
      <c r="O123" s="13"/>
      <c r="P123" s="13"/>
      <c r="Q123" s="14"/>
      <c r="R123" s="14"/>
    </row>
    <row r="124" spans="1:18" x14ac:dyDescent="0.35">
      <c r="A124" s="15">
        <v>2137</v>
      </c>
      <c r="B124" s="15" t="s">
        <v>79</v>
      </c>
      <c r="C124" s="9"/>
      <c r="D124" s="9"/>
      <c r="E124" s="10"/>
      <c r="F124" s="9"/>
      <c r="G124" s="9"/>
      <c r="H124" s="10">
        <v>46173</v>
      </c>
      <c r="I124" s="9">
        <v>4</v>
      </c>
      <c r="J124" s="9"/>
      <c r="K124" s="9" t="s">
        <v>158</v>
      </c>
      <c r="L124" s="11" t="str">
        <f>IFERROR(VLOOKUP(K124, [1]Conceptos!A:B, 2, FALSE), "")</f>
        <v>0.010</v>
      </c>
      <c r="M124" s="12"/>
      <c r="N124" s="13"/>
      <c r="O124" s="13"/>
      <c r="P124" s="13"/>
      <c r="Q124" s="14"/>
      <c r="R124" s="14"/>
    </row>
    <row r="125" spans="1:18" x14ac:dyDescent="0.35">
      <c r="A125" s="15">
        <v>2163</v>
      </c>
      <c r="B125" s="15" t="s">
        <v>80</v>
      </c>
      <c r="C125" s="9"/>
      <c r="D125" s="9"/>
      <c r="E125" s="10"/>
      <c r="F125" s="9"/>
      <c r="G125" s="9"/>
      <c r="H125" s="10">
        <v>46173</v>
      </c>
      <c r="I125" s="9">
        <v>34</v>
      </c>
      <c r="J125" s="9"/>
      <c r="K125" s="9" t="s">
        <v>158</v>
      </c>
      <c r="L125" s="11" t="str">
        <f>IFERROR(VLOOKUP(K125, [1]Conceptos!A:B, 2, FALSE), "")</f>
        <v>0.010</v>
      </c>
      <c r="M125" s="12"/>
      <c r="N125" s="13"/>
      <c r="O125" s="13"/>
      <c r="P125" s="13"/>
      <c r="Q125" s="14"/>
      <c r="R125" s="14"/>
    </row>
    <row r="126" spans="1:18" x14ac:dyDescent="0.35">
      <c r="A126" s="15">
        <v>2183</v>
      </c>
      <c r="B126" s="15" t="s">
        <v>81</v>
      </c>
      <c r="C126" s="9"/>
      <c r="D126" s="9"/>
      <c r="E126" s="10"/>
      <c r="F126" s="9"/>
      <c r="G126" s="9"/>
      <c r="H126" s="10">
        <v>46173</v>
      </c>
      <c r="I126" s="9">
        <v>2</v>
      </c>
      <c r="J126" s="9"/>
      <c r="K126" s="9" t="s">
        <v>158</v>
      </c>
      <c r="L126" s="11" t="str">
        <f>IFERROR(VLOOKUP(K126, [1]Conceptos!A:B, 2, FALSE), "")</f>
        <v>0.010</v>
      </c>
      <c r="M126" s="12"/>
      <c r="N126" s="13"/>
      <c r="O126" s="13"/>
      <c r="P126" s="13"/>
      <c r="Q126" s="14"/>
      <c r="R126" s="14"/>
    </row>
    <row r="127" spans="1:18" x14ac:dyDescent="0.35">
      <c r="A127" s="15">
        <v>2192</v>
      </c>
      <c r="B127" s="15" t="s">
        <v>82</v>
      </c>
      <c r="C127" s="9"/>
      <c r="D127" s="9"/>
      <c r="E127" s="10"/>
      <c r="F127" s="9"/>
      <c r="G127" s="9"/>
      <c r="H127" s="10">
        <v>46173</v>
      </c>
      <c r="I127" s="9">
        <v>5</v>
      </c>
      <c r="J127" s="9"/>
      <c r="K127" s="9" t="s">
        <v>158</v>
      </c>
      <c r="L127" s="11" t="str">
        <f>IFERROR(VLOOKUP(K127, [1]Conceptos!A:B, 2, FALSE), "")</f>
        <v>0.010</v>
      </c>
      <c r="M127" s="12"/>
      <c r="N127" s="13"/>
      <c r="O127" s="13"/>
      <c r="P127" s="13"/>
      <c r="Q127" s="14"/>
      <c r="R127" s="14"/>
    </row>
    <row r="128" spans="1:18" x14ac:dyDescent="0.35">
      <c r="A128" s="15">
        <v>2197</v>
      </c>
      <c r="B128" s="15" t="s">
        <v>83</v>
      </c>
      <c r="C128" s="9"/>
      <c r="D128" s="9"/>
      <c r="E128" s="10"/>
      <c r="F128" s="9"/>
      <c r="G128" s="9"/>
      <c r="H128" s="10">
        <v>46173</v>
      </c>
      <c r="I128" s="9">
        <v>6</v>
      </c>
      <c r="J128" s="9"/>
      <c r="K128" s="9" t="s">
        <v>158</v>
      </c>
      <c r="L128" s="11" t="str">
        <f>IFERROR(VLOOKUP(K128, [1]Conceptos!A:B, 2, FALSE), "")</f>
        <v>0.010</v>
      </c>
      <c r="M128" s="12"/>
      <c r="N128" s="13"/>
      <c r="O128" s="13"/>
      <c r="P128" s="13"/>
      <c r="Q128" s="14"/>
      <c r="R128" s="14"/>
    </row>
    <row r="129" spans="1:18" x14ac:dyDescent="0.35">
      <c r="A129" s="15">
        <v>2220</v>
      </c>
      <c r="B129" s="15" t="s">
        <v>84</v>
      </c>
      <c r="C129" s="9"/>
      <c r="D129" s="9"/>
      <c r="E129" s="10"/>
      <c r="F129" s="9"/>
      <c r="G129" s="9"/>
      <c r="H129" s="10">
        <v>46173</v>
      </c>
      <c r="I129" s="9">
        <v>1</v>
      </c>
      <c r="J129" s="9"/>
      <c r="K129" s="9" t="s">
        <v>158</v>
      </c>
      <c r="L129" s="11" t="str">
        <f>IFERROR(VLOOKUP(K129, [1]Conceptos!A:B, 2, FALSE), "")</f>
        <v>0.010</v>
      </c>
      <c r="M129" s="12"/>
      <c r="N129" s="13"/>
      <c r="O129" s="13"/>
      <c r="P129" s="13"/>
      <c r="Q129" s="14"/>
      <c r="R129" s="14"/>
    </row>
    <row r="130" spans="1:18" x14ac:dyDescent="0.35">
      <c r="A130" s="15">
        <v>2225</v>
      </c>
      <c r="B130" s="15" t="s">
        <v>85</v>
      </c>
      <c r="C130" s="9"/>
      <c r="D130" s="9"/>
      <c r="E130" s="10"/>
      <c r="F130" s="9"/>
      <c r="G130" s="9"/>
      <c r="H130" s="10">
        <v>46173</v>
      </c>
      <c r="I130" s="9">
        <v>10</v>
      </c>
      <c r="J130" s="9"/>
      <c r="K130" s="9" t="s">
        <v>158</v>
      </c>
      <c r="L130" s="11" t="str">
        <f>IFERROR(VLOOKUP(K130, [1]Conceptos!A:B, 2, FALSE), "")</f>
        <v>0.010</v>
      </c>
      <c r="M130" s="12"/>
      <c r="N130" s="13"/>
      <c r="O130" s="13"/>
      <c r="P130" s="13"/>
      <c r="Q130" s="14"/>
      <c r="R130" s="14"/>
    </row>
    <row r="131" spans="1:18" x14ac:dyDescent="0.35">
      <c r="A131" s="15">
        <v>2248</v>
      </c>
      <c r="B131" s="15" t="s">
        <v>86</v>
      </c>
      <c r="C131" s="9"/>
      <c r="D131" s="9"/>
      <c r="E131" s="10"/>
      <c r="F131" s="9"/>
      <c r="G131" s="9"/>
      <c r="H131" s="10">
        <v>46173</v>
      </c>
      <c r="I131" s="9">
        <v>7</v>
      </c>
      <c r="J131" s="9"/>
      <c r="K131" s="9" t="s">
        <v>158</v>
      </c>
      <c r="L131" s="11" t="str">
        <f>IFERROR(VLOOKUP(K131, [1]Conceptos!A:B, 2, FALSE), "")</f>
        <v>0.010</v>
      </c>
      <c r="M131" s="12"/>
      <c r="N131" s="13"/>
      <c r="O131" s="13"/>
      <c r="P131" s="13"/>
      <c r="Q131" s="14"/>
      <c r="R131" s="14"/>
    </row>
    <row r="132" spans="1:18" x14ac:dyDescent="0.35">
      <c r="A132" s="15">
        <v>2252</v>
      </c>
      <c r="B132" s="15" t="s">
        <v>87</v>
      </c>
      <c r="C132" s="9"/>
      <c r="D132" s="9"/>
      <c r="E132" s="10"/>
      <c r="F132" s="9"/>
      <c r="G132" s="9"/>
      <c r="H132" s="10">
        <v>46173</v>
      </c>
      <c r="I132" s="9">
        <v>8</v>
      </c>
      <c r="J132" s="9"/>
      <c r="K132" s="9" t="s">
        <v>158</v>
      </c>
      <c r="L132" s="11" t="str">
        <f>IFERROR(VLOOKUP(K132, [1]Conceptos!A:B, 2, FALSE), "")</f>
        <v>0.010</v>
      </c>
      <c r="M132" s="12"/>
      <c r="N132" s="13"/>
      <c r="O132" s="13"/>
      <c r="P132" s="13"/>
      <c r="Q132" s="14"/>
      <c r="R132" s="14"/>
    </row>
    <row r="133" spans="1:18" x14ac:dyDescent="0.35">
      <c r="A133" s="15">
        <v>2264</v>
      </c>
      <c r="B133" s="15" t="s">
        <v>88</v>
      </c>
      <c r="C133" s="9"/>
      <c r="D133" s="9"/>
      <c r="E133" s="10"/>
      <c r="F133" s="9"/>
      <c r="G133" s="9"/>
      <c r="H133" s="10">
        <v>46173</v>
      </c>
      <c r="I133" s="9">
        <v>3</v>
      </c>
      <c r="J133" s="9"/>
      <c r="K133" s="9" t="s">
        <v>158</v>
      </c>
      <c r="L133" s="11" t="str">
        <f>IFERROR(VLOOKUP(K133, [1]Conceptos!A:B, 2, FALSE), "")</f>
        <v>0.010</v>
      </c>
      <c r="M133" s="12"/>
      <c r="N133" s="13"/>
      <c r="O133" s="13"/>
      <c r="P133" s="13"/>
      <c r="Q133" s="14"/>
      <c r="R133" s="14"/>
    </row>
    <row r="134" spans="1:18" x14ac:dyDescent="0.35">
      <c r="A134" s="15">
        <v>2266</v>
      </c>
      <c r="B134" s="15" t="s">
        <v>89</v>
      </c>
      <c r="C134" s="9"/>
      <c r="D134" s="9"/>
      <c r="E134" s="10"/>
      <c r="F134" s="9"/>
      <c r="G134" s="9"/>
      <c r="H134" s="10">
        <v>46173</v>
      </c>
      <c r="I134" s="9">
        <v>5</v>
      </c>
      <c r="J134" s="9"/>
      <c r="K134" s="9" t="s">
        <v>158</v>
      </c>
      <c r="L134" s="11" t="str">
        <f>IFERROR(VLOOKUP(K134, [1]Conceptos!A:B, 2, FALSE), "")</f>
        <v>0.010</v>
      </c>
      <c r="M134" s="12"/>
      <c r="N134" s="13"/>
      <c r="O134" s="13"/>
      <c r="P134" s="13"/>
      <c r="Q134" s="14"/>
      <c r="R134" s="14"/>
    </row>
    <row r="135" spans="1:18" x14ac:dyDescent="0.35">
      <c r="A135" s="15">
        <v>2269</v>
      </c>
      <c r="B135" s="15" t="s">
        <v>90</v>
      </c>
      <c r="C135" s="9"/>
      <c r="D135" s="9"/>
      <c r="E135" s="10"/>
      <c r="F135" s="9"/>
      <c r="G135" s="9"/>
      <c r="H135" s="10">
        <v>46173</v>
      </c>
      <c r="I135" s="9">
        <v>1</v>
      </c>
      <c r="J135" s="9"/>
      <c r="K135" s="9" t="s">
        <v>158</v>
      </c>
      <c r="L135" s="11" t="str">
        <f>IFERROR(VLOOKUP(K135, [1]Conceptos!A:B, 2, FALSE), "")</f>
        <v>0.010</v>
      </c>
      <c r="M135" s="12"/>
      <c r="N135" s="13"/>
      <c r="O135" s="13"/>
      <c r="P135" s="13"/>
      <c r="Q135" s="14"/>
      <c r="R135" s="14"/>
    </row>
    <row r="136" spans="1:18" x14ac:dyDescent="0.35">
      <c r="A136" s="15">
        <v>2273</v>
      </c>
      <c r="B136" s="15" t="s">
        <v>91</v>
      </c>
      <c r="C136" s="9"/>
      <c r="D136" s="9"/>
      <c r="E136" s="10"/>
      <c r="F136" s="9"/>
      <c r="G136" s="9"/>
      <c r="H136" s="10">
        <v>46173</v>
      </c>
      <c r="I136" s="9">
        <v>5</v>
      </c>
      <c r="J136" s="9"/>
      <c r="K136" s="9" t="s">
        <v>158</v>
      </c>
      <c r="L136" s="11" t="str">
        <f>IFERROR(VLOOKUP(K136, [1]Conceptos!A:B, 2, FALSE), "")</f>
        <v>0.010</v>
      </c>
      <c r="M136" s="12"/>
      <c r="N136" s="13"/>
      <c r="O136" s="13"/>
      <c r="P136" s="13"/>
      <c r="Q136" s="14"/>
      <c r="R136" s="14"/>
    </row>
    <row r="137" spans="1:18" x14ac:dyDescent="0.35">
      <c r="A137" s="15">
        <v>2274</v>
      </c>
      <c r="B137" s="15" t="s">
        <v>92</v>
      </c>
      <c r="C137" s="9"/>
      <c r="D137" s="9"/>
      <c r="E137" s="10"/>
      <c r="F137" s="9"/>
      <c r="G137" s="9"/>
      <c r="H137" s="10">
        <v>46173</v>
      </c>
      <c r="I137" s="9">
        <v>4</v>
      </c>
      <c r="J137" s="9"/>
      <c r="K137" s="9" t="s">
        <v>158</v>
      </c>
      <c r="L137" s="11" t="str">
        <f>IFERROR(VLOOKUP(K137, [1]Conceptos!A:B, 2, FALSE), "")</f>
        <v>0.010</v>
      </c>
      <c r="M137" s="12"/>
      <c r="N137" s="13"/>
      <c r="O137" s="13"/>
      <c r="P137" s="13"/>
      <c r="Q137" s="14"/>
      <c r="R137" s="14"/>
    </row>
    <row r="138" spans="1:18" x14ac:dyDescent="0.35">
      <c r="A138" s="15">
        <v>2279</v>
      </c>
      <c r="B138" s="15" t="s">
        <v>93</v>
      </c>
      <c r="C138" s="9"/>
      <c r="D138" s="9"/>
      <c r="E138" s="10"/>
      <c r="F138" s="9"/>
      <c r="G138" s="9"/>
      <c r="H138" s="10">
        <v>46173</v>
      </c>
      <c r="I138" s="9">
        <v>2</v>
      </c>
      <c r="J138" s="9"/>
      <c r="K138" s="9" t="s">
        <v>158</v>
      </c>
      <c r="L138" s="11" t="str">
        <f>IFERROR(VLOOKUP(K138, [1]Conceptos!A:B, 2, FALSE), "")</f>
        <v>0.010</v>
      </c>
      <c r="M138" s="12"/>
      <c r="N138" s="13"/>
      <c r="O138" s="13"/>
      <c r="P138" s="13"/>
      <c r="Q138" s="14"/>
      <c r="R138" s="14"/>
    </row>
    <row r="139" spans="1:18" x14ac:dyDescent="0.35">
      <c r="A139" s="15">
        <v>2281</v>
      </c>
      <c r="B139" s="15" t="s">
        <v>94</v>
      </c>
      <c r="C139" s="9"/>
      <c r="D139" s="9"/>
      <c r="E139" s="10"/>
      <c r="F139" s="9"/>
      <c r="G139" s="9"/>
      <c r="H139" s="10">
        <v>46173</v>
      </c>
      <c r="I139" s="9">
        <v>40</v>
      </c>
      <c r="J139" s="9"/>
      <c r="K139" s="9" t="s">
        <v>158</v>
      </c>
      <c r="L139" s="11" t="str">
        <f>IFERROR(VLOOKUP(K139, [1]Conceptos!A:B, 2, FALSE), "")</f>
        <v>0.010</v>
      </c>
      <c r="M139" s="12"/>
      <c r="N139" s="13"/>
      <c r="O139" s="13"/>
      <c r="P139" s="13"/>
      <c r="Q139" s="14"/>
      <c r="R139" s="14"/>
    </row>
    <row r="140" spans="1:18" x14ac:dyDescent="0.35">
      <c r="A140" s="15">
        <v>2290</v>
      </c>
      <c r="B140" s="15" t="s">
        <v>95</v>
      </c>
      <c r="C140" s="9"/>
      <c r="D140" s="9"/>
      <c r="E140" s="10"/>
      <c r="F140" s="9"/>
      <c r="G140" s="9"/>
      <c r="H140" s="10">
        <v>46173</v>
      </c>
      <c r="I140" s="9">
        <v>124</v>
      </c>
      <c r="J140" s="9"/>
      <c r="K140" s="9" t="s">
        <v>158</v>
      </c>
      <c r="L140" s="11" t="str">
        <f>IFERROR(VLOOKUP(K140, [1]Conceptos!A:B, 2, FALSE), "")</f>
        <v>0.010</v>
      </c>
      <c r="M140" s="12"/>
      <c r="N140" s="13"/>
      <c r="O140" s="13"/>
      <c r="P140" s="13"/>
      <c r="Q140" s="14"/>
      <c r="R140" s="14"/>
    </row>
    <row r="141" spans="1:18" x14ac:dyDescent="0.35">
      <c r="A141" s="15">
        <v>2304</v>
      </c>
      <c r="B141" s="15" t="s">
        <v>96</v>
      </c>
      <c r="C141" s="9"/>
      <c r="D141" s="9"/>
      <c r="E141" s="10"/>
      <c r="F141" s="9"/>
      <c r="G141" s="9"/>
      <c r="H141" s="10">
        <v>46173</v>
      </c>
      <c r="I141" s="9">
        <v>2</v>
      </c>
      <c r="J141" s="9"/>
      <c r="K141" s="9" t="s">
        <v>158</v>
      </c>
      <c r="L141" s="11" t="str">
        <f>IFERROR(VLOOKUP(K141, [1]Conceptos!A:B, 2, FALSE), "")</f>
        <v>0.010</v>
      </c>
      <c r="M141" s="12"/>
      <c r="N141" s="13"/>
      <c r="O141" s="13"/>
      <c r="P141" s="13"/>
      <c r="Q141" s="14"/>
      <c r="R141" s="14"/>
    </row>
    <row r="142" spans="1:18" x14ac:dyDescent="0.35">
      <c r="A142" s="15">
        <v>2323</v>
      </c>
      <c r="B142" s="15" t="s">
        <v>97</v>
      </c>
      <c r="C142" s="9"/>
      <c r="D142" s="9"/>
      <c r="E142" s="10"/>
      <c r="F142" s="9"/>
      <c r="G142" s="9"/>
      <c r="H142" s="10">
        <v>46173</v>
      </c>
      <c r="I142" s="9">
        <v>1</v>
      </c>
      <c r="J142" s="9"/>
      <c r="K142" s="9" t="s">
        <v>158</v>
      </c>
      <c r="L142" s="11" t="str">
        <f>IFERROR(VLOOKUP(K142, [1]Conceptos!A:B, 2, FALSE), "")</f>
        <v>0.010</v>
      </c>
      <c r="M142" s="12"/>
      <c r="N142" s="13"/>
      <c r="O142" s="13"/>
      <c r="P142" s="13"/>
      <c r="Q142" s="14"/>
      <c r="R142" s="14"/>
    </row>
    <row r="143" spans="1:18" x14ac:dyDescent="0.35">
      <c r="A143" s="15">
        <v>2328</v>
      </c>
      <c r="B143" s="15" t="s">
        <v>98</v>
      </c>
      <c r="C143" s="9"/>
      <c r="D143" s="9"/>
      <c r="E143" s="10"/>
      <c r="F143" s="9"/>
      <c r="G143" s="9"/>
      <c r="H143" s="10">
        <v>46173</v>
      </c>
      <c r="I143" s="9">
        <v>2</v>
      </c>
      <c r="J143" s="9"/>
      <c r="K143" s="9" t="s">
        <v>158</v>
      </c>
      <c r="L143" s="11" t="str">
        <f>IFERROR(VLOOKUP(K143, [1]Conceptos!A:B, 2, FALSE), "")</f>
        <v>0.010</v>
      </c>
      <c r="M143" s="12"/>
      <c r="N143" s="13"/>
      <c r="O143" s="13"/>
      <c r="P143" s="13"/>
      <c r="Q143" s="14"/>
      <c r="R143" s="14"/>
    </row>
    <row r="144" spans="1:18" x14ac:dyDescent="0.35">
      <c r="A144" s="15">
        <v>2351</v>
      </c>
      <c r="B144" s="15" t="s">
        <v>99</v>
      </c>
      <c r="C144" s="9"/>
      <c r="D144" s="9"/>
      <c r="E144" s="10"/>
      <c r="F144" s="9"/>
      <c r="G144" s="9"/>
      <c r="H144" s="10">
        <v>46173</v>
      </c>
      <c r="I144" s="9">
        <v>1</v>
      </c>
      <c r="J144" s="9"/>
      <c r="K144" s="9" t="s">
        <v>158</v>
      </c>
      <c r="L144" s="11" t="str">
        <f>IFERROR(VLOOKUP(K144, [1]Conceptos!A:B, 2, FALSE), "")</f>
        <v>0.010</v>
      </c>
      <c r="M144" s="12"/>
      <c r="N144" s="13"/>
      <c r="O144" s="13"/>
      <c r="P144" s="13"/>
      <c r="Q144" s="14"/>
      <c r="R144" s="14"/>
    </row>
    <row r="145" spans="1:18" x14ac:dyDescent="0.35">
      <c r="A145" s="15">
        <v>2356</v>
      </c>
      <c r="B145" s="15" t="s">
        <v>100</v>
      </c>
      <c r="C145" s="9"/>
      <c r="D145" s="9"/>
      <c r="E145" s="10"/>
      <c r="F145" s="9"/>
      <c r="G145" s="9"/>
      <c r="H145" s="10">
        <v>46173</v>
      </c>
      <c r="I145" s="9">
        <v>1</v>
      </c>
      <c r="J145" s="9"/>
      <c r="K145" s="9" t="s">
        <v>158</v>
      </c>
      <c r="L145" s="11" t="str">
        <f>IFERROR(VLOOKUP(K145, [1]Conceptos!A:B, 2, FALSE), "")</f>
        <v>0.010</v>
      </c>
      <c r="M145" s="12"/>
      <c r="N145" s="13"/>
      <c r="O145" s="13"/>
      <c r="P145" s="13"/>
      <c r="Q145" s="14"/>
      <c r="R145" s="14"/>
    </row>
    <row r="146" spans="1:18" x14ac:dyDescent="0.35">
      <c r="A146" s="15">
        <v>2365</v>
      </c>
      <c r="B146" s="15" t="s">
        <v>101</v>
      </c>
      <c r="C146" s="9"/>
      <c r="D146" s="9"/>
      <c r="E146" s="10"/>
      <c r="F146" s="9"/>
      <c r="G146" s="9"/>
      <c r="H146" s="10">
        <v>46173</v>
      </c>
      <c r="I146" s="9">
        <v>7</v>
      </c>
      <c r="J146" s="9"/>
      <c r="K146" s="9" t="s">
        <v>158</v>
      </c>
      <c r="L146" s="11" t="str">
        <f>IFERROR(VLOOKUP(K146, [1]Conceptos!A:B, 2, FALSE), "")</f>
        <v>0.010</v>
      </c>
      <c r="M146" s="12"/>
      <c r="N146" s="13"/>
      <c r="O146" s="13"/>
      <c r="P146" s="13"/>
      <c r="Q146" s="14"/>
      <c r="R146" s="14"/>
    </row>
    <row r="147" spans="1:18" x14ac:dyDescent="0.35">
      <c r="A147" s="15">
        <v>2375</v>
      </c>
      <c r="B147" s="15" t="s">
        <v>102</v>
      </c>
      <c r="C147" s="9"/>
      <c r="D147" s="9"/>
      <c r="E147" s="10"/>
      <c r="F147" s="9"/>
      <c r="G147" s="9"/>
      <c r="H147" s="10">
        <v>46173</v>
      </c>
      <c r="I147" s="9">
        <v>18</v>
      </c>
      <c r="J147" s="9"/>
      <c r="K147" s="9" t="s">
        <v>158</v>
      </c>
      <c r="L147" s="11" t="str">
        <f>IFERROR(VLOOKUP(K147, [1]Conceptos!A:B, 2, FALSE), "")</f>
        <v>0.010</v>
      </c>
      <c r="M147" s="12"/>
      <c r="N147" s="13"/>
      <c r="O147" s="13"/>
      <c r="P147" s="13"/>
      <c r="Q147" s="14"/>
      <c r="R147" s="14"/>
    </row>
    <row r="148" spans="1:18" x14ac:dyDescent="0.35">
      <c r="A148" s="15">
        <v>2390</v>
      </c>
      <c r="B148" s="15" t="s">
        <v>103</v>
      </c>
      <c r="C148" s="9"/>
      <c r="D148" s="9"/>
      <c r="E148" s="10"/>
      <c r="F148" s="9"/>
      <c r="G148" s="9"/>
      <c r="H148" s="10">
        <v>46173</v>
      </c>
      <c r="I148" s="9">
        <v>27</v>
      </c>
      <c r="J148" s="9"/>
      <c r="K148" s="9" t="s">
        <v>158</v>
      </c>
      <c r="L148" s="11" t="str">
        <f>IFERROR(VLOOKUP(K148, [1]Conceptos!A:B, 2, FALSE), "")</f>
        <v>0.010</v>
      </c>
      <c r="M148" s="12"/>
      <c r="N148" s="13"/>
      <c r="O148" s="13"/>
      <c r="P148" s="13"/>
      <c r="Q148" s="14"/>
      <c r="R148" s="14"/>
    </row>
    <row r="149" spans="1:18" x14ac:dyDescent="0.35">
      <c r="A149" s="15">
        <v>2393</v>
      </c>
      <c r="B149" s="15" t="s">
        <v>104</v>
      </c>
      <c r="C149" s="9"/>
      <c r="D149" s="9"/>
      <c r="E149" s="10"/>
      <c r="F149" s="9"/>
      <c r="G149" s="9"/>
      <c r="H149" s="10">
        <v>46173</v>
      </c>
      <c r="I149" s="9">
        <v>8</v>
      </c>
      <c r="J149" s="9"/>
      <c r="K149" s="9" t="s">
        <v>158</v>
      </c>
      <c r="L149" s="11" t="str">
        <f>IFERROR(VLOOKUP(K149, [1]Conceptos!A:B, 2, FALSE), "")</f>
        <v>0.010</v>
      </c>
      <c r="M149" s="12"/>
      <c r="N149" s="13"/>
      <c r="O149" s="13"/>
      <c r="P149" s="13"/>
      <c r="Q149" s="14"/>
      <c r="R149" s="14"/>
    </row>
    <row r="150" spans="1:18" x14ac:dyDescent="0.35">
      <c r="A150" s="15">
        <v>2406</v>
      </c>
      <c r="B150" s="15" t="s">
        <v>105</v>
      </c>
      <c r="C150" s="9"/>
      <c r="D150" s="9"/>
      <c r="E150" s="10"/>
      <c r="F150" s="9"/>
      <c r="G150" s="9"/>
      <c r="H150" s="10">
        <v>46173</v>
      </c>
      <c r="I150" s="9">
        <v>20</v>
      </c>
      <c r="J150" s="9"/>
      <c r="K150" s="9" t="s">
        <v>158</v>
      </c>
      <c r="L150" s="11" t="str">
        <f>IFERROR(VLOOKUP(K150, [1]Conceptos!A:B, 2, FALSE), "")</f>
        <v>0.010</v>
      </c>
      <c r="M150" s="12"/>
      <c r="N150" s="13"/>
      <c r="O150" s="13"/>
      <c r="P150" s="13"/>
      <c r="Q150" s="14"/>
      <c r="R150" s="14"/>
    </row>
    <row r="151" spans="1:18" x14ac:dyDescent="0.35">
      <c r="A151" s="15">
        <v>2417</v>
      </c>
      <c r="B151" s="15" t="s">
        <v>106</v>
      </c>
      <c r="C151" s="9"/>
      <c r="D151" s="9"/>
      <c r="E151" s="10"/>
      <c r="F151" s="9"/>
      <c r="G151" s="9"/>
      <c r="H151" s="10">
        <v>46173</v>
      </c>
      <c r="I151" s="9">
        <v>4</v>
      </c>
      <c r="J151" s="9"/>
      <c r="K151" s="9" t="s">
        <v>158</v>
      </c>
      <c r="L151" s="11" t="str">
        <f>IFERROR(VLOOKUP(K151, [1]Conceptos!A:B, 2, FALSE), "")</f>
        <v>0.010</v>
      </c>
      <c r="M151" s="12"/>
      <c r="N151" s="13"/>
      <c r="O151" s="13"/>
      <c r="P151" s="13"/>
      <c r="Q151" s="14"/>
      <c r="R151" s="14"/>
    </row>
    <row r="152" spans="1:18" x14ac:dyDescent="0.35">
      <c r="A152" s="15">
        <v>2418</v>
      </c>
      <c r="B152" s="15" t="s">
        <v>107</v>
      </c>
      <c r="C152" s="9"/>
      <c r="D152" s="9"/>
      <c r="E152" s="10"/>
      <c r="F152" s="9"/>
      <c r="G152" s="9"/>
      <c r="H152" s="10">
        <v>46173</v>
      </c>
      <c r="I152" s="9">
        <v>25</v>
      </c>
      <c r="J152" s="9"/>
      <c r="K152" s="9" t="s">
        <v>158</v>
      </c>
      <c r="L152" s="11" t="str">
        <f>IFERROR(VLOOKUP(K152, [1]Conceptos!A:B, 2, FALSE), "")</f>
        <v>0.010</v>
      </c>
      <c r="M152" s="12"/>
      <c r="N152" s="13"/>
      <c r="O152" s="13"/>
      <c r="P152" s="13"/>
      <c r="Q152" s="14"/>
      <c r="R152" s="14"/>
    </row>
    <row r="153" spans="1:18" x14ac:dyDescent="0.35">
      <c r="A153" s="15">
        <v>2421</v>
      </c>
      <c r="B153" s="15" t="s">
        <v>108</v>
      </c>
      <c r="C153" s="9"/>
      <c r="D153" s="9"/>
      <c r="E153" s="10"/>
      <c r="F153" s="9"/>
      <c r="G153" s="9"/>
      <c r="H153" s="10">
        <v>46173</v>
      </c>
      <c r="I153" s="9">
        <v>10</v>
      </c>
      <c r="J153" s="9"/>
      <c r="K153" s="9" t="s">
        <v>158</v>
      </c>
      <c r="L153" s="11" t="str">
        <f>IFERROR(VLOOKUP(K153, [1]Conceptos!A:B, 2, FALSE), "")</f>
        <v>0.010</v>
      </c>
      <c r="M153" s="12"/>
      <c r="N153" s="13"/>
      <c r="O153" s="13"/>
      <c r="P153" s="13"/>
      <c r="Q153" s="14"/>
      <c r="R153" s="14"/>
    </row>
    <row r="154" spans="1:18" x14ac:dyDescent="0.35">
      <c r="A154" s="15">
        <v>2423</v>
      </c>
      <c r="B154" s="15" t="s">
        <v>109</v>
      </c>
      <c r="C154" s="9"/>
      <c r="D154" s="9"/>
      <c r="E154" s="10"/>
      <c r="F154" s="9"/>
      <c r="G154" s="9"/>
      <c r="H154" s="10">
        <v>46173</v>
      </c>
      <c r="I154" s="9">
        <v>1</v>
      </c>
      <c r="J154" s="9"/>
      <c r="K154" s="9" t="s">
        <v>158</v>
      </c>
      <c r="L154" s="11" t="str">
        <f>IFERROR(VLOOKUP(K154, [1]Conceptos!A:B, 2, FALSE), "")</f>
        <v>0.010</v>
      </c>
      <c r="M154" s="12"/>
      <c r="N154" s="13"/>
      <c r="O154" s="13"/>
      <c r="P154" s="13"/>
      <c r="Q154" s="14"/>
      <c r="R154" s="14"/>
    </row>
    <row r="155" spans="1:18" x14ac:dyDescent="0.35">
      <c r="A155" s="15">
        <v>2427</v>
      </c>
      <c r="B155" s="15" t="s">
        <v>110</v>
      </c>
      <c r="C155" s="9"/>
      <c r="D155" s="9"/>
      <c r="E155" s="10"/>
      <c r="F155" s="9"/>
      <c r="G155" s="9"/>
      <c r="H155" s="10">
        <v>46173</v>
      </c>
      <c r="I155" s="9">
        <v>2</v>
      </c>
      <c r="J155" s="9"/>
      <c r="K155" s="9" t="s">
        <v>158</v>
      </c>
      <c r="L155" s="11" t="str">
        <f>IFERROR(VLOOKUP(K155, [1]Conceptos!A:B, 2, FALSE), "")</f>
        <v>0.010</v>
      </c>
      <c r="M155" s="12"/>
      <c r="N155" s="13"/>
      <c r="O155" s="13"/>
      <c r="P155" s="13"/>
      <c r="Q155" s="14"/>
      <c r="R155" s="14"/>
    </row>
    <row r="156" spans="1:18" x14ac:dyDescent="0.35">
      <c r="A156" s="15">
        <v>2433</v>
      </c>
      <c r="B156" s="15" t="s">
        <v>111</v>
      </c>
      <c r="C156" s="9"/>
      <c r="D156" s="9"/>
      <c r="E156" s="10"/>
      <c r="F156" s="9"/>
      <c r="G156" s="9"/>
      <c r="H156" s="10">
        <v>46173</v>
      </c>
      <c r="I156" s="9">
        <v>15</v>
      </c>
      <c r="J156" s="9"/>
      <c r="K156" s="9" t="s">
        <v>158</v>
      </c>
      <c r="L156" s="11" t="str">
        <f>IFERROR(VLOOKUP(K156, [1]Conceptos!A:B, 2, FALSE), "")</f>
        <v>0.010</v>
      </c>
      <c r="M156" s="12"/>
      <c r="N156" s="13"/>
      <c r="O156" s="13"/>
      <c r="P156" s="13"/>
      <c r="Q156" s="14"/>
      <c r="R156" s="14"/>
    </row>
    <row r="157" spans="1:18" x14ac:dyDescent="0.35">
      <c r="A157" s="15">
        <v>2437</v>
      </c>
      <c r="B157" s="15" t="s">
        <v>112</v>
      </c>
      <c r="C157" s="9"/>
      <c r="D157" s="9"/>
      <c r="E157" s="10"/>
      <c r="F157" s="9"/>
      <c r="G157" s="9"/>
      <c r="H157" s="10">
        <v>46173</v>
      </c>
      <c r="I157" s="9">
        <v>2</v>
      </c>
      <c r="J157" s="9"/>
      <c r="K157" s="9" t="s">
        <v>158</v>
      </c>
      <c r="L157" s="11" t="str">
        <f>IFERROR(VLOOKUP(K157, [1]Conceptos!A:B, 2, FALSE), "")</f>
        <v>0.010</v>
      </c>
      <c r="M157" s="12"/>
      <c r="N157" s="13"/>
      <c r="O157" s="13"/>
      <c r="P157" s="13"/>
      <c r="Q157" s="14"/>
      <c r="R157" s="14"/>
    </row>
    <row r="158" spans="1:18" x14ac:dyDescent="0.35">
      <c r="A158" s="15">
        <v>2442</v>
      </c>
      <c r="B158" s="15" t="s">
        <v>113</v>
      </c>
      <c r="C158" s="9"/>
      <c r="D158" s="9"/>
      <c r="E158" s="10"/>
      <c r="F158" s="9"/>
      <c r="G158" s="9"/>
      <c r="H158" s="10">
        <v>46173</v>
      </c>
      <c r="I158" s="9">
        <v>2</v>
      </c>
      <c r="J158" s="9"/>
      <c r="K158" s="9" t="s">
        <v>158</v>
      </c>
      <c r="L158" s="11" t="str">
        <f>IFERROR(VLOOKUP(K158, [1]Conceptos!A:B, 2, FALSE), "")</f>
        <v>0.010</v>
      </c>
      <c r="M158" s="12"/>
      <c r="N158" s="13"/>
      <c r="O158" s="13"/>
      <c r="P158" s="13"/>
      <c r="Q158" s="14"/>
      <c r="R158" s="14"/>
    </row>
    <row r="159" spans="1:18" x14ac:dyDescent="0.35">
      <c r="A159" s="15">
        <v>2449</v>
      </c>
      <c r="B159" s="15" t="s">
        <v>114</v>
      </c>
      <c r="C159" s="9"/>
      <c r="D159" s="9"/>
      <c r="E159" s="10"/>
      <c r="F159" s="9"/>
      <c r="G159" s="9"/>
      <c r="H159" s="10">
        <v>46173</v>
      </c>
      <c r="I159" s="9">
        <v>5</v>
      </c>
      <c r="J159" s="9"/>
      <c r="K159" s="9" t="s">
        <v>158</v>
      </c>
      <c r="L159" s="11" t="str">
        <f>IFERROR(VLOOKUP(K159, [1]Conceptos!A:B, 2, FALSE), "")</f>
        <v>0.010</v>
      </c>
      <c r="M159" s="12"/>
      <c r="N159" s="13"/>
      <c r="O159" s="13"/>
      <c r="P159" s="13"/>
      <c r="Q159" s="14"/>
      <c r="R159" s="14"/>
    </row>
    <row r="160" spans="1:18" x14ac:dyDescent="0.35">
      <c r="A160" s="15">
        <v>2457</v>
      </c>
      <c r="B160" s="15" t="s">
        <v>115</v>
      </c>
      <c r="C160" s="9"/>
      <c r="D160" s="9"/>
      <c r="E160" s="10"/>
      <c r="F160" s="9"/>
      <c r="G160" s="9"/>
      <c r="H160" s="10">
        <v>46173</v>
      </c>
      <c r="I160" s="9">
        <v>1</v>
      </c>
      <c r="J160" s="9"/>
      <c r="K160" s="9" t="s">
        <v>158</v>
      </c>
      <c r="L160" s="11" t="str">
        <f>IFERROR(VLOOKUP(K160, [1]Conceptos!A:B, 2, FALSE), "")</f>
        <v>0.010</v>
      </c>
      <c r="M160" s="12"/>
      <c r="N160" s="13"/>
      <c r="O160" s="13"/>
      <c r="P160" s="13"/>
      <c r="Q160" s="14"/>
      <c r="R160" s="14"/>
    </row>
    <row r="161" spans="1:18" x14ac:dyDescent="0.35">
      <c r="A161" s="15">
        <v>2458</v>
      </c>
      <c r="B161" s="15" t="s">
        <v>116</v>
      </c>
      <c r="C161" s="9"/>
      <c r="D161" s="9"/>
      <c r="E161" s="10"/>
      <c r="F161" s="9"/>
      <c r="G161" s="9"/>
      <c r="H161" s="10">
        <v>46173</v>
      </c>
      <c r="I161" s="9">
        <v>2</v>
      </c>
      <c r="J161" s="9"/>
      <c r="K161" s="9" t="s">
        <v>158</v>
      </c>
      <c r="L161" s="11" t="str">
        <f>IFERROR(VLOOKUP(K161, [1]Conceptos!A:B, 2, FALSE), "")</f>
        <v>0.010</v>
      </c>
      <c r="M161" s="12"/>
      <c r="N161" s="13"/>
      <c r="O161" s="13"/>
      <c r="P161" s="13"/>
      <c r="Q161" s="14"/>
      <c r="R161" s="14"/>
    </row>
    <row r="162" spans="1:18" x14ac:dyDescent="0.35">
      <c r="A162" s="15">
        <v>2468</v>
      </c>
      <c r="B162" s="15" t="s">
        <v>117</v>
      </c>
      <c r="C162" s="9"/>
      <c r="D162" s="9"/>
      <c r="E162" s="10"/>
      <c r="F162" s="9"/>
      <c r="G162" s="9"/>
      <c r="H162" s="10">
        <v>46173</v>
      </c>
      <c r="I162" s="9">
        <v>3</v>
      </c>
      <c r="J162" s="9"/>
      <c r="K162" s="9" t="s">
        <v>158</v>
      </c>
      <c r="L162" s="11" t="str">
        <f>IFERROR(VLOOKUP(K162, [1]Conceptos!A:B, 2, FALSE), "")</f>
        <v>0.010</v>
      </c>
      <c r="M162" s="12"/>
      <c r="N162" s="13"/>
      <c r="O162" s="13"/>
      <c r="P162" s="13"/>
      <c r="Q162" s="14"/>
      <c r="R162" s="14"/>
    </row>
    <row r="163" spans="1:18" x14ac:dyDescent="0.35">
      <c r="A163" s="15">
        <v>2475</v>
      </c>
      <c r="B163" s="15" t="s">
        <v>118</v>
      </c>
      <c r="C163" s="9"/>
      <c r="D163" s="9"/>
      <c r="E163" s="10"/>
      <c r="F163" s="9"/>
      <c r="G163" s="9"/>
      <c r="H163" s="10">
        <v>46173</v>
      </c>
      <c r="I163" s="9">
        <v>3</v>
      </c>
      <c r="J163" s="9"/>
      <c r="K163" s="9" t="s">
        <v>158</v>
      </c>
      <c r="L163" s="11" t="str">
        <f>IFERROR(VLOOKUP(K163, [1]Conceptos!A:B, 2, FALSE), "")</f>
        <v>0.010</v>
      </c>
      <c r="M163" s="12"/>
      <c r="N163" s="13"/>
      <c r="O163" s="13"/>
      <c r="P163" s="13"/>
      <c r="Q163" s="14"/>
      <c r="R163" s="14"/>
    </row>
    <row r="164" spans="1:18" x14ac:dyDescent="0.35">
      <c r="A164" s="15">
        <v>2477</v>
      </c>
      <c r="B164" s="15" t="s">
        <v>119</v>
      </c>
      <c r="C164" s="9"/>
      <c r="D164" s="9"/>
      <c r="E164" s="10"/>
      <c r="F164" s="9"/>
      <c r="G164" s="9"/>
      <c r="H164" s="10">
        <v>46173</v>
      </c>
      <c r="I164" s="9">
        <v>46</v>
      </c>
      <c r="J164" s="9"/>
      <c r="K164" s="9" t="s">
        <v>158</v>
      </c>
      <c r="L164" s="11" t="str">
        <f>IFERROR(VLOOKUP(K164, [1]Conceptos!A:B, 2, FALSE), "")</f>
        <v>0.010</v>
      </c>
      <c r="M164" s="12"/>
      <c r="N164" s="13"/>
      <c r="O164" s="13"/>
      <c r="P164" s="13"/>
      <c r="Q164" s="14"/>
      <c r="R164" s="14"/>
    </row>
    <row r="165" spans="1:18" x14ac:dyDescent="0.35">
      <c r="A165" s="15">
        <v>2478</v>
      </c>
      <c r="B165" s="15" t="s">
        <v>120</v>
      </c>
      <c r="C165" s="9"/>
      <c r="D165" s="9"/>
      <c r="E165" s="10"/>
      <c r="F165" s="9"/>
      <c r="G165" s="9"/>
      <c r="H165" s="10">
        <v>46173</v>
      </c>
      <c r="I165" s="9">
        <v>10</v>
      </c>
      <c r="J165" s="9"/>
      <c r="K165" s="9" t="s">
        <v>158</v>
      </c>
      <c r="L165" s="11" t="str">
        <f>IFERROR(VLOOKUP(K165, [1]Conceptos!A:B, 2, FALSE), "")</f>
        <v>0.010</v>
      </c>
      <c r="M165" s="12"/>
      <c r="N165" s="13"/>
      <c r="O165" s="13"/>
      <c r="P165" s="13"/>
      <c r="Q165" s="14"/>
      <c r="R165" s="14"/>
    </row>
    <row r="166" spans="1:18" x14ac:dyDescent="0.35">
      <c r="A166" s="15">
        <v>2481</v>
      </c>
      <c r="B166" s="15" t="s">
        <v>121</v>
      </c>
      <c r="C166" s="9"/>
      <c r="D166" s="9"/>
      <c r="E166" s="10"/>
      <c r="F166" s="9"/>
      <c r="G166" s="9"/>
      <c r="H166" s="10">
        <v>46173</v>
      </c>
      <c r="I166" s="9">
        <v>6</v>
      </c>
      <c r="J166" s="9"/>
      <c r="K166" s="9" t="s">
        <v>158</v>
      </c>
      <c r="L166" s="11" t="str">
        <f>IFERROR(VLOOKUP(K166, [1]Conceptos!A:B, 2, FALSE), "")</f>
        <v>0.010</v>
      </c>
      <c r="M166" s="12"/>
      <c r="N166" s="13"/>
      <c r="O166" s="13"/>
      <c r="P166" s="13"/>
      <c r="Q166" s="14"/>
      <c r="R166" s="14"/>
    </row>
    <row r="167" spans="1:18" x14ac:dyDescent="0.35">
      <c r="A167" s="15">
        <v>2499</v>
      </c>
      <c r="B167" s="15" t="s">
        <v>122</v>
      </c>
      <c r="C167" s="9"/>
      <c r="D167" s="9"/>
      <c r="E167" s="10"/>
      <c r="F167" s="9"/>
      <c r="G167" s="9"/>
      <c r="H167" s="10">
        <v>46173</v>
      </c>
      <c r="I167" s="9">
        <v>8</v>
      </c>
      <c r="J167" s="9"/>
      <c r="K167" s="9" t="s">
        <v>158</v>
      </c>
      <c r="L167" s="11" t="str">
        <f>IFERROR(VLOOKUP(K167, [1]Conceptos!A:B, 2, FALSE), "")</f>
        <v>0.010</v>
      </c>
      <c r="M167" s="12"/>
      <c r="N167" s="13"/>
      <c r="O167" s="13"/>
      <c r="P167" s="13"/>
      <c r="Q167" s="14"/>
      <c r="R167" s="14"/>
    </row>
    <row r="168" spans="1:18" x14ac:dyDescent="0.35">
      <c r="A168" s="15">
        <v>2500</v>
      </c>
      <c r="B168" s="15" t="s">
        <v>123</v>
      </c>
      <c r="C168" s="9"/>
      <c r="D168" s="9"/>
      <c r="E168" s="10"/>
      <c r="F168" s="9"/>
      <c r="G168" s="9"/>
      <c r="H168" s="10">
        <v>46173</v>
      </c>
      <c r="I168" s="9">
        <v>4</v>
      </c>
      <c r="J168" s="9"/>
      <c r="K168" s="9" t="s">
        <v>158</v>
      </c>
      <c r="L168" s="11" t="str">
        <f>IFERROR(VLOOKUP(K168, [1]Conceptos!A:B, 2, FALSE), "")</f>
        <v>0.010</v>
      </c>
      <c r="M168" s="12"/>
      <c r="N168" s="13"/>
      <c r="O168" s="13"/>
      <c r="P168" s="13"/>
      <c r="Q168" s="14"/>
      <c r="R168" s="14"/>
    </row>
    <row r="169" spans="1:18" x14ac:dyDescent="0.35">
      <c r="A169" s="15">
        <v>2503</v>
      </c>
      <c r="B169" s="15" t="s">
        <v>124</v>
      </c>
      <c r="C169" s="9"/>
      <c r="D169" s="9"/>
      <c r="E169" s="10"/>
      <c r="F169" s="9"/>
      <c r="G169" s="9"/>
      <c r="H169" s="10">
        <v>46173</v>
      </c>
      <c r="I169" s="9">
        <v>3</v>
      </c>
      <c r="J169" s="9"/>
      <c r="K169" s="9" t="s">
        <v>158</v>
      </c>
      <c r="L169" s="11" t="str">
        <f>IFERROR(VLOOKUP(K169, [1]Conceptos!A:B, 2, FALSE), "")</f>
        <v>0.010</v>
      </c>
      <c r="M169" s="12"/>
      <c r="N169" s="13"/>
      <c r="O169" s="13"/>
      <c r="P169" s="13"/>
      <c r="Q169" s="14"/>
      <c r="R169" s="14"/>
    </row>
    <row r="170" spans="1:18" x14ac:dyDescent="0.35">
      <c r="A170" s="15">
        <v>2516</v>
      </c>
      <c r="B170" s="15" t="s">
        <v>125</v>
      </c>
      <c r="C170" s="9"/>
      <c r="D170" s="9"/>
      <c r="E170" s="10"/>
      <c r="F170" s="9"/>
      <c r="G170" s="9"/>
      <c r="H170" s="10">
        <v>46173</v>
      </c>
      <c r="I170" s="9">
        <v>1</v>
      </c>
      <c r="J170" s="9"/>
      <c r="K170" s="9" t="s">
        <v>158</v>
      </c>
      <c r="L170" s="11" t="str">
        <f>IFERROR(VLOOKUP(K170, [1]Conceptos!A:B, 2, FALSE), "")</f>
        <v>0.010</v>
      </c>
      <c r="M170" s="12"/>
      <c r="N170" s="13"/>
      <c r="O170" s="13"/>
      <c r="P170" s="13"/>
      <c r="Q170" s="14"/>
      <c r="R170" s="14"/>
    </row>
    <row r="171" spans="1:18" x14ac:dyDescent="0.35">
      <c r="A171" s="15">
        <v>2519</v>
      </c>
      <c r="B171" s="15" t="s">
        <v>126</v>
      </c>
      <c r="C171" s="9"/>
      <c r="D171" s="9"/>
      <c r="E171" s="10"/>
      <c r="F171" s="9"/>
      <c r="G171" s="9"/>
      <c r="H171" s="10">
        <v>46173</v>
      </c>
      <c r="I171" s="9">
        <v>1</v>
      </c>
      <c r="J171" s="9"/>
      <c r="K171" s="9" t="s">
        <v>158</v>
      </c>
      <c r="L171" s="11" t="str">
        <f>IFERROR(VLOOKUP(K171, [1]Conceptos!A:B, 2, FALSE), "")</f>
        <v>0.010</v>
      </c>
      <c r="M171" s="12"/>
      <c r="N171" s="13"/>
      <c r="O171" s="13"/>
      <c r="P171" s="13"/>
      <c r="Q171" s="14"/>
      <c r="R171" s="14"/>
    </row>
    <row r="172" spans="1:18" x14ac:dyDescent="0.35">
      <c r="A172" s="15">
        <v>2523</v>
      </c>
      <c r="B172" s="15" t="s">
        <v>23</v>
      </c>
      <c r="C172" s="9"/>
      <c r="D172" s="9"/>
      <c r="E172" s="10"/>
      <c r="F172" s="9"/>
      <c r="G172" s="9"/>
      <c r="H172" s="10">
        <v>46173</v>
      </c>
      <c r="I172" s="9">
        <v>3</v>
      </c>
      <c r="J172" s="9"/>
      <c r="K172" s="9" t="s">
        <v>158</v>
      </c>
      <c r="L172" s="11" t="str">
        <f>IFERROR(VLOOKUP(K172, [1]Conceptos!A:B, 2, FALSE), "")</f>
        <v>0.010</v>
      </c>
      <c r="M172" s="12"/>
      <c r="N172" s="13"/>
      <c r="O172" s="13"/>
      <c r="P172" s="13"/>
      <c r="Q172" s="14"/>
      <c r="R172" s="14"/>
    </row>
    <row r="173" spans="1:18" x14ac:dyDescent="0.35">
      <c r="A173" s="15">
        <v>2530</v>
      </c>
      <c r="B173" s="15" t="s">
        <v>127</v>
      </c>
      <c r="C173" s="9"/>
      <c r="D173" s="9"/>
      <c r="E173" s="10"/>
      <c r="F173" s="9"/>
      <c r="G173" s="9"/>
      <c r="H173" s="10">
        <v>46173</v>
      </c>
      <c r="I173" s="9">
        <v>11</v>
      </c>
      <c r="J173" s="9"/>
      <c r="K173" s="9" t="s">
        <v>158</v>
      </c>
      <c r="L173" s="11" t="str">
        <f>IFERROR(VLOOKUP(K173, [1]Conceptos!A:B, 2, FALSE), "")</f>
        <v>0.010</v>
      </c>
      <c r="M173" s="12"/>
      <c r="N173" s="13"/>
      <c r="O173" s="13"/>
      <c r="P173" s="13"/>
      <c r="Q173" s="14"/>
      <c r="R173" s="14"/>
    </row>
    <row r="174" spans="1:18" x14ac:dyDescent="0.35">
      <c r="A174" s="15">
        <v>2533</v>
      </c>
      <c r="B174" s="15" t="s">
        <v>128</v>
      </c>
      <c r="C174" s="9"/>
      <c r="D174" s="9"/>
      <c r="E174" s="10"/>
      <c r="F174" s="9"/>
      <c r="G174" s="9"/>
      <c r="H174" s="10">
        <v>46173</v>
      </c>
      <c r="I174" s="9">
        <v>5</v>
      </c>
      <c r="J174" s="9"/>
      <c r="K174" s="9" t="s">
        <v>158</v>
      </c>
      <c r="L174" s="11" t="str">
        <f>IFERROR(VLOOKUP(K174, [1]Conceptos!A:B, 2, FALSE), "")</f>
        <v>0.010</v>
      </c>
      <c r="M174" s="12"/>
      <c r="N174" s="13"/>
      <c r="O174" s="13"/>
      <c r="P174" s="13"/>
      <c r="Q174" s="14"/>
      <c r="R174" s="14"/>
    </row>
    <row r="175" spans="1:18" x14ac:dyDescent="0.35">
      <c r="A175" s="15">
        <v>2534</v>
      </c>
      <c r="B175" s="15" t="s">
        <v>129</v>
      </c>
      <c r="C175" s="9"/>
      <c r="D175" s="9"/>
      <c r="E175" s="10"/>
      <c r="F175" s="9"/>
      <c r="G175" s="9"/>
      <c r="H175" s="10">
        <v>46173</v>
      </c>
      <c r="I175" s="9">
        <v>6</v>
      </c>
      <c r="J175" s="9"/>
      <c r="K175" s="9" t="s">
        <v>158</v>
      </c>
      <c r="L175" s="11" t="str">
        <f>IFERROR(VLOOKUP(K175, [1]Conceptos!A:B, 2, FALSE), "")</f>
        <v>0.010</v>
      </c>
      <c r="M175" s="12"/>
      <c r="N175" s="13"/>
      <c r="O175" s="13"/>
      <c r="P175" s="13"/>
      <c r="Q175" s="14"/>
      <c r="R175" s="14"/>
    </row>
    <row r="176" spans="1:18" x14ac:dyDescent="0.35">
      <c r="A176" s="15">
        <v>2536</v>
      </c>
      <c r="B176" s="15" t="s">
        <v>130</v>
      </c>
      <c r="C176" s="9"/>
      <c r="D176" s="9"/>
      <c r="E176" s="10"/>
      <c r="F176" s="9"/>
      <c r="G176" s="9"/>
      <c r="H176" s="10">
        <v>46173</v>
      </c>
      <c r="I176" s="9">
        <v>5</v>
      </c>
      <c r="J176" s="9"/>
      <c r="K176" s="9" t="s">
        <v>158</v>
      </c>
      <c r="L176" s="11" t="str">
        <f>IFERROR(VLOOKUP(K176, [1]Conceptos!A:B, 2, FALSE), "")</f>
        <v>0.010</v>
      </c>
      <c r="M176" s="12"/>
      <c r="N176" s="13"/>
      <c r="O176" s="13"/>
      <c r="P176" s="13"/>
      <c r="Q176" s="14"/>
      <c r="R176" s="14"/>
    </row>
    <row r="177" spans="1:18" x14ac:dyDescent="0.35">
      <c r="A177" s="15">
        <v>2537</v>
      </c>
      <c r="B177" s="15" t="s">
        <v>131</v>
      </c>
      <c r="C177" s="9"/>
      <c r="D177" s="9"/>
      <c r="E177" s="10"/>
      <c r="F177" s="9"/>
      <c r="G177" s="9"/>
      <c r="H177" s="10">
        <v>46173</v>
      </c>
      <c r="I177" s="9">
        <v>5</v>
      </c>
      <c r="J177" s="9"/>
      <c r="K177" s="9" t="s">
        <v>158</v>
      </c>
      <c r="L177" s="11" t="str">
        <f>IFERROR(VLOOKUP(K177, [1]Conceptos!A:B, 2, FALSE), "")</f>
        <v>0.010</v>
      </c>
      <c r="M177" s="12"/>
      <c r="N177" s="13"/>
      <c r="O177" s="13"/>
      <c r="P177" s="13"/>
      <c r="Q177" s="14"/>
      <c r="R177" s="14"/>
    </row>
    <row r="178" spans="1:18" x14ac:dyDescent="0.35">
      <c r="A178" s="15">
        <v>2541</v>
      </c>
      <c r="B178" s="15" t="s">
        <v>132</v>
      </c>
      <c r="C178" s="9"/>
      <c r="D178" s="9"/>
      <c r="E178" s="10"/>
      <c r="F178" s="9"/>
      <c r="G178" s="9"/>
      <c r="H178" s="10">
        <v>46173</v>
      </c>
      <c r="I178" s="9">
        <v>3</v>
      </c>
      <c r="J178" s="9"/>
      <c r="K178" s="9" t="s">
        <v>158</v>
      </c>
      <c r="L178" s="11" t="str">
        <f>IFERROR(VLOOKUP(K178, [1]Conceptos!A:B, 2, FALSE), "")</f>
        <v>0.010</v>
      </c>
      <c r="M178" s="12"/>
      <c r="N178" s="13"/>
      <c r="O178" s="13"/>
      <c r="P178" s="13"/>
      <c r="Q178" s="14"/>
      <c r="R178" s="14"/>
    </row>
    <row r="179" spans="1:18" x14ac:dyDescent="0.35">
      <c r="A179" s="15">
        <v>2544</v>
      </c>
      <c r="B179" s="15" t="s">
        <v>133</v>
      </c>
      <c r="C179" s="9"/>
      <c r="D179" s="9"/>
      <c r="E179" s="10"/>
      <c r="F179" s="9"/>
      <c r="G179" s="9"/>
      <c r="H179" s="10">
        <v>46173</v>
      </c>
      <c r="I179" s="9">
        <v>16</v>
      </c>
      <c r="J179" s="9"/>
      <c r="K179" s="9" t="s">
        <v>158</v>
      </c>
      <c r="L179" s="11" t="str">
        <f>IFERROR(VLOOKUP(K179, [1]Conceptos!A:B, 2, FALSE), "")</f>
        <v>0.010</v>
      </c>
      <c r="M179" s="12"/>
      <c r="N179" s="13"/>
      <c r="O179" s="13"/>
      <c r="P179" s="13"/>
      <c r="Q179" s="14"/>
      <c r="R179" s="14"/>
    </row>
    <row r="180" spans="1:18" x14ac:dyDescent="0.35">
      <c r="A180" s="15">
        <v>2545</v>
      </c>
      <c r="B180" s="15" t="s">
        <v>134</v>
      </c>
      <c r="C180" s="9"/>
      <c r="D180" s="9"/>
      <c r="E180" s="10"/>
      <c r="F180" s="9"/>
      <c r="G180" s="9"/>
      <c r="H180" s="10">
        <v>46173</v>
      </c>
      <c r="I180" s="9">
        <v>8</v>
      </c>
      <c r="J180" s="9"/>
      <c r="K180" s="9" t="s">
        <v>158</v>
      </c>
      <c r="L180" s="11" t="str">
        <f>IFERROR(VLOOKUP(K180, [1]Conceptos!A:B, 2, FALSE), "")</f>
        <v>0.010</v>
      </c>
      <c r="M180" s="12"/>
      <c r="N180" s="13"/>
      <c r="O180" s="13"/>
      <c r="P180" s="13"/>
      <c r="Q180" s="14"/>
      <c r="R180" s="14"/>
    </row>
    <row r="181" spans="1:18" x14ac:dyDescent="0.35">
      <c r="A181" s="15">
        <v>2557</v>
      </c>
      <c r="B181" s="15" t="s">
        <v>135</v>
      </c>
      <c r="C181" s="9"/>
      <c r="D181" s="9"/>
      <c r="E181" s="10"/>
      <c r="F181" s="9"/>
      <c r="G181" s="9"/>
      <c r="H181" s="10">
        <v>46173</v>
      </c>
      <c r="I181" s="9">
        <v>5</v>
      </c>
      <c r="J181" s="9"/>
      <c r="K181" s="9" t="s">
        <v>158</v>
      </c>
      <c r="L181" s="11" t="str">
        <f>IFERROR(VLOOKUP(K181, [1]Conceptos!A:B, 2, FALSE), "")</f>
        <v>0.010</v>
      </c>
      <c r="M181" s="12"/>
      <c r="N181" s="13"/>
      <c r="O181" s="13"/>
      <c r="P181" s="13"/>
      <c r="Q181" s="14"/>
      <c r="R181" s="14"/>
    </row>
    <row r="182" spans="1:18" x14ac:dyDescent="0.35">
      <c r="A182" s="15">
        <v>2558</v>
      </c>
      <c r="B182" s="15" t="s">
        <v>136</v>
      </c>
      <c r="C182" s="9"/>
      <c r="D182" s="9"/>
      <c r="E182" s="10"/>
      <c r="F182" s="9"/>
      <c r="G182" s="9"/>
      <c r="H182" s="10">
        <v>46173</v>
      </c>
      <c r="I182" s="9">
        <v>25</v>
      </c>
      <c r="J182" s="9"/>
      <c r="K182" s="9" t="s">
        <v>158</v>
      </c>
      <c r="L182" s="11" t="str">
        <f>IFERROR(VLOOKUP(K182, [1]Conceptos!A:B, 2, FALSE), "")</f>
        <v>0.010</v>
      </c>
      <c r="M182" s="12"/>
      <c r="N182" s="13"/>
      <c r="O182" s="13"/>
      <c r="P182" s="13"/>
      <c r="Q182" s="14"/>
      <c r="R182" s="14"/>
    </row>
    <row r="183" spans="1:18" x14ac:dyDescent="0.35">
      <c r="A183" s="15">
        <v>2560</v>
      </c>
      <c r="B183" s="15" t="s">
        <v>137</v>
      </c>
      <c r="C183" s="9"/>
      <c r="D183" s="9"/>
      <c r="E183" s="10"/>
      <c r="F183" s="9"/>
      <c r="G183" s="9"/>
      <c r="H183" s="10">
        <v>46173</v>
      </c>
      <c r="I183" s="9">
        <v>5</v>
      </c>
      <c r="J183" s="9"/>
      <c r="K183" s="9" t="s">
        <v>158</v>
      </c>
      <c r="L183" s="11" t="str">
        <f>IFERROR(VLOOKUP(K183, [1]Conceptos!A:B, 2, FALSE), "")</f>
        <v>0.010</v>
      </c>
      <c r="M183" s="12"/>
      <c r="N183" s="13"/>
      <c r="O183" s="13"/>
      <c r="P183" s="13"/>
      <c r="Q183" s="14"/>
      <c r="R183" s="14"/>
    </row>
    <row r="184" spans="1:18" x14ac:dyDescent="0.35">
      <c r="A184" s="15">
        <v>2561</v>
      </c>
      <c r="B184" s="15" t="s">
        <v>138</v>
      </c>
      <c r="C184" s="9"/>
      <c r="D184" s="9"/>
      <c r="E184" s="10"/>
      <c r="F184" s="9"/>
      <c r="G184" s="9"/>
      <c r="H184" s="10">
        <v>46173</v>
      </c>
      <c r="I184" s="9">
        <v>20</v>
      </c>
      <c r="J184" s="9"/>
      <c r="K184" s="9" t="s">
        <v>158</v>
      </c>
      <c r="L184" s="11" t="str">
        <f>IFERROR(VLOOKUP(K184, [1]Conceptos!A:B, 2, FALSE), "")</f>
        <v>0.010</v>
      </c>
      <c r="M184" s="12"/>
      <c r="N184" s="13"/>
      <c r="O184" s="13"/>
      <c r="P184" s="13"/>
      <c r="Q184" s="14"/>
      <c r="R184" s="14"/>
    </row>
    <row r="185" spans="1:18" x14ac:dyDescent="0.35">
      <c r="A185" s="15">
        <v>2562</v>
      </c>
      <c r="B185" s="15" t="s">
        <v>139</v>
      </c>
      <c r="C185" s="9"/>
      <c r="D185" s="9"/>
      <c r="E185" s="10"/>
      <c r="F185" s="9"/>
      <c r="G185" s="9"/>
      <c r="H185" s="10">
        <v>46173</v>
      </c>
      <c r="I185" s="9">
        <v>14</v>
      </c>
      <c r="J185" s="9"/>
      <c r="K185" s="9" t="s">
        <v>158</v>
      </c>
      <c r="L185" s="11" t="str">
        <f>IFERROR(VLOOKUP(K185, [1]Conceptos!A:B, 2, FALSE), "")</f>
        <v>0.010</v>
      </c>
      <c r="M185" s="12"/>
      <c r="N185" s="13"/>
      <c r="O185" s="13"/>
      <c r="P185" s="13"/>
      <c r="Q185" s="14"/>
      <c r="R185" s="14"/>
    </row>
    <row r="186" spans="1:18" x14ac:dyDescent="0.35">
      <c r="A186" s="15">
        <v>2563</v>
      </c>
      <c r="B186" s="15" t="s">
        <v>140</v>
      </c>
      <c r="C186" s="9"/>
      <c r="D186" s="9"/>
      <c r="E186" s="10"/>
      <c r="F186" s="9"/>
      <c r="G186" s="9"/>
      <c r="H186" s="10">
        <v>46173</v>
      </c>
      <c r="I186" s="9">
        <v>7</v>
      </c>
      <c r="J186" s="9"/>
      <c r="K186" s="9" t="s">
        <v>158</v>
      </c>
      <c r="L186" s="11" t="str">
        <f>IFERROR(VLOOKUP(K186, [1]Conceptos!A:B, 2, FALSE), "")</f>
        <v>0.010</v>
      </c>
      <c r="M186" s="12"/>
      <c r="N186" s="13"/>
      <c r="O186" s="13"/>
      <c r="P186" s="13"/>
      <c r="Q186" s="14"/>
      <c r="R186" s="14"/>
    </row>
    <row r="187" spans="1:18" x14ac:dyDescent="0.35">
      <c r="A187" s="15">
        <v>2564</v>
      </c>
      <c r="B187" s="15" t="s">
        <v>141</v>
      </c>
      <c r="C187" s="9"/>
      <c r="D187" s="9"/>
      <c r="E187" s="10"/>
      <c r="F187" s="9"/>
      <c r="G187" s="9"/>
      <c r="H187" s="10">
        <v>46173</v>
      </c>
      <c r="I187" s="9">
        <v>3</v>
      </c>
      <c r="J187" s="9"/>
      <c r="K187" s="9" t="s">
        <v>158</v>
      </c>
      <c r="L187" s="11" t="str">
        <f>IFERROR(VLOOKUP(K187, [1]Conceptos!A:B, 2, FALSE), "")</f>
        <v>0.010</v>
      </c>
      <c r="M187" s="12"/>
      <c r="N187" s="13"/>
      <c r="O187" s="13"/>
      <c r="P187" s="13"/>
      <c r="Q187" s="14"/>
      <c r="R187" s="14"/>
    </row>
    <row r="188" spans="1:18" x14ac:dyDescent="0.35">
      <c r="A188" s="15">
        <v>2565</v>
      </c>
      <c r="B188" s="15" t="s">
        <v>142</v>
      </c>
      <c r="C188" s="9"/>
      <c r="D188" s="9"/>
      <c r="E188" s="10"/>
      <c r="F188" s="9"/>
      <c r="G188" s="9"/>
      <c r="H188" s="10">
        <v>46173</v>
      </c>
      <c r="I188" s="9">
        <v>2</v>
      </c>
      <c r="J188" s="9"/>
      <c r="K188" s="9" t="s">
        <v>158</v>
      </c>
      <c r="L188" s="11" t="str">
        <f>IFERROR(VLOOKUP(K188, [1]Conceptos!A:B, 2, FALSE), "")</f>
        <v>0.010</v>
      </c>
      <c r="M188" s="12"/>
      <c r="N188" s="13"/>
      <c r="O188" s="13"/>
      <c r="P188" s="13"/>
      <c r="Q188" s="14"/>
      <c r="R188" s="14"/>
    </row>
    <row r="189" spans="1:18" x14ac:dyDescent="0.35">
      <c r="A189" s="15">
        <v>2567</v>
      </c>
      <c r="B189" s="15" t="s">
        <v>143</v>
      </c>
      <c r="C189" s="9"/>
      <c r="D189" s="9"/>
      <c r="E189" s="10"/>
      <c r="F189" s="9"/>
      <c r="G189" s="9"/>
      <c r="H189" s="10">
        <v>46173</v>
      </c>
      <c r="I189" s="9">
        <v>2</v>
      </c>
      <c r="J189" s="9"/>
      <c r="K189" s="9" t="s">
        <v>158</v>
      </c>
      <c r="L189" s="11" t="str">
        <f>IFERROR(VLOOKUP(K189, [1]Conceptos!A:B, 2, FALSE), "")</f>
        <v>0.010</v>
      </c>
      <c r="M189" s="12"/>
      <c r="N189" s="13"/>
      <c r="O189" s="13"/>
      <c r="P189" s="13"/>
      <c r="Q189" s="14"/>
      <c r="R189" s="14"/>
    </row>
    <row r="190" spans="1:18" x14ac:dyDescent="0.35">
      <c r="A190" s="15">
        <v>2568</v>
      </c>
      <c r="B190" s="15" t="s">
        <v>144</v>
      </c>
      <c r="C190" s="9"/>
      <c r="D190" s="9"/>
      <c r="E190" s="10"/>
      <c r="F190" s="9"/>
      <c r="G190" s="9"/>
      <c r="H190" s="10">
        <v>46173</v>
      </c>
      <c r="I190" s="9">
        <v>5</v>
      </c>
      <c r="J190" s="9"/>
      <c r="K190" s="9" t="s">
        <v>158</v>
      </c>
      <c r="L190" s="11" t="str">
        <f>IFERROR(VLOOKUP(K190, [1]Conceptos!A:B, 2, FALSE), "")</f>
        <v>0.010</v>
      </c>
      <c r="M190" s="12"/>
      <c r="N190" s="13"/>
      <c r="O190" s="13"/>
      <c r="P190" s="13"/>
      <c r="Q190" s="14"/>
      <c r="R190" s="14"/>
    </row>
    <row r="191" spans="1:18" x14ac:dyDescent="0.35">
      <c r="A191" s="15">
        <v>2569</v>
      </c>
      <c r="B191" s="15" t="s">
        <v>145</v>
      </c>
      <c r="C191" s="9"/>
      <c r="D191" s="9"/>
      <c r="E191" s="10"/>
      <c r="F191" s="9"/>
      <c r="G191" s="9"/>
      <c r="H191" s="10">
        <v>46173</v>
      </c>
      <c r="I191" s="9">
        <v>19</v>
      </c>
      <c r="J191" s="9"/>
      <c r="K191" s="9" t="s">
        <v>158</v>
      </c>
      <c r="L191" s="11" t="str">
        <f>IFERROR(VLOOKUP(K191, [1]Conceptos!A:B, 2, FALSE), "")</f>
        <v>0.010</v>
      </c>
      <c r="M191" s="12"/>
      <c r="N191" s="13"/>
      <c r="O191" s="13"/>
      <c r="P191" s="13"/>
      <c r="Q191" s="14"/>
      <c r="R191" s="14"/>
    </row>
    <row r="192" spans="1:18" x14ac:dyDescent="0.35">
      <c r="A192" s="15">
        <v>2570</v>
      </c>
      <c r="B192" s="15" t="s">
        <v>146</v>
      </c>
      <c r="C192" s="9"/>
      <c r="D192" s="9"/>
      <c r="E192" s="10"/>
      <c r="F192" s="9"/>
      <c r="G192" s="9"/>
      <c r="H192" s="10">
        <v>46173</v>
      </c>
      <c r="I192" s="9">
        <v>9</v>
      </c>
      <c r="J192" s="9"/>
      <c r="K192" s="9" t="s">
        <v>158</v>
      </c>
      <c r="L192" s="11" t="str">
        <f>IFERROR(VLOOKUP(K192, [1]Conceptos!A:B, 2, FALSE), "")</f>
        <v>0.010</v>
      </c>
      <c r="M192" s="12"/>
      <c r="N192" s="13"/>
      <c r="O192" s="13"/>
      <c r="P192" s="13"/>
      <c r="Q192" s="14"/>
      <c r="R192" s="14"/>
    </row>
    <row r="193" spans="1:18" x14ac:dyDescent="0.35">
      <c r="A193" s="15">
        <v>2574</v>
      </c>
      <c r="B193" s="15" t="s">
        <v>147</v>
      </c>
      <c r="C193" s="9"/>
      <c r="D193" s="9"/>
      <c r="E193" s="10"/>
      <c r="F193" s="9"/>
      <c r="G193" s="9"/>
      <c r="H193" s="10">
        <v>46173</v>
      </c>
      <c r="I193" s="9">
        <v>9</v>
      </c>
      <c r="J193" s="9"/>
      <c r="K193" s="9" t="s">
        <v>158</v>
      </c>
      <c r="L193" s="11" t="str">
        <f>IFERROR(VLOOKUP(K193, [1]Conceptos!A:B, 2, FALSE), "")</f>
        <v>0.010</v>
      </c>
      <c r="M193" s="12"/>
      <c r="N193" s="13"/>
      <c r="O193" s="13"/>
      <c r="P193" s="13"/>
      <c r="Q193" s="14"/>
      <c r="R193" s="14"/>
    </row>
    <row r="194" spans="1:18" x14ac:dyDescent="0.35">
      <c r="A194" s="15">
        <v>2577</v>
      </c>
      <c r="B194" s="15" t="s">
        <v>148</v>
      </c>
      <c r="C194" s="9"/>
      <c r="D194" s="9"/>
      <c r="E194" s="10"/>
      <c r="F194" s="9"/>
      <c r="G194" s="9"/>
      <c r="H194" s="10">
        <v>46173</v>
      </c>
      <c r="I194" s="9">
        <v>2</v>
      </c>
      <c r="J194" s="9"/>
      <c r="K194" s="9" t="s">
        <v>158</v>
      </c>
      <c r="L194" s="11" t="str">
        <f>IFERROR(VLOOKUP(K194, [1]Conceptos!A:B, 2, FALSE), "")</f>
        <v>0.010</v>
      </c>
      <c r="M194" s="12"/>
      <c r="N194" s="13"/>
      <c r="O194" s="13"/>
      <c r="P194" s="13"/>
      <c r="Q194" s="14"/>
      <c r="R194" s="14"/>
    </row>
    <row r="195" spans="1:18" x14ac:dyDescent="0.35">
      <c r="A195" s="15">
        <v>2579</v>
      </c>
      <c r="B195" s="15" t="s">
        <v>149</v>
      </c>
      <c r="C195" s="9"/>
      <c r="D195" s="9"/>
      <c r="E195" s="10"/>
      <c r="F195" s="9"/>
      <c r="G195" s="9"/>
      <c r="H195" s="10">
        <v>46173</v>
      </c>
      <c r="I195" s="9">
        <v>32</v>
      </c>
      <c r="J195" s="9"/>
      <c r="K195" s="9" t="s">
        <v>158</v>
      </c>
      <c r="L195" s="11" t="str">
        <f>IFERROR(VLOOKUP(K195, [1]Conceptos!A:B, 2, FALSE), "")</f>
        <v>0.010</v>
      </c>
      <c r="M195" s="12"/>
      <c r="N195" s="13"/>
      <c r="O195" s="13"/>
      <c r="P195" s="13"/>
      <c r="Q195" s="14"/>
      <c r="R195" s="14"/>
    </row>
    <row r="196" spans="1:18" x14ac:dyDescent="0.35">
      <c r="A196" s="15">
        <v>2580</v>
      </c>
      <c r="B196" s="15" t="s">
        <v>150</v>
      </c>
      <c r="C196" s="9"/>
      <c r="D196" s="9"/>
      <c r="E196" s="10"/>
      <c r="F196" s="9"/>
      <c r="G196" s="9"/>
      <c r="H196" s="10">
        <v>46173</v>
      </c>
      <c r="I196" s="9">
        <v>2</v>
      </c>
      <c r="J196" s="9"/>
      <c r="K196" s="9" t="s">
        <v>158</v>
      </c>
      <c r="L196" s="11" t="str">
        <f>IFERROR(VLOOKUP(K196, [1]Conceptos!A:B, 2, FALSE), "")</f>
        <v>0.010</v>
      </c>
      <c r="M196" s="12"/>
      <c r="N196" s="13"/>
      <c r="O196" s="13"/>
      <c r="P196" s="13"/>
      <c r="Q196" s="14"/>
      <c r="R196" s="14"/>
    </row>
    <row r="197" spans="1:18" x14ac:dyDescent="0.35">
      <c r="A197" s="15">
        <v>2585</v>
      </c>
      <c r="B197" s="15" t="s">
        <v>151</v>
      </c>
      <c r="C197" s="9"/>
      <c r="D197" s="9"/>
      <c r="E197" s="10"/>
      <c r="F197" s="9"/>
      <c r="G197" s="9"/>
      <c r="H197" s="10">
        <v>46173</v>
      </c>
      <c r="I197" s="9">
        <v>2</v>
      </c>
      <c r="J197" s="9"/>
      <c r="K197" s="9" t="s">
        <v>158</v>
      </c>
      <c r="L197" s="11" t="str">
        <f>IFERROR(VLOOKUP(K197, [1]Conceptos!A:B, 2, FALSE), "")</f>
        <v>0.010</v>
      </c>
      <c r="M197" s="12"/>
      <c r="N197" s="13"/>
      <c r="O197" s="13"/>
      <c r="P197" s="13"/>
      <c r="Q197" s="14"/>
      <c r="R197" s="14"/>
    </row>
    <row r="198" spans="1:18" x14ac:dyDescent="0.35">
      <c r="A198" s="15">
        <v>2586</v>
      </c>
      <c r="B198" s="15" t="s">
        <v>152</v>
      </c>
      <c r="C198" s="9"/>
      <c r="D198" s="9"/>
      <c r="E198" s="10"/>
      <c r="F198" s="9"/>
      <c r="G198" s="9"/>
      <c r="H198" s="10">
        <v>46173</v>
      </c>
      <c r="I198" s="9">
        <v>4</v>
      </c>
      <c r="J198" s="9"/>
      <c r="K198" s="9" t="s">
        <v>158</v>
      </c>
      <c r="L198" s="11" t="str">
        <f>IFERROR(VLOOKUP(K198, [1]Conceptos!A:B, 2, FALSE), "")</f>
        <v>0.010</v>
      </c>
      <c r="M198" s="12"/>
      <c r="N198" s="13"/>
      <c r="O198" s="13"/>
      <c r="P198" s="13"/>
      <c r="Q198" s="14"/>
      <c r="R198" s="14"/>
    </row>
    <row r="199" spans="1:18" x14ac:dyDescent="0.35">
      <c r="A199" s="15">
        <v>2587</v>
      </c>
      <c r="B199" s="15" t="s">
        <v>153</v>
      </c>
      <c r="C199" s="9"/>
      <c r="D199" s="9"/>
      <c r="E199" s="10"/>
      <c r="F199" s="9"/>
      <c r="G199" s="9"/>
      <c r="H199" s="10">
        <v>46173</v>
      </c>
      <c r="I199" s="9">
        <v>4</v>
      </c>
      <c r="J199" s="9"/>
      <c r="K199" s="9" t="s">
        <v>158</v>
      </c>
      <c r="L199" s="11" t="str">
        <f>IFERROR(VLOOKUP(K199, [1]Conceptos!A:B, 2, FALSE), "")</f>
        <v>0.010</v>
      </c>
      <c r="M199" s="12"/>
      <c r="N199" s="13"/>
      <c r="O199" s="13"/>
      <c r="P199" s="13"/>
      <c r="Q199" s="14"/>
      <c r="R199" s="14"/>
    </row>
    <row r="200" spans="1:18" x14ac:dyDescent="0.35">
      <c r="A200" s="15">
        <v>2589</v>
      </c>
      <c r="B200" s="15" t="s">
        <v>154</v>
      </c>
      <c r="C200" s="9"/>
      <c r="D200" s="9"/>
      <c r="E200" s="10"/>
      <c r="F200" s="9"/>
      <c r="G200" s="9"/>
      <c r="H200" s="10">
        <v>46173</v>
      </c>
      <c r="I200" s="9">
        <v>5</v>
      </c>
      <c r="J200" s="9"/>
      <c r="K200" s="9" t="s">
        <v>158</v>
      </c>
      <c r="L200" s="11" t="str">
        <f>IFERROR(VLOOKUP(K200, [1]Conceptos!A:B, 2, FALSE), "")</f>
        <v>0.010</v>
      </c>
      <c r="M200" s="12"/>
      <c r="N200" s="13"/>
      <c r="O200" s="13"/>
      <c r="P200" s="13"/>
      <c r="Q200" s="14"/>
      <c r="R200" s="14"/>
    </row>
    <row r="201" spans="1:18" x14ac:dyDescent="0.35">
      <c r="A201" s="15">
        <v>2593</v>
      </c>
      <c r="B201" s="15" t="s">
        <v>155</v>
      </c>
      <c r="C201" s="9"/>
      <c r="D201" s="9"/>
      <c r="E201" s="10"/>
      <c r="F201" s="9"/>
      <c r="G201" s="9"/>
      <c r="H201" s="10">
        <v>46173</v>
      </c>
      <c r="I201" s="9">
        <v>10</v>
      </c>
      <c r="J201" s="9"/>
      <c r="K201" s="9" t="s">
        <v>158</v>
      </c>
      <c r="L201" s="11" t="str">
        <f>IFERROR(VLOOKUP(K201, [1]Conceptos!A:B, 2, FALSE), "")</f>
        <v>0.010</v>
      </c>
      <c r="M201" s="12"/>
      <c r="N201" s="13"/>
      <c r="O201" s="13"/>
      <c r="P201" s="13"/>
      <c r="Q201" s="14"/>
      <c r="R201" s="14"/>
    </row>
    <row r="202" spans="1:18" x14ac:dyDescent="0.35">
      <c r="A202" s="15">
        <v>2595</v>
      </c>
      <c r="B202" s="15" t="s">
        <v>156</v>
      </c>
      <c r="C202" s="9"/>
      <c r="D202" s="9"/>
      <c r="E202" s="10"/>
      <c r="F202" s="9"/>
      <c r="G202" s="9"/>
      <c r="H202" s="10">
        <v>46173</v>
      </c>
      <c r="I202" s="9">
        <v>3</v>
      </c>
      <c r="J202" s="9"/>
      <c r="K202" s="9" t="s">
        <v>158</v>
      </c>
      <c r="L202" s="11" t="str">
        <f>IFERROR(VLOOKUP(K202, [1]Conceptos!A:B, 2, FALSE), "")</f>
        <v>0.010</v>
      </c>
      <c r="M202" s="12"/>
      <c r="N202" s="13"/>
      <c r="O202" s="13"/>
      <c r="P202" s="13"/>
      <c r="Q202" s="14"/>
      <c r="R202" s="14"/>
    </row>
  </sheetData>
  <dataValidations count="1">
    <dataValidation type="list" allowBlank="1" showInputMessage="1" showErrorMessage="1" sqref="J6" xr:uid="{A2CDBBE3-80E1-4FD4-B160-E65AA4277F6A}">
      <formula1>"Pte Tramitar,Pte Tramitar Olga,Pte Revisar,Facturado"</formula1>
    </dataValidation>
  </dataValidation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Olga Afonso</dc:creator>
  <cp:lastModifiedBy>Gonzalo Martin</cp:lastModifiedBy>
  <dcterms:created xsi:type="dcterms:W3CDTF">2026-06-30T09:32:00Z</dcterms:created>
  <dcterms:modified xsi:type="dcterms:W3CDTF">2026-07-22T16:04:34Z</dcterms:modified>
</cp:coreProperties>
</file>