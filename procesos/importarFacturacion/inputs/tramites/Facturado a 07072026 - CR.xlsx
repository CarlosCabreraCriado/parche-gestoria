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166925"/>
  <mc:AlternateContent xmlns:mc="http://schemas.openxmlformats.org/markup-compatibility/2006">
    <mc:Choice Requires="x15">
      <x15ac:absPath xmlns:x15ac="http://schemas.microsoft.com/office/spreadsheetml/2010/11/ac" url="C:\Users\gonza\OneDrive\Nodus\Proyectos\Nodus-app\parche-gestoria\procesos\importarFacturacion\inputs\tramites\"/>
    </mc:Choice>
  </mc:AlternateContent>
  <xr:revisionPtr revIDLastSave="0" documentId="13_ncr:1_{FD726FD6-F79A-4A90-8029-7B5ACBF5B55C}" xr6:coauthVersionLast="47" xr6:coauthVersionMax="47" xr10:uidLastSave="{00000000-0000-0000-0000-000000000000}"/>
  <bookViews>
    <workbookView xWindow="-14595" yWindow="-16350" windowWidth="29040" windowHeight="15720" xr2:uid="{5CE941F5-1ABC-4A4F-8012-067F58F11DCD}"/>
  </bookViews>
  <sheets>
    <sheet name="VARIOS" sheetId="1" r:id="rId1"/>
  </sheets>
  <externalReferences>
    <externalReference r:id="rId2"/>
  </externalReferenc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L62" i="1" l="1"/>
  <c r="L61" i="1"/>
  <c r="L60" i="1"/>
  <c r="L59" i="1"/>
  <c r="L58" i="1"/>
  <c r="L57" i="1"/>
  <c r="L56" i="1"/>
  <c r="L55" i="1"/>
  <c r="L54" i="1"/>
  <c r="L53" i="1"/>
  <c r="L52" i="1"/>
  <c r="L51" i="1"/>
  <c r="L50" i="1"/>
  <c r="L49" i="1"/>
  <c r="L48" i="1"/>
  <c r="L47" i="1"/>
  <c r="L46" i="1"/>
  <c r="L45" i="1"/>
  <c r="L44" i="1"/>
  <c r="L43" i="1"/>
  <c r="L42" i="1"/>
  <c r="L41" i="1"/>
  <c r="L40" i="1"/>
  <c r="L39" i="1"/>
  <c r="L38" i="1"/>
  <c r="L37" i="1"/>
  <c r="L36" i="1"/>
  <c r="L35" i="1"/>
  <c r="L34" i="1"/>
  <c r="L33" i="1"/>
  <c r="L32" i="1"/>
  <c r="L31" i="1"/>
  <c r="L30" i="1"/>
  <c r="L29" i="1"/>
  <c r="L28" i="1"/>
  <c r="L27" i="1"/>
  <c r="L26" i="1"/>
  <c r="L25" i="1"/>
  <c r="L24" i="1"/>
  <c r="L23" i="1"/>
  <c r="L22" i="1"/>
  <c r="L21" i="1"/>
  <c r="L20" i="1"/>
  <c r="L19" i="1"/>
  <c r="L18" i="1"/>
  <c r="L17" i="1"/>
  <c r="L16" i="1"/>
  <c r="L15" i="1"/>
  <c r="L14" i="1"/>
  <c r="L13" i="1"/>
  <c r="L12" i="1"/>
  <c r="L11" i="1"/>
  <c r="L10" i="1"/>
  <c r="L9" i="1"/>
  <c r="L8" i="1"/>
  <c r="L7" i="1"/>
</calcChain>
</file>

<file path=xl/sharedStrings.xml><?xml version="1.0" encoding="utf-8"?>
<sst xmlns="http://schemas.openxmlformats.org/spreadsheetml/2006/main" count="215" uniqueCount="109">
  <si>
    <t>EMPRESA</t>
  </si>
  <si>
    <t>DNI TRAB</t>
  </si>
  <si>
    <t>NOMBRE TRABAJADOR</t>
  </si>
  <si>
    <t>F. ALTA</t>
  </si>
  <si>
    <t>F.BAJA</t>
  </si>
  <si>
    <t xml:space="preserve">F. CAMBIO </t>
  </si>
  <si>
    <t xml:space="preserve">FECHA </t>
  </si>
  <si>
    <t>OBSERVACION</t>
  </si>
  <si>
    <t>ESTADO</t>
  </si>
  <si>
    <t>TIPO TRAMITE</t>
  </si>
  <si>
    <t>CONCEPTO FACT</t>
  </si>
  <si>
    <t>IMPORTE</t>
  </si>
  <si>
    <t>CLICK SOCIAL, SL.</t>
  </si>
  <si>
    <t>45337232T</t>
  </si>
  <si>
    <t>Facturado</t>
  </si>
  <si>
    <t>Contratos de trabajo y Registro Inem -</t>
  </si>
  <si>
    <t>FASICAN</t>
  </si>
  <si>
    <t>50903939V</t>
  </si>
  <si>
    <t>Baja Voluntaria -</t>
  </si>
  <si>
    <t>54116462S</t>
  </si>
  <si>
    <t>THE GOOD TIMES COMPANY SL</t>
  </si>
  <si>
    <t>49407283V</t>
  </si>
  <si>
    <t>Contrato de Trabajo.</t>
  </si>
  <si>
    <t>54063509P</t>
  </si>
  <si>
    <t>RECURSOS MARINOS DE CANARIAS</t>
  </si>
  <si>
    <t>43839923Z</t>
  </si>
  <si>
    <t>BONIFICADO AL 50% Accidente sin baja - Nombre:            Fecha:</t>
  </si>
  <si>
    <t>CRISTALERIA CRISTALFUERT SL</t>
  </si>
  <si>
    <t>ITA -</t>
  </si>
  <si>
    <t>Informe de plantilla media -</t>
  </si>
  <si>
    <t>FLORES MARIA DE LEON SL</t>
  </si>
  <si>
    <t>54056470F</t>
  </si>
  <si>
    <t>Comunicación carta de despido -</t>
  </si>
  <si>
    <t>31330779H</t>
  </si>
  <si>
    <t>78550581S</t>
  </si>
  <si>
    <t>ARTURO MARTINEZ SERRA</t>
  </si>
  <si>
    <t>REMACAN CANARIAS</t>
  </si>
  <si>
    <t>J.L. FERNANDEZ COGOLLUDO, S.L.</t>
  </si>
  <si>
    <t>Certificado SS.SS. Regimén General -Fecha  Estado positivo</t>
  </si>
  <si>
    <t>CAIROS, BLAS</t>
  </si>
  <si>
    <t>TIFON CANARIAS, S.L</t>
  </si>
  <si>
    <t>79093191D</t>
  </si>
  <si>
    <t>79156619A</t>
  </si>
  <si>
    <t>LOPEZ GONZALEZ, ORLEXNYS</t>
  </si>
  <si>
    <t>10258432H</t>
  </si>
  <si>
    <t>42342244A</t>
  </si>
  <si>
    <t>78679956S</t>
  </si>
  <si>
    <t>gestion de nominas de bajas Paternidad/maternidad</t>
  </si>
  <si>
    <t>ASOC. CREATIVA</t>
  </si>
  <si>
    <t>77643854V</t>
  </si>
  <si>
    <t>TIFÓN MOTOR</t>
  </si>
  <si>
    <t>43787316P</t>
  </si>
  <si>
    <t>AUTOCHAPA SENSEI, S.L.</t>
  </si>
  <si>
    <t>42244493w</t>
  </si>
  <si>
    <t>Comunicación no supera periodo de prueba -</t>
  </si>
  <si>
    <t>Y7668588B</t>
  </si>
  <si>
    <t>CULTESA, SA</t>
  </si>
  <si>
    <t>78707763S</t>
  </si>
  <si>
    <t>Certificados varios -</t>
  </si>
  <si>
    <t>43623926X</t>
  </si>
  <si>
    <t>38117112V</t>
  </si>
  <si>
    <t>75748865K</t>
  </si>
  <si>
    <t>Prorrogas+ Registro INEM-</t>
  </si>
  <si>
    <t>Gilbau Rodriguez, Anabel</t>
  </si>
  <si>
    <t>Allta Ss Ok - Pte Resto</t>
  </si>
  <si>
    <t>Lopez Martinez, Berta</t>
  </si>
  <si>
    <t>B Vol - Pte Ss + Cert</t>
  </si>
  <si>
    <t>Galvan Rodriguez, Daniel</t>
  </si>
  <si>
    <t>Alta Trabajador</t>
  </si>
  <si>
    <t>Barrera Izquierdo, Gisselle Del Carmen</t>
  </si>
  <si>
    <t>Alta Subrogacion  - Pte Ss</t>
  </si>
  <si>
    <t>Clemente Hernandez, Maria Nazaret</t>
  </si>
  <si>
    <t>Marrero Rodriguez, Cathaysa Del Pino</t>
  </si>
  <si>
    <t>Delt@ Sin Baja</t>
  </si>
  <si>
    <t>2 Itas</t>
  </si>
  <si>
    <t>2 Plantillas Medias 2025</t>
  </si>
  <si>
    <t>De Leon Estevez, Raquel</t>
  </si>
  <si>
    <t>Msct - Pte Baja Ss + Cert</t>
  </si>
  <si>
    <t>Mendoza Navarrete, Teodora</t>
  </si>
  <si>
    <t>Despido Objetivo - Pte Baja Ss + Cert</t>
  </si>
  <si>
    <t>Morera Cabrera, Aythami</t>
  </si>
  <si>
    <t>Alta Trabajador - Ss Ok</t>
  </si>
  <si>
    <t xml:space="preserve">2 Itas </t>
  </si>
  <si>
    <t>Ita</t>
  </si>
  <si>
    <t>Cert Ss</t>
  </si>
  <si>
    <t>Castro San Juan, Keyla</t>
  </si>
  <si>
    <t>Alta Trabajador - Pte @</t>
  </si>
  <si>
    <t>Yanes Valladares, Nauzet</t>
  </si>
  <si>
    <t>Lopez Diaz, Anthony Fabio</t>
  </si>
  <si>
    <t>Lopez Astudillo, Valeria Ignacia</t>
  </si>
  <si>
    <t>Alta Trabajador  - Ss Ok</t>
  </si>
  <si>
    <t>Espinosa Arteaga, Udhavadaas</t>
  </si>
  <si>
    <t>Certificado Empresa Paternidad</t>
  </si>
  <si>
    <t>Larrat Almanza, Veronica Edith</t>
  </si>
  <si>
    <t>Alta Trabajadora</t>
  </si>
  <si>
    <t>Ruiz Garcia, Jeronimo</t>
  </si>
  <si>
    <t>E</t>
  </si>
  <si>
    <t>Pineda Ravelo, Victor Miguel</t>
  </si>
  <si>
    <t>Nspp - Baja Ss + Cert</t>
  </si>
  <si>
    <t>Silva Rojas, Janetzis De Jesus</t>
  </si>
  <si>
    <t>Alta Trabajadora - Pte @ + Envio</t>
  </si>
  <si>
    <t>Lopez Fariña, Jacobo</t>
  </si>
  <si>
    <t>Certificado De Prestacion De Servicios - 45€</t>
  </si>
  <si>
    <t>Morales Rodriguez, Maria Nieves</t>
  </si>
  <si>
    <t>Charneco Ortiz, Nuria</t>
  </si>
  <si>
    <t>Garcia Dominguez, Eva Maria</t>
  </si>
  <si>
    <t>Prorroga - Pte @</t>
  </si>
  <si>
    <t>Despido</t>
  </si>
  <si>
    <t>EXPT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</si>
</sst>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4" formatCode="_-* #,##0.00\ &quot;€&quot;_-;\-* #,##0.00\ &quot;€&quot;_-;_-* &quot;-&quot;??\ &quot;€&quot;_-;_-@_-"/>
    <numFmt numFmtId="164" formatCode="#,##0.00\ &quot;€&quot;"/>
    <numFmt numFmtId="165" formatCode="_-* #,##0.00\ [$€-1]_-;\-* #,##0.00\ [$€-1]_-;_-* &quot;-&quot;??\ [$€-1]_-"/>
  </numFmts>
  <fonts count="7" x14ac:knownFonts="1">
    <font>
      <sz val="11"/>
      <color theme="1"/>
      <name val="Calibri"/>
      <family val="2"/>
      <scheme val="minor"/>
    </font>
    <font>
      <sz val="11"/>
      <color theme="1"/>
      <name val="Calibri"/>
      <family val="2"/>
      <scheme val="minor"/>
    </font>
    <font>
      <b/>
      <sz val="10"/>
      <color theme="0"/>
      <name val="Arial"/>
      <family val="2"/>
    </font>
    <font>
      <sz val="10"/>
      <color theme="1"/>
      <name val="Arial"/>
    </font>
    <font>
      <sz val="10"/>
      <color theme="1"/>
      <name val="Arial"/>
      <family val="2"/>
    </font>
    <font>
      <sz val="10"/>
      <color rgb="FF000000"/>
      <name val="Arial"/>
      <family val="2"/>
    </font>
    <font>
      <sz val="10"/>
      <name val="Arial"/>
      <family val="2"/>
    </font>
  </fonts>
  <fills count="4">
    <fill>
      <patternFill patternType="none"/>
    </fill>
    <fill>
      <patternFill patternType="gray125"/>
    </fill>
    <fill>
      <patternFill patternType="solid">
        <fgColor theme="1" tint="0.14999847407452621"/>
        <bgColor indexed="64"/>
      </patternFill>
    </fill>
    <fill>
      <patternFill patternType="solid">
        <fgColor rgb="FFD9E1F2"/>
        <bgColor indexed="64"/>
      </patternFill>
    </fill>
  </fills>
  <borders count="12">
    <border>
      <left/>
      <right/>
      <top/>
      <bottom/>
      <diagonal/>
    </border>
    <border>
      <left style="thin">
        <color indexed="64"/>
      </left>
      <right style="thin">
        <color indexed="64"/>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
      <left style="medium">
        <color indexed="64"/>
      </left>
      <right style="medium">
        <color indexed="64"/>
      </right>
      <top/>
      <bottom style="medium">
        <color rgb="FF8EA9DB"/>
      </bottom>
      <diagonal/>
    </border>
    <border>
      <left/>
      <right style="medium">
        <color indexed="64"/>
      </right>
      <top/>
      <bottom style="medium">
        <color rgb="FF8EA9DB"/>
      </bottom>
      <diagonal/>
    </border>
  </borders>
  <cellStyleXfs count="5">
    <xf numFmtId="0" fontId="0" fillId="0" borderId="0"/>
    <xf numFmtId="44" fontId="1" fillId="0" borderId="0" applyFont="0" applyFill="0" applyBorder="0" applyAlignment="0" applyProtection="0"/>
    <xf numFmtId="44" fontId="1" fillId="0" borderId="0" applyFont="0" applyFill="0" applyBorder="0" applyAlignment="0" applyProtection="0"/>
    <xf numFmtId="0" fontId="6" fillId="0" borderId="0"/>
    <xf numFmtId="165" fontId="6" fillId="0" borderId="0" applyFont="0" applyFill="0" applyBorder="0" applyAlignment="0" applyProtection="0"/>
  </cellStyleXfs>
  <cellXfs count="31">
    <xf numFmtId="0" fontId="0" fillId="0" borderId="0" xfId="0"/>
    <xf numFmtId="0" fontId="2" fillId="2" borderId="1" xfId="0" applyFont="1" applyFill="1" applyBorder="1" applyAlignment="1">
      <alignment horizontal="center" vertical="center"/>
    </xf>
    <xf numFmtId="14" fontId="2" fillId="2" borderId="1" xfId="0" applyNumberFormat="1" applyFont="1" applyFill="1" applyBorder="1" applyAlignment="1">
      <alignment horizontal="center" vertical="center"/>
    </xf>
    <xf numFmtId="0" fontId="2" fillId="2" borderId="1" xfId="0" applyFont="1" applyFill="1" applyBorder="1" applyAlignment="1">
      <alignment horizontal="left" vertical="center"/>
    </xf>
    <xf numFmtId="0" fontId="3" fillId="0" borderId="2" xfId="0" applyFont="1" applyBorder="1"/>
    <xf numFmtId="14" fontId="3" fillId="0" borderId="2" xfId="0" applyNumberFormat="1" applyFont="1" applyBorder="1"/>
    <xf numFmtId="0" fontId="3" fillId="0" borderId="2" xfId="0" applyFont="1" applyBorder="1" applyAlignment="1">
      <alignment horizontal="left"/>
    </xf>
    <xf numFmtId="44" fontId="3" fillId="0" borderId="3" xfId="1" applyFont="1" applyBorder="1" applyAlignment="1">
      <alignment horizontal="center"/>
    </xf>
    <xf numFmtId="0" fontId="4" fillId="0" borderId="2" xfId="0" applyFont="1" applyBorder="1"/>
    <xf numFmtId="14" fontId="4" fillId="0" borderId="2" xfId="0" applyNumberFormat="1" applyFont="1" applyBorder="1"/>
    <xf numFmtId="0" fontId="4" fillId="0" borderId="2" xfId="0" applyFont="1" applyBorder="1" applyAlignment="1">
      <alignment horizontal="left"/>
    </xf>
    <xf numFmtId="44" fontId="4" fillId="0" borderId="3" xfId="1" applyFont="1" applyBorder="1" applyAlignment="1">
      <alignment horizontal="center"/>
    </xf>
    <xf numFmtId="0" fontId="4" fillId="0" borderId="4" xfId="0" applyFont="1" applyBorder="1"/>
    <xf numFmtId="14" fontId="4" fillId="0" borderId="4" xfId="0" applyNumberFormat="1" applyFont="1" applyBorder="1"/>
    <xf numFmtId="0" fontId="4" fillId="0" borderId="4" xfId="0" applyFont="1" applyBorder="1" applyAlignment="1">
      <alignment horizontal="left"/>
    </xf>
    <xf numFmtId="44" fontId="4" fillId="0" borderId="5" xfId="1" applyFont="1" applyBorder="1" applyAlignment="1">
      <alignment horizontal="center"/>
    </xf>
    <xf numFmtId="14" fontId="0" fillId="0" borderId="0" xfId="0" applyNumberFormat="1"/>
    <xf numFmtId="0" fontId="0" fillId="0" borderId="0" xfId="0" applyAlignment="1">
      <alignment horizontal="left"/>
    </xf>
    <xf numFmtId="164" fontId="0" fillId="0" borderId="0" xfId="0" applyNumberFormat="1"/>
    <xf numFmtId="0" fontId="5" fillId="3" borderId="6" xfId="0" applyFont="1" applyFill="1" applyBorder="1" applyAlignment="1">
      <alignment vertical="center"/>
    </xf>
    <xf numFmtId="14" fontId="5" fillId="3" borderId="7" xfId="0" applyNumberFormat="1" applyFont="1" applyFill="1" applyBorder="1" applyAlignment="1">
      <alignment horizontal="right" vertical="center"/>
    </xf>
    <xf numFmtId="0" fontId="5" fillId="3" borderId="7" xfId="0" applyFont="1" applyFill="1" applyBorder="1" applyAlignment="1">
      <alignment vertical="center"/>
    </xf>
    <xf numFmtId="0" fontId="5" fillId="0" borderId="8" xfId="0" applyFont="1" applyBorder="1" applyAlignment="1">
      <alignment vertical="center"/>
    </xf>
    <xf numFmtId="14" fontId="5" fillId="0" borderId="9" xfId="0" applyNumberFormat="1" applyFont="1" applyBorder="1" applyAlignment="1">
      <alignment horizontal="right" vertical="center"/>
    </xf>
    <xf numFmtId="0" fontId="5" fillId="0" borderId="9" xfId="0" applyFont="1" applyBorder="1" applyAlignment="1">
      <alignment vertical="center"/>
    </xf>
    <xf numFmtId="0" fontId="5" fillId="3" borderId="8" xfId="0" applyFont="1" applyFill="1" applyBorder="1" applyAlignment="1">
      <alignment vertical="center"/>
    </xf>
    <xf numFmtId="14" fontId="5" fillId="3" borderId="9" xfId="0" applyNumberFormat="1" applyFont="1" applyFill="1" applyBorder="1" applyAlignment="1">
      <alignment horizontal="right" vertical="center"/>
    </xf>
    <xf numFmtId="0" fontId="5" fillId="3" borderId="9" xfId="0" applyFont="1" applyFill="1" applyBorder="1" applyAlignment="1">
      <alignment vertical="center"/>
    </xf>
    <xf numFmtId="0" fontId="5" fillId="0" borderId="10" xfId="0" applyFont="1" applyBorder="1" applyAlignment="1">
      <alignment vertical="center"/>
    </xf>
    <xf numFmtId="14" fontId="5" fillId="0" borderId="11" xfId="0" applyNumberFormat="1" applyFont="1" applyBorder="1" applyAlignment="1">
      <alignment horizontal="right" vertical="center"/>
    </xf>
    <xf numFmtId="0" fontId="5" fillId="0" borderId="11" xfId="0" applyFont="1" applyBorder="1" applyAlignment="1">
      <alignment vertical="center"/>
    </xf>
  </cellXfs>
  <cellStyles count="5">
    <cellStyle name="Euro" xfId="4" xr:uid="{E8C26AAA-06C2-4553-ABBB-2A6554F65387}"/>
    <cellStyle name="Moneda" xfId="1" builtinId="4"/>
    <cellStyle name="Moneda 2" xfId="2" xr:uid="{FDB9DC39-057D-47C7-8FB7-1B9C35810F30}"/>
    <cellStyle name="Normal" xfId="0" builtinId="0"/>
    <cellStyle name="Normal 2" xfId="3" xr:uid="{60290EFC-9B9C-4456-AA3A-F2E1B439F268}"/>
  </cellStyles>
  <dxfs count="16">
    <dxf>
      <font>
        <b val="0"/>
        <i val="0"/>
        <strike val="0"/>
        <condense val="0"/>
        <extend val="0"/>
        <outline val="0"/>
        <shadow val="0"/>
        <u val="none"/>
        <vertAlign val="baseline"/>
        <sz val="10"/>
        <color theme="1"/>
        <name val="Arial"/>
        <scheme val="none"/>
      </font>
      <alignment horizontal="center" vertical="bottom" textRotation="0" wrapText="0" indent="0" justifyLastLine="0" shrinkToFit="0" readingOrder="0"/>
      <border diagonalUp="0" diagonalDown="0">
        <left style="thin">
          <color auto="1"/>
        </left>
        <right/>
        <top style="thin">
          <color auto="1"/>
        </top>
        <bottom style="thin">
          <color auto="1"/>
        </bottom>
        <vertical/>
        <horizontal/>
      </border>
    </dxf>
    <dxf>
      <font>
        <b val="0"/>
        <i val="0"/>
        <strike val="0"/>
        <condense val="0"/>
        <extend val="0"/>
        <outline val="0"/>
        <shadow val="0"/>
        <u val="none"/>
        <vertAlign val="baseline"/>
        <sz val="10"/>
        <color theme="1"/>
        <name val="Arial"/>
        <scheme val="none"/>
      </font>
      <numFmt numFmtId="0" formatCode="General"/>
      <alignment horizontal="left"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0"/>
        <color theme="1"/>
        <name val="Arial"/>
        <scheme val="none"/>
      </font>
      <alignment horizontal="general"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0"/>
        <color theme="1"/>
        <name val="Arial"/>
        <scheme val="none"/>
      </font>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0"/>
        <color theme="1"/>
        <name val="Arial"/>
        <scheme val="none"/>
      </font>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0"/>
        <color theme="1"/>
        <name val="Arial"/>
        <scheme val="none"/>
      </font>
      <numFmt numFmtId="19" formatCode="dd/mm/yyyy"/>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0"/>
        <color theme="1"/>
        <name val="Arial"/>
        <scheme val="none"/>
      </font>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0"/>
        <color theme="1"/>
        <name val="Arial"/>
        <scheme val="none"/>
      </font>
      <numFmt numFmtId="19" formatCode="dd/mm/yyyy"/>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0"/>
        <color theme="1"/>
        <name val="Arial"/>
        <scheme val="none"/>
      </font>
      <numFmt numFmtId="19" formatCode="dd/mm/yyyy"/>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0"/>
        <color theme="1"/>
        <name val="Arial"/>
        <scheme val="none"/>
      </font>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0"/>
        <color theme="1"/>
        <name val="Arial"/>
        <scheme val="none"/>
      </font>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0"/>
        <color theme="1"/>
        <name val="Arial"/>
        <scheme val="none"/>
      </font>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0"/>
        <color theme="1"/>
        <name val="Arial"/>
        <scheme val="none"/>
      </font>
      <border diagonalUp="0" diagonalDown="0">
        <left style="thin">
          <color auto="1"/>
        </left>
        <right style="thin">
          <color auto="1"/>
        </right>
        <top style="thin">
          <color auto="1"/>
        </top>
        <bottom style="thin">
          <color auto="1"/>
        </bottom>
        <vertical/>
        <horizontal/>
      </border>
    </dxf>
    <dxf>
      <border outline="0">
        <left style="thin">
          <color auto="1"/>
        </left>
        <right style="thin">
          <color auto="1"/>
        </right>
        <top style="thin">
          <color auto="1"/>
        </top>
        <bottom style="thin">
          <color auto="1"/>
        </bottom>
      </border>
    </dxf>
    <dxf>
      <font>
        <b/>
        <i val="0"/>
        <strike val="0"/>
        <condense val="0"/>
        <extend val="0"/>
        <outline val="0"/>
        <shadow val="0"/>
        <u val="none"/>
        <vertAlign val="baseline"/>
        <sz val="10"/>
        <color theme="1"/>
        <name val="Arial"/>
        <scheme val="none"/>
      </font>
      <alignment horizontal="center" vertical="bottom" textRotation="0" wrapText="0" indent="0" justifyLastLine="0" shrinkToFit="0" readingOrder="0"/>
    </dxf>
    <dxf>
      <font>
        <b/>
        <i val="0"/>
        <strike val="0"/>
        <condense val="0"/>
        <extend val="0"/>
        <outline val="0"/>
        <shadow val="0"/>
        <u val="none"/>
        <vertAlign val="baseline"/>
        <sz val="12"/>
        <color theme="1" tint="4.9989318521683403E-2"/>
        <name val="Arial"/>
        <family val="2"/>
        <scheme val="none"/>
      </font>
      <fill>
        <patternFill patternType="solid">
          <fgColor indexed="64"/>
          <bgColor theme="7" tint="0.39997558519241921"/>
        </patternFill>
      </fill>
      <alignment horizontal="center" vertical="bottom" textRotation="0" wrapText="0" indent="0" justifyLastLine="0" shrinkToFit="0" readingOrder="0"/>
      <border diagonalUp="0" diagonalDown="0" outline="0">
        <left style="thin">
          <color auto="1"/>
        </left>
        <right style="thin">
          <color auto="1"/>
        </right>
        <top/>
        <bottom/>
      </border>
    </dxf>
  </dxfs>
  <tableStyles count="0" defaultTableStyle="TableStyleMedium2" defaultPivotStyle="PivotStyleLight16"/>
  <colors>
    <mruColors>
      <color rgb="FFCDA4FA"/>
      <color rgb="FFD9A0F8"/>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95250</xdr:colOff>
      <xdr:row>0</xdr:row>
      <xdr:rowOff>85725</xdr:rowOff>
    </xdr:from>
    <xdr:to>
      <xdr:col>1</xdr:col>
      <xdr:colOff>2077680</xdr:colOff>
      <xdr:row>4</xdr:row>
      <xdr:rowOff>114300</xdr:rowOff>
    </xdr:to>
    <xdr:pic>
      <xdr:nvPicPr>
        <xdr:cNvPr id="2" name="Imagen 1" descr="susasesores.com">
          <a:extLst>
            <a:ext uri="{FF2B5EF4-FFF2-40B4-BE49-F238E27FC236}">
              <a16:creationId xmlns:a16="http://schemas.microsoft.com/office/drawing/2014/main" id="{435EE0FB-18E6-4857-931D-45B11600A0A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 y="85725"/>
          <a:ext cx="2677755" cy="7905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3</xdr:col>
      <xdr:colOff>95250</xdr:colOff>
      <xdr:row>0</xdr:row>
      <xdr:rowOff>123825</xdr:rowOff>
    </xdr:from>
    <xdr:to>
      <xdr:col>12</xdr:col>
      <xdr:colOff>723900</xdr:colOff>
      <xdr:row>4</xdr:row>
      <xdr:rowOff>85725</xdr:rowOff>
    </xdr:to>
    <xdr:sp macro="" textlink="">
      <xdr:nvSpPr>
        <xdr:cNvPr id="3" name="CuadroTexto 2">
          <a:extLst>
            <a:ext uri="{FF2B5EF4-FFF2-40B4-BE49-F238E27FC236}">
              <a16:creationId xmlns:a16="http://schemas.microsoft.com/office/drawing/2014/main" id="{844BACF8-1286-4EDC-B362-CD9CAEC3A497}"/>
            </a:ext>
          </a:extLst>
        </xdr:cNvPr>
        <xdr:cNvSpPr txBox="1"/>
      </xdr:nvSpPr>
      <xdr:spPr>
        <a:xfrm>
          <a:off x="3162300" y="123825"/>
          <a:ext cx="13458825" cy="723900"/>
        </a:xfrm>
        <a:prstGeom prst="rect">
          <a:avLst/>
        </a:prstGeom>
        <a:solidFill>
          <a:srgbClr val="CDA4FA"/>
        </a:solidFill>
        <a:ln/>
      </xdr:spPr>
      <xdr:style>
        <a:lnRef idx="2">
          <a:schemeClr val="dk1"/>
        </a:lnRef>
        <a:fillRef idx="1">
          <a:schemeClr val="lt1"/>
        </a:fillRef>
        <a:effectRef idx="0">
          <a:schemeClr val="dk1"/>
        </a:effectRef>
        <a:fontRef idx="minor">
          <a:schemeClr val="dk1"/>
        </a:fontRef>
      </xdr:style>
      <xdr:txBody>
        <a:bodyPr vertOverflow="clip" horzOverflow="clip" wrap="square" rtlCol="0" anchor="ctr"/>
        <a:lstStyle/>
        <a:p>
          <a:pPr algn="ctr"/>
          <a:r>
            <a:rPr lang="es-ES" sz="2000" b="1">
              <a:solidFill>
                <a:schemeClr val="tx1"/>
              </a:solidFill>
            </a:rPr>
            <a:t>FACTURACION - SECCION 02</a:t>
          </a:r>
        </a:p>
      </xdr:txBody>
    </xdr:sp>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R:\LABORAL\LABORAL%20T\Seccion%202\0000%20Tramitar\Listado%20Tramitar%20Seccion%2002.xlsm" TargetMode="External"/><Relationship Id="rId1" Type="http://schemas.openxmlformats.org/officeDocument/2006/relationships/externalLinkPath" Target="file:///R:\LABORAL\LABORAL%20T\Seccion%202\0000%20Tramitar\Listado%20Tramitar%20Seccion%2002.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Datos"/>
      <sheetName val="Trabajadores"/>
      <sheetName val="TRAMITAR"/>
      <sheetName val="EXPFACT"/>
      <sheetName val="Conceptos"/>
      <sheetName val="Cobro Contratos"/>
      <sheetName val="Facturar"/>
    </sheetNames>
    <sheetDataSet>
      <sheetData sheetId="0" refreshError="1"/>
      <sheetData sheetId="1" refreshError="1"/>
      <sheetData sheetId="2" refreshError="1"/>
      <sheetData sheetId="3" refreshError="1"/>
      <sheetData sheetId="4">
        <row r="1">
          <cell r="A1" t="str">
            <v>CONCEPTO</v>
          </cell>
          <cell r="B1" t="str">
            <v>COD</v>
          </cell>
        </row>
        <row r="2">
          <cell r="A2" t="str">
            <v>Modelo 347 -</v>
          </cell>
          <cell r="B2" t="str">
            <v>0.001</v>
          </cell>
        </row>
        <row r="3">
          <cell r="A3" t="str">
            <v>Contabilidad - A cuenta</v>
          </cell>
          <cell r="B3" t="str">
            <v>0.002</v>
          </cell>
        </row>
        <row r="4">
          <cell r="A4" t="str">
            <v>Contabilidad - Trimestral</v>
          </cell>
          <cell r="B4" t="str">
            <v>0.003</v>
          </cell>
        </row>
        <row r="5">
          <cell r="A5" t="str">
            <v>Licencia Conta - facil trimestral</v>
          </cell>
          <cell r="B5" t="str">
            <v>0.005</v>
          </cell>
        </row>
        <row r="6">
          <cell r="A6" t="str">
            <v>Tarifa General Laboral - Servicios Fijos hasta  10 trabajadores</v>
          </cell>
          <cell r="B6" t="str">
            <v>0.006</v>
          </cell>
        </row>
        <row r="7">
          <cell r="A7" t="str">
            <v>Tarifa General Fiscal-  Servicios fijos</v>
          </cell>
          <cell r="B7" t="str">
            <v>0.007</v>
          </cell>
        </row>
        <row r="8">
          <cell r="A8" t="str">
            <v>Tarifa General Contable-  Servicios fijos</v>
          </cell>
          <cell r="B8" t="str">
            <v>0.008</v>
          </cell>
        </row>
        <row r="9">
          <cell r="A9" t="str">
            <v>Tarifa General- Servicios exporádicos</v>
          </cell>
          <cell r="B9" t="str">
            <v>0.009</v>
          </cell>
        </row>
        <row r="10">
          <cell r="A10" t="str">
            <v>Nominas -</v>
          </cell>
          <cell r="B10" t="str">
            <v>0.010</v>
          </cell>
        </row>
        <row r="11">
          <cell r="A11" t="str">
            <v>Contabilidad - Mensual</v>
          </cell>
          <cell r="B11" t="str">
            <v>0.011</v>
          </cell>
        </row>
        <row r="12">
          <cell r="A12" t="str">
            <v>Modelo 111 -</v>
          </cell>
          <cell r="B12" t="str">
            <v>0.012</v>
          </cell>
        </row>
        <row r="13">
          <cell r="A13" t="str">
            <v>Modelo 115</v>
          </cell>
          <cell r="B13" t="str">
            <v>0.013</v>
          </cell>
        </row>
        <row r="14">
          <cell r="A14" t="str">
            <v>Modelo 420</v>
          </cell>
          <cell r="B14" t="str">
            <v>0.014</v>
          </cell>
        </row>
        <row r="15">
          <cell r="A15" t="str">
            <v>Modelo 421</v>
          </cell>
          <cell r="B15" t="str">
            <v>0.015</v>
          </cell>
        </row>
        <row r="16">
          <cell r="A16" t="str">
            <v>Modelo 130</v>
          </cell>
          <cell r="B16" t="str">
            <v>0.016</v>
          </cell>
        </row>
        <row r="17">
          <cell r="A17" t="str">
            <v>Modelo 131</v>
          </cell>
          <cell r="B17" t="str">
            <v>0.017</v>
          </cell>
        </row>
        <row r="18">
          <cell r="A18" t="str">
            <v>Modelo 202</v>
          </cell>
          <cell r="B18" t="str">
            <v>0.018</v>
          </cell>
        </row>
        <row r="19">
          <cell r="A19" t="str">
            <v>Modelo 210- NO Residentes</v>
          </cell>
          <cell r="B19" t="str">
            <v>0.019</v>
          </cell>
        </row>
        <row r="20">
          <cell r="A20" t="str">
            <v>Modelo 202 N -</v>
          </cell>
          <cell r="B20" t="str">
            <v>0.020</v>
          </cell>
        </row>
        <row r="21">
          <cell r="A21" t="str">
            <v>Nominas - Exceso de __ a __</v>
          </cell>
          <cell r="B21" t="str">
            <v>0.021</v>
          </cell>
        </row>
        <row r="22">
          <cell r="A22" t="str">
            <v>gestion de nominas de bajas Paternidad/maternidad</v>
          </cell>
          <cell r="B22" t="str">
            <v>0.022</v>
          </cell>
        </row>
        <row r="23">
          <cell r="A23" t="str">
            <v>Gestión y control mensual de embargos</v>
          </cell>
          <cell r="B23" t="str">
            <v>0.023</v>
          </cell>
        </row>
        <row r="24">
          <cell r="A24" t="str">
            <v>Modelo 417. IGIC Mensual</v>
          </cell>
          <cell r="B24" t="str">
            <v>0.025</v>
          </cell>
        </row>
        <row r="25">
          <cell r="A25" t="str">
            <v>Contrato de Trabajo.</v>
          </cell>
          <cell r="B25" t="str">
            <v>0.027</v>
          </cell>
        </row>
        <row r="26">
          <cell r="A26" t="str">
            <v>Modificación de contrato de trabajo y registro - AMPLIACIONES, REDUCCIONES O TRANSFORMACIONES</v>
          </cell>
          <cell r="B26" t="str">
            <v>0.029</v>
          </cell>
        </row>
        <row r="27">
          <cell r="A27" t="str">
            <v>Prorroga -</v>
          </cell>
          <cell r="B27" t="str">
            <v>0.037</v>
          </cell>
        </row>
        <row r="28">
          <cell r="A28" t="str">
            <v>Contabilidad y Asesoramiento 0700 - MENSUAL</v>
          </cell>
          <cell r="B28" t="str">
            <v>0.038</v>
          </cell>
        </row>
        <row r="29">
          <cell r="A29" t="str">
            <v>Contabilidad y Asesoramiento 1000 - MENSUAL</v>
          </cell>
          <cell r="B29" t="str">
            <v>0.039</v>
          </cell>
        </row>
        <row r="30">
          <cell r="A30" t="str">
            <v>Contabilidad y Asesoramiento 1300 - MENSUAL</v>
          </cell>
          <cell r="B30" t="str">
            <v>0.040</v>
          </cell>
        </row>
        <row r="31">
          <cell r="A31" t="str">
            <v>Contabilidad y Asesoramiento 1600 - MENSUAL</v>
          </cell>
          <cell r="B31" t="str">
            <v>0.041</v>
          </cell>
        </row>
        <row r="32">
          <cell r="A32" t="str">
            <v>Contabilidad y Asesoramiento 1800 - MENSUAL</v>
          </cell>
          <cell r="B32" t="str">
            <v>0.042</v>
          </cell>
        </row>
        <row r="33">
          <cell r="A33" t="str">
            <v>Contabilidad y Asesoramiento 2000 - MENSUAL</v>
          </cell>
          <cell r="B33" t="str">
            <v>0.043</v>
          </cell>
        </row>
        <row r="34">
          <cell r="A34" t="str">
            <v>Contabilidad y Asesoramiento 2200 - MENSUAL</v>
          </cell>
          <cell r="B34" t="str">
            <v>0.044</v>
          </cell>
        </row>
        <row r="35">
          <cell r="A35" t="str">
            <v>Contabilidad y Asesoramiento 2400 - MENSUAL</v>
          </cell>
          <cell r="B35" t="str">
            <v>0.045</v>
          </cell>
        </row>
        <row r="36">
          <cell r="A36" t="str">
            <v>Contabilidad y Asesoramiento 2600 - MENSUAL</v>
          </cell>
          <cell r="B36" t="str">
            <v>0.046</v>
          </cell>
        </row>
        <row r="37">
          <cell r="A37" t="str">
            <v>Contabilidad y Asesoramiento 2800 - MENSUAL</v>
          </cell>
          <cell r="B37" t="str">
            <v>0.047</v>
          </cell>
        </row>
        <row r="38">
          <cell r="A38" t="str">
            <v>Contabilidad y Asesoramiento 3000 - MENSUAL</v>
          </cell>
          <cell r="B38" t="str">
            <v>0.048</v>
          </cell>
        </row>
        <row r="39">
          <cell r="A39" t="str">
            <v>FLC (mensual) -</v>
          </cell>
          <cell r="B39" t="str">
            <v>0.057</v>
          </cell>
        </row>
        <row r="40">
          <cell r="A40" t="str">
            <v>Servicios Prestados a colaboradores (comisiones)</v>
          </cell>
          <cell r="B40" t="str">
            <v>0.059</v>
          </cell>
        </row>
        <row r="41">
          <cell r="A41" t="str">
            <v>LIBRO CONTABILIDAD MANUAL</v>
          </cell>
          <cell r="B41" t="str">
            <v>0.060</v>
          </cell>
        </row>
        <row r="42">
          <cell r="A42" t="str">
            <v>Modelo 415 -</v>
          </cell>
          <cell r="B42" t="str">
            <v>0.066</v>
          </cell>
        </row>
        <row r="43">
          <cell r="A43" t="str">
            <v>Modelo 411 Devolución</v>
          </cell>
          <cell r="B43" t="str">
            <v>0.067</v>
          </cell>
        </row>
        <row r="44">
          <cell r="A44" t="str">
            <v>Modelo 200 - Impuesto Sobre Sociedades 2024</v>
          </cell>
          <cell r="B44" t="str">
            <v>0.068</v>
          </cell>
        </row>
        <row r="45">
          <cell r="A45" t="str">
            <v>Modelo 200-mpuesto Sobre Sociedades - Sin Mov.
PONER 30% DE DESCUENTO - BORRAR ESTO</v>
          </cell>
          <cell r="B45" t="str">
            <v>0.069</v>
          </cell>
        </row>
        <row r="46">
          <cell r="A46" t="str">
            <v>Modelo 425 -</v>
          </cell>
          <cell r="B46" t="str">
            <v>0.070</v>
          </cell>
        </row>
        <row r="47">
          <cell r="A47" t="str">
            <v>Modelo 180 -</v>
          </cell>
          <cell r="B47" t="str">
            <v>0.071</v>
          </cell>
        </row>
        <row r="48">
          <cell r="A48" t="str">
            <v>Calendario Laboral 2026</v>
          </cell>
          <cell r="B48" t="str">
            <v>0.072</v>
          </cell>
        </row>
        <row r="49">
          <cell r="A49" t="str">
            <v>FLC (semestral)</v>
          </cell>
          <cell r="B49" t="str">
            <v>0.073</v>
          </cell>
        </row>
        <row r="50">
          <cell r="A50" t="str">
            <v>Cuentas Anuales - Confeccion y Tramitación RD 1514/2007 
-Balance
-Estado de Cambios patrimonio Neto
-Estado de Cambios Flujo de efectivo
-Memoria Ejercicio</v>
          </cell>
          <cell r="B50" t="str">
            <v>0.075</v>
          </cell>
        </row>
        <row r="51">
          <cell r="A51" t="str">
            <v>Modelo 410 -</v>
          </cell>
          <cell r="B51" t="str">
            <v>0.076</v>
          </cell>
        </row>
        <row r="52">
          <cell r="A52" t="str">
            <v>Declaración Patrimonio -</v>
          </cell>
          <cell r="B52" t="str">
            <v>0.077</v>
          </cell>
        </row>
        <row r="53">
          <cell r="A53" t="str">
            <v>Declaración Renta I.R.P.F. Ejercicio anterior -</v>
          </cell>
          <cell r="B53" t="str">
            <v>0.080</v>
          </cell>
        </row>
        <row r="54">
          <cell r="A54" t="str">
            <v>Comprobación de borrador -</v>
          </cell>
          <cell r="B54" t="str">
            <v>0.081</v>
          </cell>
        </row>
        <row r="55">
          <cell r="A55" t="str">
            <v>Declaración renta complementaria I.R.P.F -</v>
          </cell>
          <cell r="B55" t="str">
            <v>0.082</v>
          </cell>
        </row>
        <row r="56">
          <cell r="A56" t="str">
            <v>Declaración Renta complementaria Patrimonio -</v>
          </cell>
          <cell r="B56" t="str">
            <v>0.083</v>
          </cell>
        </row>
        <row r="57">
          <cell r="A57" t="str">
            <v>Declaracion Renta I.R.P.F. - Ejercicio 2025</v>
          </cell>
          <cell r="B57" t="str">
            <v>0.084</v>
          </cell>
        </row>
        <row r="58">
          <cell r="A58" t="str">
            <v>Cuentas anuales - Subsanación 2º envío falta firmar</v>
          </cell>
          <cell r="B58" t="str">
            <v>0.085</v>
          </cell>
        </row>
        <row r="59">
          <cell r="A59" t="str">
            <v>Modelo 555 -</v>
          </cell>
          <cell r="B59" t="str">
            <v>0.086</v>
          </cell>
        </row>
        <row r="60">
          <cell r="A60" t="str">
            <v>Modelo 557 -</v>
          </cell>
          <cell r="B60" t="str">
            <v>0.087</v>
          </cell>
        </row>
        <row r="61">
          <cell r="A61" t="str">
            <v>Modelo 558 -</v>
          </cell>
          <cell r="B61" t="str">
            <v>0.088</v>
          </cell>
        </row>
        <row r="62">
          <cell r="A62" t="str">
            <v>Modelo 561 -</v>
          </cell>
          <cell r="B62" t="str">
            <v>0.089</v>
          </cell>
        </row>
        <row r="63">
          <cell r="A63" t="str">
            <v>Modelo 562 -</v>
          </cell>
          <cell r="B63" t="str">
            <v>0.090</v>
          </cell>
        </row>
        <row r="64">
          <cell r="A64" t="str">
            <v>Modelo 563 -</v>
          </cell>
          <cell r="B64" t="str">
            <v>0.091</v>
          </cell>
        </row>
        <row r="65">
          <cell r="A65" t="str">
            <v>Modelo 282- Declaración anual informativa ayudas regionales a la inversión RIC</v>
          </cell>
          <cell r="B65" t="str">
            <v>0.092</v>
          </cell>
        </row>
        <row r="66">
          <cell r="A66" t="str">
            <v>RIC Formulario comunicación materialización inversiones anticipadas</v>
          </cell>
          <cell r="B66" t="str">
            <v>0.093</v>
          </cell>
        </row>
        <row r="67">
          <cell r="A67" t="str">
            <v>Nóminas no facturadas en el mes anterior</v>
          </cell>
          <cell r="B67" t="str">
            <v>0.095</v>
          </cell>
        </row>
        <row r="68">
          <cell r="A68" t="str">
            <v>Modelo 412 mensual I.S,</v>
          </cell>
          <cell r="B68" t="str">
            <v>0.096</v>
          </cell>
        </row>
        <row r="69">
          <cell r="A69" t="str">
            <v>Certificado retenciones -</v>
          </cell>
          <cell r="B69" t="str">
            <v>0.100</v>
          </cell>
        </row>
        <row r="70">
          <cell r="A70" t="str">
            <v>Atrasos Convenios -</v>
          </cell>
          <cell r="B70" t="str">
            <v>0.112</v>
          </cell>
        </row>
        <row r="71">
          <cell r="A71" t="str">
            <v>Modelo 046 -</v>
          </cell>
          <cell r="B71" t="str">
            <v>0.115</v>
          </cell>
        </row>
        <row r="72">
          <cell r="A72" t="str">
            <v>Prorrogas+ Registro INEM-</v>
          </cell>
          <cell r="B72" t="str">
            <v>0.117</v>
          </cell>
        </row>
        <row r="73">
          <cell r="A73" t="str">
            <v>Nominas Atrasos -</v>
          </cell>
          <cell r="B73" t="str">
            <v>0.118</v>
          </cell>
        </row>
        <row r="74">
          <cell r="A74" t="str">
            <v>Modelo 369 - Autoliquidación trimestral régimen de IVA especial</v>
          </cell>
          <cell r="B74" t="str">
            <v>0.121</v>
          </cell>
        </row>
        <row r="75">
          <cell r="A75" t="str">
            <v>Modelo 232 -Declaración anual informativa de las operaciones vinculadas.</v>
          </cell>
          <cell r="B75" t="str">
            <v>0.122</v>
          </cell>
        </row>
        <row r="76">
          <cell r="A76" t="str">
            <v>Modelo 583 -  Impuesto sobre el Valor de la Producción de la Energía Eléctrica Autoliquidación y Pagos fraccionados</v>
          </cell>
          <cell r="B76" t="str">
            <v>0.123</v>
          </cell>
        </row>
        <row r="77">
          <cell r="A77" t="str">
            <v>Modelo 184 -</v>
          </cell>
          <cell r="B77" t="str">
            <v>0.143</v>
          </cell>
        </row>
        <row r="78">
          <cell r="A78" t="str">
            <v>Cuentas Anuales - Sin Movimiento</v>
          </cell>
          <cell r="B78" t="str">
            <v>0.175</v>
          </cell>
        </row>
        <row r="79">
          <cell r="A79" t="str">
            <v>Gastos - EMPRESA</v>
          </cell>
          <cell r="B79" t="str">
            <v>0.200</v>
          </cell>
        </row>
        <row r="80">
          <cell r="A80" t="str">
            <v>Gastos - Cuentas Anuales 2024 Registro Mercantil, impresos, presentación</v>
          </cell>
          <cell r="B80" t="str">
            <v>0.201</v>
          </cell>
        </row>
        <row r="81">
          <cell r="A81" t="str">
            <v>Tasas Registro Mercantil por presentación Libro Contable Obligatorio Artículo 25 Codigo Comercio</v>
          </cell>
          <cell r="B81" t="str">
            <v>0.202</v>
          </cell>
        </row>
        <row r="82">
          <cell r="A82" t="str">
            <v>Suplido -</v>
          </cell>
          <cell r="B82" t="str">
            <v>0.203</v>
          </cell>
        </row>
        <row r="83">
          <cell r="A83" t="str">
            <v>Confección y presentación libro contable 2023 y tasas de presentación al Registro Mercantil -Obligatorio Artículo 25 Codigo Comercio</v>
          </cell>
          <cell r="B83" t="str">
            <v>0.204</v>
          </cell>
        </row>
        <row r="84">
          <cell r="A84" t="str">
            <v>Modelo 218 -</v>
          </cell>
          <cell r="B84" t="str">
            <v>0.218</v>
          </cell>
        </row>
        <row r="85">
          <cell r="A85" t="str">
            <v>Descuento .-</v>
          </cell>
          <cell r="B85" t="str">
            <v>0.220</v>
          </cell>
        </row>
        <row r="86">
          <cell r="A86" t="str">
            <v>Pagas Extras -</v>
          </cell>
          <cell r="B86" t="str">
            <v>0.221</v>
          </cell>
        </row>
        <row r="87">
          <cell r="A87" t="str">
            <v>Pagas Extras con embargo</v>
          </cell>
          <cell r="B87" t="str">
            <v>0.222</v>
          </cell>
        </row>
        <row r="88">
          <cell r="A88" t="str">
            <v>Modelo 416 -</v>
          </cell>
          <cell r="B88" t="str">
            <v>0.223</v>
          </cell>
        </row>
        <row r="89">
          <cell r="A89" t="str">
            <v>Planes de pensiones anexo de contrato</v>
          </cell>
          <cell r="B89" t="str">
            <v>0.224</v>
          </cell>
        </row>
        <row r="90">
          <cell r="A90" t="str">
            <v>Confección mensual Plan Pensiones VIDACAIXA</v>
          </cell>
          <cell r="B90" t="str">
            <v>0.225</v>
          </cell>
        </row>
        <row r="91">
          <cell r="A91" t="str">
            <v>Modelo 182 -</v>
          </cell>
          <cell r="B91" t="str">
            <v>0.238</v>
          </cell>
        </row>
        <row r="92">
          <cell r="A92" t="str">
            <v>Contratos de trabajo y Registro Inem -</v>
          </cell>
          <cell r="B92" t="str">
            <v>0.250</v>
          </cell>
        </row>
        <row r="93">
          <cell r="A93" t="str">
            <v>Alta trabajador TGSS. Por practicas no remuneradas</v>
          </cell>
          <cell r="B93" t="str">
            <v>0.251</v>
          </cell>
        </row>
        <row r="94">
          <cell r="A94" t="str">
            <v>Modelo 190 según nº trabajadores -</v>
          </cell>
          <cell r="B94" t="str">
            <v>0.260</v>
          </cell>
        </row>
        <row r="95">
          <cell r="A95" t="str">
            <v>Modelo 345 de resumen de fondo de pensiones.</v>
          </cell>
          <cell r="B95" t="str">
            <v>0.261</v>
          </cell>
        </row>
        <row r="96">
          <cell r="A96" t="str">
            <v>Solicitud Subvención Gobierno de Canarias dirigida al mantenimiento de la actividad  de personas trabajadoras autónomas y pequeñas y medianas empresas, de los sectores más afectados por la crisis derivada de la COVID-19 19, durante 7 meses.Decreto Ley 2/2021, 1 de marzo 2021.
A) Tramites realizados:
1. Solicitud modelo memoria de 7 páginas.
2. Verificación de estar al corriente en todos organismos.
3. Aportar, modelos 400, 420 de 2019 y 2020.
4. Alta terceros para cobro por banco.
5. Modelos 425, de2019 y 2020.
6. Modelos 130 ó 131 si corresponde.
7. Informe de plantilla de persona emitido por Tesorería S. Social.
B) Se realizará seguimiento de la subvención hasta la resolución de la misma. 
C) Una vez que la resolución sea favorable, se tramitará la justificación de la subvención y se facturará el 50% del importe actual del trámite.
Esta factura se remesará el día 25 de marzo del 2021</v>
          </cell>
          <cell r="B96" t="str">
            <v>0.300</v>
          </cell>
        </row>
        <row r="97">
          <cell r="A97" t="str">
            <v>Ayudas al Sector del Transporte por carreteras
En base al RDL 6/2022. (BOE30032022), aquellas empresas, que cumplan los siguientes requisitos:
1. Que la empresa tenga la actividad de transporte de alta.
2. Que los vehículos de los que disponga la empresa tengan autorización de transporte VDE, VT, VTC, VSE, MDPE.
3. Que a fecha 29 marzo 2022, se encuentren en alta en el Registro de Empresas y Actividades de Transporte.
Cumpliendo con estos requisitos y tras verificar que la empresa se encuentra al corriente con las Administraciones Públicas y verificado las tarjetas de transporte, se ha procedido a la presentación de la solicitud en plazo y forma.
Fecha de presentación: 04 abril de 2022.
Esta factura será remesada en día 25/04/2022, por cuenta bancaria habitual.</v>
          </cell>
          <cell r="B97" t="str">
            <v>0.302</v>
          </cell>
        </row>
        <row r="98">
          <cell r="A98" t="str">
            <v>V.0.</v>
          </cell>
          <cell r="B98" t="str">
            <v>1.000</v>
          </cell>
        </row>
        <row r="99">
          <cell r="A99" t="str">
            <v>Renovación Marca -</v>
          </cell>
          <cell r="B99" t="str">
            <v>1.002</v>
          </cell>
        </row>
        <row r="100">
          <cell r="A100" t="str">
            <v>Escritos Alegaciones -</v>
          </cell>
          <cell r="B100" t="str">
            <v>1.004</v>
          </cell>
        </row>
        <row r="101">
          <cell r="A101" t="str">
            <v>Envío correo / sms certificado</v>
          </cell>
          <cell r="B101" t="str">
            <v>1.005</v>
          </cell>
        </row>
        <row r="102">
          <cell r="A102" t="str">
            <v>Alta local/actividad -
- Modelo 036 alta Agencia Tributaria
- Modelo 400 alta Administración Tributaria Canaria
- Modelo TA7 alta Seguridad Social
- Libro visitas
- Apertura de centro
- Hojas de reclamaciones</v>
          </cell>
          <cell r="B102" t="str">
            <v>1.006</v>
          </cell>
        </row>
        <row r="103">
          <cell r="A103" t="str">
            <v>Baja actividad - 
Modelo 036 Agencia Tributaria
Modelo 400 Consejeria 
Modelo TA7 Seguridad Social</v>
          </cell>
          <cell r="B103" t="str">
            <v>1.008</v>
          </cell>
        </row>
        <row r="104">
          <cell r="A104" t="str">
            <v>Subrrogación contratos</v>
          </cell>
          <cell r="B104" t="str">
            <v>1.011</v>
          </cell>
        </row>
        <row r="105">
          <cell r="A105" t="str">
            <v>SANIDAD -</v>
          </cell>
          <cell r="B105" t="str">
            <v>1.012</v>
          </cell>
        </row>
        <row r="106">
          <cell r="A106" t="str">
            <v>Burofax Reclamación previa vía judicial -</v>
          </cell>
          <cell r="B106" t="str">
            <v>1.013</v>
          </cell>
        </row>
        <row r="107">
          <cell r="A107" t="str">
            <v>Solicitudes varias Catastro -</v>
          </cell>
          <cell r="B107" t="str">
            <v>1.015</v>
          </cell>
        </row>
        <row r="108">
          <cell r="A108" t="str">
            <v>Sanidad Comunicación Previa Empresas alimentarias de Comercio Menor Registro autonómico -</v>
          </cell>
          <cell r="B108" t="str">
            <v>1.017</v>
          </cell>
        </row>
        <row r="109">
          <cell r="A109" t="str">
            <v>Factura Electrónica</v>
          </cell>
          <cell r="B109" t="str">
            <v>1.019</v>
          </cell>
        </row>
        <row r="110">
          <cell r="A110" t="str">
            <v>Gestión documental del Portal de Acceso del Empleado "Bilky"</v>
          </cell>
          <cell r="B110" t="str">
            <v>1.022</v>
          </cell>
        </row>
        <row r="111">
          <cell r="A111" t="str">
            <v>Alta empresa - 
Mod 036 alta Agencia Tributaria
Mod 400 alta Consejeria 
Mod TA521 alta autónomo Seguridad Social
Ta7 alta en la Seguridad Social
Apertura de centro
Hojas de Reclamaciones
Libro de visitas</v>
          </cell>
          <cell r="B111" t="str">
            <v>1.023</v>
          </cell>
        </row>
        <row r="112">
          <cell r="A112" t="str">
            <v>Baja empresa -
Modelo 036 cese AGENCIA TRIBUTARIA 
Modelo 400 cese CONSEJERIA 
Modelo Ta7 cese SEGURIDAD SOCIAL
Modelo Ta521 cese AUTONOMO</v>
          </cell>
          <cell r="B112" t="str">
            <v>1.024</v>
          </cell>
        </row>
        <row r="113">
          <cell r="A113" t="str">
            <v>Camara de comercio -</v>
          </cell>
          <cell r="B113" t="str">
            <v>1.025</v>
          </cell>
        </row>
        <row r="114">
          <cell r="A114" t="str">
            <v>Registro empresas acreditadas(REA) INSCRIPCION / RENOVACION
-Solicitud certificados compañias Prevención
-Memoria y datos adjuntos
-Presentación solicitud telemática</v>
          </cell>
          <cell r="B114" t="str">
            <v>1.030</v>
          </cell>
        </row>
        <row r="115">
          <cell r="A115" t="str">
            <v>Registro Empresas Acreditadas (REA)- Certificado</v>
          </cell>
          <cell r="B115" t="str">
            <v>1.031</v>
          </cell>
        </row>
        <row r="116">
          <cell r="A116" t="str">
            <v>Renovacion Registro empresa Acreditadas (REA)
-Solicitud certificados compañias Prevención
-Memoria y datos adjuntos
-Presentación solicitud telemática</v>
          </cell>
          <cell r="B116" t="str">
            <v>1.032</v>
          </cell>
        </row>
        <row r="117">
          <cell r="A117" t="str">
            <v>Registro Empresas Acreditadas (REA) - RENOVACION</v>
          </cell>
          <cell r="B117" t="str">
            <v>1.034</v>
          </cell>
        </row>
        <row r="118">
          <cell r="A118" t="str">
            <v>Máquinas Recreativas -</v>
          </cell>
          <cell r="B118" t="str">
            <v>1.035</v>
          </cell>
        </row>
        <row r="119">
          <cell r="A119" t="str">
            <v>Parte de Accidente -</v>
          </cell>
          <cell r="B119" t="str">
            <v>1.036</v>
          </cell>
        </row>
        <row r="120">
          <cell r="A120" t="str">
            <v>ESCRITO PROCESO MONITORIO -</v>
          </cell>
          <cell r="B120" t="str">
            <v>1.037</v>
          </cell>
        </row>
        <row r="121">
          <cell r="A121" t="str">
            <v>Proceso Monitorio - (0-5000)</v>
          </cell>
          <cell r="B121" t="str">
            <v>1.038</v>
          </cell>
        </row>
        <row r="122">
          <cell r="A122" t="str">
            <v>Proceso Monitorio - (5000-10000)</v>
          </cell>
          <cell r="B122" t="str">
            <v>1.039</v>
          </cell>
        </row>
        <row r="123">
          <cell r="A123" t="str">
            <v>Proceso Monitorio - (10000-20000)</v>
          </cell>
          <cell r="B123" t="str">
            <v>1.040</v>
          </cell>
        </row>
        <row r="124">
          <cell r="A124" t="str">
            <v>Proceso Monitorio - (20000-30000)</v>
          </cell>
          <cell r="B124" t="str">
            <v>1.041</v>
          </cell>
        </row>
        <row r="125">
          <cell r="A125" t="str">
            <v>Confección factura de 1 a 30 minutos</v>
          </cell>
          <cell r="B125" t="str">
            <v>1.042</v>
          </cell>
        </row>
        <row r="126">
          <cell r="A126" t="str">
            <v>Confección factura de 1 a 2 horas</v>
          </cell>
          <cell r="B126" t="str">
            <v>1.043</v>
          </cell>
        </row>
        <row r="127">
          <cell r="A127" t="str">
            <v>Confección factura de 2 a 4 horas</v>
          </cell>
          <cell r="B127" t="str">
            <v>1.044</v>
          </cell>
        </row>
        <row r="128">
          <cell r="A128" t="str">
            <v>Registro Mercantil -</v>
          </cell>
          <cell r="B128" t="str">
            <v>1.045</v>
          </cell>
        </row>
        <row r="129">
          <cell r="A129" t="str">
            <v>Registro unico de alquiler de corta duración, en el Registro de la Propiedad</v>
          </cell>
          <cell r="B129" t="str">
            <v>1.046</v>
          </cell>
        </row>
        <row r="130">
          <cell r="A130" t="str">
            <v>Comunicación varias-</v>
          </cell>
          <cell r="B130" t="str">
            <v>1.047</v>
          </cell>
        </row>
        <row r="131">
          <cell r="A131" t="str">
            <v>Declaración responsable alquiler vacacional Gobierno de Canarias</v>
          </cell>
          <cell r="B131" t="str">
            <v>1.048</v>
          </cell>
        </row>
        <row r="132">
          <cell r="A132" t="str">
            <v>Registro de la Propiedad -</v>
          </cell>
          <cell r="B132" t="str">
            <v>1.049</v>
          </cell>
        </row>
        <row r="133">
          <cell r="A133" t="str">
            <v>Sistema de seguridad con certificado Wildcard (FNMT). Coste compartido 50% asesoría y 50% cliente.</v>
          </cell>
          <cell r="B133" t="str">
            <v>1.057</v>
          </cell>
        </row>
        <row r="134">
          <cell r="A134" t="str">
            <v>Varios</v>
          </cell>
          <cell r="B134" t="str">
            <v>1.058</v>
          </cell>
        </row>
        <row r="135">
          <cell r="A135" t="str">
            <v>Pre Contrato -</v>
          </cell>
          <cell r="B135" t="str">
            <v>1.059</v>
          </cell>
        </row>
        <row r="136">
          <cell r="A136" t="str">
            <v>Burofax Correo -</v>
          </cell>
          <cell r="B136" t="str">
            <v>1.079</v>
          </cell>
        </row>
        <row r="137">
          <cell r="A137" t="str">
            <v>Modelo 901-902-903 (catastro) -</v>
          </cell>
          <cell r="B137" t="str">
            <v>1.080</v>
          </cell>
        </row>
        <row r="138">
          <cell r="A138" t="str">
            <v>Hojas de Reclamacion consumo -</v>
          </cell>
          <cell r="B138" t="str">
            <v>1.082</v>
          </cell>
        </row>
        <row r="139">
          <cell r="A139" t="str">
            <v>Libros de Socios: confección, presentación</v>
          </cell>
          <cell r="B139" t="str">
            <v>1.083</v>
          </cell>
        </row>
        <row r="140">
          <cell r="A140" t="str">
            <v>Libros de actas -</v>
          </cell>
          <cell r="B140" t="str">
            <v>1.084</v>
          </cell>
        </row>
        <row r="141">
          <cell r="A141" t="str">
            <v>Turismo: alta, sellado y confección de lista de precio -</v>
          </cell>
          <cell r="B141" t="str">
            <v>1.087</v>
          </cell>
        </row>
        <row r="142">
          <cell r="A142" t="str">
            <v>Libro de Igic -</v>
          </cell>
          <cell r="B142" t="str">
            <v>1.113</v>
          </cell>
        </row>
        <row r="143">
          <cell r="A143" t="str">
            <v>Alta Industria -</v>
          </cell>
          <cell r="B143" t="str">
            <v>1.124</v>
          </cell>
        </row>
        <row r="144">
          <cell r="A144" t="str">
            <v>Proceso Monitorio - (10000-20000)</v>
          </cell>
          <cell r="B144" t="str">
            <v>1.136</v>
          </cell>
        </row>
        <row r="145">
          <cell r="A145" t="str">
            <v>Acuerdo transaccional despido</v>
          </cell>
          <cell r="B145" t="str">
            <v>1.155</v>
          </cell>
        </row>
        <row r="146">
          <cell r="A146" t="str">
            <v>Comunicación carta de despido -</v>
          </cell>
          <cell r="B146" t="str">
            <v>1.156</v>
          </cell>
        </row>
        <row r="147">
          <cell r="A147" t="str">
            <v>Comunicación Inicio expte. Sancionador</v>
          </cell>
          <cell r="B147" t="str">
            <v>1.157</v>
          </cell>
        </row>
        <row r="148">
          <cell r="A148" t="str">
            <v>Certificado últimas voluntades -</v>
          </cell>
          <cell r="B148" t="str">
            <v>1.158</v>
          </cell>
        </row>
        <row r="149">
          <cell r="A149" t="str">
            <v>Accidente de trabajo  de  a fecha           Confección y envío a la Mutua y  Autoridad Laboral.</v>
          </cell>
          <cell r="B149" t="str">
            <v>1.159</v>
          </cell>
        </row>
        <row r="150">
          <cell r="A150" t="str">
            <v>Consultas varias -</v>
          </cell>
          <cell r="B150" t="str">
            <v>1.160</v>
          </cell>
        </row>
        <row r="151">
          <cell r="A151" t="str">
            <v>Accidente de Trabajo Com. Urgentes 24h</v>
          </cell>
          <cell r="B151" t="str">
            <v>1.161</v>
          </cell>
        </row>
        <row r="152">
          <cell r="A152" t="str">
            <v>Libro de gastos e ingresos -</v>
          </cell>
          <cell r="B152" t="str">
            <v>1.174</v>
          </cell>
        </row>
        <row r="153">
          <cell r="A153" t="str">
            <v>Comunicación de vacaciones -</v>
          </cell>
          <cell r="B153" t="str">
            <v>1.180</v>
          </cell>
        </row>
        <row r="154">
          <cell r="A154" t="str">
            <v>Comunicación no supera periodo de prueba -</v>
          </cell>
          <cell r="B154" t="str">
            <v>1.182</v>
          </cell>
        </row>
        <row r="155">
          <cell r="A155" t="str">
            <v>Comunicación finalización trabajos/preaviso -</v>
          </cell>
          <cell r="B155" t="str">
            <v>1.187</v>
          </cell>
        </row>
        <row r="156">
          <cell r="A156" t="str">
            <v>Pago único -</v>
          </cell>
          <cell r="B156" t="str">
            <v>1.204</v>
          </cell>
        </row>
        <row r="157">
          <cell r="A157" t="str">
            <v>Solicitud Patentes y Marcas -</v>
          </cell>
          <cell r="B157" t="str">
            <v>1.219</v>
          </cell>
        </row>
        <row r="158">
          <cell r="A158" t="str">
            <v>Comunicación amonestación -</v>
          </cell>
          <cell r="B158" t="str">
            <v>1.235</v>
          </cell>
        </row>
        <row r="159">
          <cell r="A159" t="str">
            <v>Nomina coste -</v>
          </cell>
          <cell r="B159" t="str">
            <v>1.237</v>
          </cell>
        </row>
        <row r="160">
          <cell r="A160" t="str">
            <v>Solicitud residuos no peligrosos (NIMA)-</v>
          </cell>
          <cell r="B160" t="str">
            <v>1.243</v>
          </cell>
        </row>
        <row r="161">
          <cell r="A161" t="str">
            <v>Registro de contrato de trabajo en INEM -</v>
          </cell>
          <cell r="B161" t="str">
            <v>1.248</v>
          </cell>
        </row>
        <row r="162">
          <cell r="A162" t="str">
            <v>Anulación contratos trabajo -</v>
          </cell>
          <cell r="B162" t="str">
            <v>1.252</v>
          </cell>
        </row>
        <row r="163">
          <cell r="A163" t="str">
            <v>Modificación registro contrato de trabajo -</v>
          </cell>
          <cell r="B163" t="str">
            <v>1.253</v>
          </cell>
        </row>
        <row r="164">
          <cell r="A164" t="str">
            <v>Certificado de inscripción de apoderamiento Apud Acta en el Archivo Electronico de Apoderamientos judiciales</v>
          </cell>
          <cell r="B164" t="str">
            <v>10.002</v>
          </cell>
        </row>
        <row r="165">
          <cell r="A165" t="str">
            <v>Ampliación de capital -</v>
          </cell>
          <cell r="B165" t="str">
            <v>10.040</v>
          </cell>
        </row>
        <row r="166">
          <cell r="A166" t="str">
            <v>Ampliación objeto social -</v>
          </cell>
          <cell r="B166" t="str">
            <v>10.041</v>
          </cell>
        </row>
        <row r="167">
          <cell r="A167" t="str">
            <v>Cambio administrador -</v>
          </cell>
          <cell r="B167" t="str">
            <v>10.042</v>
          </cell>
        </row>
        <row r="168">
          <cell r="A168" t="str">
            <v>Cambio domicilio social -</v>
          </cell>
          <cell r="B168" t="str">
            <v>10.043</v>
          </cell>
        </row>
        <row r="169">
          <cell r="A169" t="str">
            <v>Cambio denominación social -</v>
          </cell>
          <cell r="B169" t="str">
            <v>10.044</v>
          </cell>
        </row>
        <row r="170">
          <cell r="A170" t="str">
            <v>Compra-venta participaciones -</v>
          </cell>
          <cell r="B170" t="str">
            <v>10.047</v>
          </cell>
        </row>
        <row r="171">
          <cell r="A171" t="str">
            <v>Disolución y liquidación -</v>
          </cell>
          <cell r="B171" t="str">
            <v>10.048</v>
          </cell>
        </row>
        <row r="172">
          <cell r="A172" t="str">
            <v>Notaria -</v>
          </cell>
          <cell r="B172" t="str">
            <v>10.059</v>
          </cell>
        </row>
        <row r="173">
          <cell r="A173" t="str">
            <v>Registro Mercantil denominación nombre -</v>
          </cell>
          <cell r="B173" t="str">
            <v>10.099</v>
          </cell>
        </row>
        <row r="174">
          <cell r="A174" t="str">
            <v>Contrato Privado -</v>
          </cell>
          <cell r="B174" t="str">
            <v>10.133</v>
          </cell>
        </row>
        <row r="175">
          <cell r="A175" t="str">
            <v>Constitución entidad mercantil -</v>
          </cell>
          <cell r="B175" t="str">
            <v>10.140</v>
          </cell>
        </row>
        <row r="176">
          <cell r="A176" t="str">
            <v>Tarjertas transporte -</v>
          </cell>
          <cell r="B176" t="str">
            <v>11.041</v>
          </cell>
        </row>
        <row r="177">
          <cell r="A177" t="str">
            <v>Tarjetas transporte renovación -</v>
          </cell>
          <cell r="B177" t="str">
            <v>11.104</v>
          </cell>
        </row>
        <row r="178">
          <cell r="A178" t="str">
            <v>Baja de vehiculo -</v>
          </cell>
          <cell r="B178" t="str">
            <v>11.123</v>
          </cell>
        </row>
        <row r="179">
          <cell r="A179" t="str">
            <v>Visado -</v>
          </cell>
          <cell r="B179" t="str">
            <v>11.246</v>
          </cell>
        </row>
        <row r="180">
          <cell r="A180" t="str">
            <v>Certificados varios -</v>
          </cell>
          <cell r="B180" t="str">
            <v>12.025</v>
          </cell>
        </row>
        <row r="181">
          <cell r="A181" t="str">
            <v>Devolución de ingresos indebidos -</v>
          </cell>
          <cell r="B181" t="str">
            <v>12.029</v>
          </cell>
        </row>
        <row r="182">
          <cell r="A182" t="str">
            <v>Licencia -</v>
          </cell>
          <cell r="B182" t="str">
            <v>12.034</v>
          </cell>
        </row>
        <row r="183">
          <cell r="A183" t="str">
            <v>Informe urbanístico -</v>
          </cell>
          <cell r="B183" t="str">
            <v>12.106</v>
          </cell>
        </row>
        <row r="184">
          <cell r="A184" t="str">
            <v>Licencia de apertura aportación -</v>
          </cell>
          <cell r="B184" t="str">
            <v>12.108</v>
          </cell>
        </row>
        <row r="185">
          <cell r="A185" t="str">
            <v>Escrito alegaciones -</v>
          </cell>
          <cell r="B185" t="str">
            <v>12.137</v>
          </cell>
        </row>
        <row r="186">
          <cell r="A186" t="str">
            <v>Licencia Apertura transmisión -</v>
          </cell>
          <cell r="B186" t="str">
            <v>12.201</v>
          </cell>
        </row>
        <row r="187">
          <cell r="A187" t="str">
            <v>Informes BANCOS -</v>
          </cell>
          <cell r="B187" t="str">
            <v>13.007</v>
          </cell>
        </row>
        <row r="188">
          <cell r="A188" t="str">
            <v>Acta Constitución -</v>
          </cell>
          <cell r="B188" t="str">
            <v>13.008</v>
          </cell>
        </row>
        <row r="189">
          <cell r="A189" t="str">
            <v>Acta aprobación Cuentas Anuales -</v>
          </cell>
          <cell r="B189" t="str">
            <v>13.009</v>
          </cell>
        </row>
        <row r="190">
          <cell r="A190" t="str">
            <v>Acta otras -</v>
          </cell>
          <cell r="B190" t="str">
            <v>13.010</v>
          </cell>
        </row>
        <row r="191">
          <cell r="A191" t="str">
            <v>Informes/Cierres/Varios -</v>
          </cell>
          <cell r="B191" t="str">
            <v>13.012</v>
          </cell>
        </row>
        <row r="192">
          <cell r="A192" t="str">
            <v>Supervisión de Libros de IGIC trimestral -</v>
          </cell>
          <cell r="B192" t="str">
            <v>13.013</v>
          </cell>
        </row>
        <row r="193">
          <cell r="A193" t="str">
            <v>2º Informe verificación correcciones cierre -</v>
          </cell>
          <cell r="B193" t="str">
            <v>13.014</v>
          </cell>
        </row>
        <row r="194">
          <cell r="A194" t="str">
            <v>Cierre contable -</v>
          </cell>
          <cell r="B194" t="str">
            <v>13.019</v>
          </cell>
        </row>
        <row r="195">
          <cell r="A195" t="str">
            <v>Trámites varios autónomos</v>
          </cell>
          <cell r="B195" t="str">
            <v>13.058</v>
          </cell>
        </row>
        <row r="196">
          <cell r="A196" t="str">
            <v>Cierre contable trimestral -</v>
          </cell>
          <cell r="B196" t="str">
            <v>13.230</v>
          </cell>
        </row>
        <row r="197">
          <cell r="A197" t="str">
            <v>Comunicación de embargo - Nombre      Organismo</v>
          </cell>
          <cell r="B197" t="str">
            <v>14.030</v>
          </cell>
        </row>
        <row r="198">
          <cell r="A198" t="str">
            <v>Embargos de credito (departamento de contabilidad eliminar texto)</v>
          </cell>
          <cell r="B198" t="str">
            <v>14.031</v>
          </cell>
        </row>
        <row r="199">
          <cell r="A199" t="str">
            <v>Encuestas varias -</v>
          </cell>
          <cell r="B199" t="str">
            <v>15.032</v>
          </cell>
        </row>
        <row r="200">
          <cell r="A200" t="str">
            <v>Encuesta indice costes laborales -</v>
          </cell>
          <cell r="B200" t="str">
            <v>15.109</v>
          </cell>
        </row>
        <row r="201">
          <cell r="A201" t="str">
            <v>Encuesta sector servicios -</v>
          </cell>
          <cell r="B201" t="str">
            <v>15.176</v>
          </cell>
        </row>
        <row r="202">
          <cell r="A202" t="str">
            <v>Encuesta industria construcción -</v>
          </cell>
          <cell r="B202" t="str">
            <v>15.216</v>
          </cell>
        </row>
        <row r="203">
          <cell r="A203" t="str">
            <v>Encuestra estructura salarial -</v>
          </cell>
          <cell r="B203" t="str">
            <v>15.245</v>
          </cell>
        </row>
        <row r="204">
          <cell r="A204" t="str">
            <v>Pre.contrato -</v>
          </cell>
          <cell r="B204" t="str">
            <v>16.114</v>
          </cell>
        </row>
        <row r="205">
          <cell r="A205" t="str">
            <v>Extranjero solicitud -</v>
          </cell>
          <cell r="B205" t="str">
            <v>16.129</v>
          </cell>
        </row>
        <row r="206">
          <cell r="A206" t="str">
            <v>Regularización extranjeros -</v>
          </cell>
          <cell r="B206" t="str">
            <v>16.161</v>
          </cell>
        </row>
        <row r="207">
          <cell r="A207" t="str">
            <v>Escrito baja trabajador regularizado -</v>
          </cell>
          <cell r="B207" t="str">
            <v>16.171</v>
          </cell>
        </row>
        <row r="208">
          <cell r="A208" t="str">
            <v>Recurso ordinario  - Minimo</v>
          </cell>
          <cell r="B208" t="str">
            <v>16.250</v>
          </cell>
        </row>
        <row r="209">
          <cell r="A209" t="str">
            <v>Solicitud de Subvención Empleo Autónomo del Gobierno de Canarias, Publicado en el Boletín Oficial de Canarias el 10/02/2025 la Orden 36/2025, de 27 de enero, por la que se aprueban las Bases Reguladoras. El extracto de la convocatoria se publica en el Boletín Oficial de Canarias nº 60, de 26/03/2025. Solicitud presentada 27/03/2025 y se acompaña los documentos que se detallas a continuación:
-Certificados IAE
-Certificados de estar al corriente 
-Vida laboral
-Informe de datos del autonomo
-Certificado de actividades en TGSS
-Alta de terceros</v>
          </cell>
          <cell r="B209" t="str">
            <v>17.001</v>
          </cell>
        </row>
        <row r="210">
          <cell r="A210" t="str">
            <v>Actualización de la base de cotización y cuota del RETA según el Real Decreto Ley 13/2022 del 26 de julio. Trámites realizados:
1. Consulta y estudio de la renta 2024 y estimación actual 2025. 
2. Consulta de la base de cotización y cuota actual 2025.
3. Cálculo de rendimiento neto a informar a la TGSS.
4. Modificación de base de cotización e información del rendimiento neto 2025.</v>
          </cell>
          <cell r="B210" t="str">
            <v>17.002</v>
          </cell>
        </row>
        <row r="211">
          <cell r="A211" t="str">
            <v>Actualización de la base de cotización y cuota del RETA según el Real Decreto Ley 13/2022 del 26 de julio. Trámites realizados:
1. Consulta y estudio de la renta 2024 y estimación actual 2025. 
2. Consulta de la base de cotización y cuota actual 2025.
3. Cálculo de rendimiento neto a informar a la TGSS.</v>
          </cell>
          <cell r="B211" t="str">
            <v>17.005</v>
          </cell>
        </row>
        <row r="212">
          <cell r="A212" t="str">
            <v xml:space="preserve">Subvenciones Iniciativas para el mantenimiento del autoempleo y del empleo por cuenta ajena (C23I4-MRR). CERTIFICATE
</v>
          </cell>
          <cell r="B212" t="str">
            <v>17.040</v>
          </cell>
        </row>
        <row r="213">
          <cell r="A213" t="str">
            <v>Subvención - Incentivos para la contratación personal EVENTUAL. 2ª CONVOCATORIA   
15% descuento</v>
          </cell>
          <cell r="B213" t="str">
            <v>17.042</v>
          </cell>
        </row>
        <row r="214">
          <cell r="A214" t="str">
            <v>Solicitud tramitación Subvención para la financiación de nuevos prouectos territoriales para el equilibrio y la equidad en emprendimiento y microempresa, en le marco de plan de recuperación, transformación y resiliencia.
1) Solicitud subvención
2) Verificación de estar al corriente en todos los organismos.
3)Informe de trabajadores en alta emitido por la Seguridad Social.
4) Informe plantilla de personal emitido por Tesoreria General de la Seguridad Social.
5) Presentación 
6) Seguimiento
Se facturará un 8% de la cuota recibida tras la resolución y justificacion.
Esta factura sera remesada el proximo dia 10/03/22</v>
          </cell>
          <cell r="B214" t="str">
            <v>17.044</v>
          </cell>
        </row>
        <row r="215">
          <cell r="A215" t="str">
            <v>Justificación Subvención e apoyo a la solvencia empresarial.
- Documentar el cumplimiento de los requisitos exigidos.
- Encontrarse al corriente ante la Seguridad Social
- Encontrarse al corriente ante la Agencia Tributaria.
- Justificar que la actividad se mantiene de alta.
- Justificar que no existe reparto de dividendos.
-Justificar que no existe incremento en las retribuciones de los administradores.</v>
          </cell>
          <cell r="B215" t="str">
            <v>17.045</v>
          </cell>
        </row>
        <row r="216">
          <cell r="A216" t="str">
            <v>Justificación Subvención Mantenimiento de Empleo
-Seguimiento realización curso online.
-Pasado el periodo de 4 meses justificación de la subvención
-Realización de declaraciones responsables.
-Expedicion y entrega al organimos de certificados de estar al corriente.
- Entrega al organismo de certificicado de realización del curso.
- Entrega al organismo de certificado de alta en el RETA.
-Entrega al oraganimos de informe plantilla de alta</v>
          </cell>
          <cell r="B216" t="str">
            <v>17.046</v>
          </cell>
        </row>
        <row r="217">
          <cell r="A217" t="str">
            <v>Aportación documentación -</v>
          </cell>
          <cell r="B217" t="str">
            <v>17.050</v>
          </cell>
        </row>
        <row r="218">
          <cell r="A218" t="str">
            <v>Presentación subvención mantenimiento de autoempleo o empleo por cuenta ajena</v>
          </cell>
          <cell r="B218" t="str">
            <v>17.051</v>
          </cell>
        </row>
        <row r="219">
          <cell r="A219" t="str">
            <v>Justificación subvención -
1) Comprobar pago pendiente proveedores y acreedores, por orden de antigüedad.
2) Comprobación pago de deudas y reducción nominal de deudas bancarias.
3) Costes fijos inclurridos no cubiertos.
4) Declaración responsable en modelo normalizado
5) Detalle de otros ingresos o subvenciones que haya financiado la actividad.
Resolución nº1002/2021 de fecha 12/12/2021
Importe concedido 14.764,37 eurosx3% = 442,93 euros
Esta factura será remesada el 10/01/22 en su cuenta bancaria habitual</v>
          </cell>
          <cell r="B219" t="str">
            <v>17.233</v>
          </cell>
        </row>
        <row r="220">
          <cell r="A220" t="str">
            <v>Solicitud de alta urgente    Fecha:</v>
          </cell>
          <cell r="B220" t="str">
            <v>18.223</v>
          </cell>
        </row>
        <row r="221">
          <cell r="A221" t="str">
            <v>Anulación alta trabajadores -</v>
          </cell>
          <cell r="B221" t="str">
            <v>18.224</v>
          </cell>
        </row>
        <row r="222">
          <cell r="A222" t="str">
            <v>Anulacion nominas</v>
          </cell>
          <cell r="B222" t="str">
            <v>18.225</v>
          </cell>
        </row>
        <row r="223">
          <cell r="A223" t="str">
            <v>Actualización Trimestral -</v>
          </cell>
          <cell r="B223" t="str">
            <v>19.015</v>
          </cell>
        </row>
        <row r="224">
          <cell r="A224" t="str">
            <v>ITA -</v>
          </cell>
          <cell r="B224" t="str">
            <v>2.001</v>
          </cell>
        </row>
        <row r="225">
          <cell r="A225" t="str">
            <v>Varios SS.SS -</v>
          </cell>
          <cell r="B225" t="str">
            <v>2.003</v>
          </cell>
        </row>
        <row r="226">
          <cell r="A226" t="str">
            <v>Solicitud cambio cuenta bancaria domiciliación autonomo -</v>
          </cell>
          <cell r="B226" t="str">
            <v>2.004</v>
          </cell>
        </row>
        <row r="227">
          <cell r="A227" t="str">
            <v>Altas y bajas representantes de comercio -</v>
          </cell>
          <cell r="B227" t="str">
            <v>2.006</v>
          </cell>
        </row>
        <row r="228">
          <cell r="A228" t="str">
            <v>Solicitud prestación ceses actividad autónomos- MUTUA        DOCUMENTOS</v>
          </cell>
          <cell r="B228" t="str">
            <v>2.008</v>
          </cell>
        </row>
        <row r="229">
          <cell r="A229" t="str">
            <v>Autorización certificado Seguridad Social art.42 (subcontratas) -</v>
          </cell>
          <cell r="B229" t="str">
            <v>2.009</v>
          </cell>
        </row>
        <row r="230">
          <cell r="A230" t="str">
            <v>Aviso notificación Seguridad Social -
AÑADIR 20% DE DESCUENTO Y BORRAR ESTO</v>
          </cell>
          <cell r="B230" t="str">
            <v>2.011</v>
          </cell>
        </row>
        <row r="231">
          <cell r="A231" t="str">
            <v>Cuota mensual:
- Autorizaciones certificados Seg. Social art 42
- ITA- informe alta trabajadores
- informes vida laboral empresa
- Aviso notificaciones Seguridad Social</v>
          </cell>
          <cell r="B231" t="str">
            <v>2.013</v>
          </cell>
        </row>
        <row r="232">
          <cell r="A232" t="str">
            <v>Reclamación deuda -</v>
          </cell>
          <cell r="B232" t="str">
            <v>2.029</v>
          </cell>
        </row>
        <row r="233">
          <cell r="A233" t="str">
            <v>Baja Voluntaria -</v>
          </cell>
          <cell r="B233" t="str">
            <v>2.058</v>
          </cell>
        </row>
        <row r="234">
          <cell r="A234" t="str">
            <v>Modelo TC1 diferencias -</v>
          </cell>
          <cell r="B234" t="str">
            <v>2.091</v>
          </cell>
        </row>
        <row r="235">
          <cell r="A235" t="str">
            <v>Solicitud I.T.enfermedad/accidentes -</v>
          </cell>
          <cell r="B235" t="str">
            <v>2.092</v>
          </cell>
        </row>
        <row r="236">
          <cell r="A236" t="str">
            <v>Solicitud pensión y jubilación -</v>
          </cell>
          <cell r="B236" t="str">
            <v>2.093</v>
          </cell>
        </row>
        <row r="237">
          <cell r="A237" t="str">
            <v>Certificado SS.SS. Regimén General -Fecha  Estado positivo</v>
          </cell>
          <cell r="B237" t="str">
            <v>2.094</v>
          </cell>
        </row>
        <row r="238">
          <cell r="A238" t="str">
            <v>Certificado Autonomo -</v>
          </cell>
          <cell r="B238" t="str">
            <v>2.095</v>
          </cell>
        </row>
        <row r="239">
          <cell r="A239" t="str">
            <v>Informe Vida Laboral -</v>
          </cell>
          <cell r="B239" t="str">
            <v>2.130</v>
          </cell>
        </row>
        <row r="240">
          <cell r="A240" t="str">
            <v>Modificación datos Seguridad Social -</v>
          </cell>
          <cell r="B240" t="str">
            <v>2.131</v>
          </cell>
        </row>
        <row r="241">
          <cell r="A241" t="str">
            <v>Licencia utilización Portal Laboral - Bilky (subida de nóminas y documentación)</v>
          </cell>
          <cell r="B241" t="str">
            <v>2.132</v>
          </cell>
        </row>
        <row r="242">
          <cell r="A242" t="str">
            <v>Informe de plantilla media -</v>
          </cell>
          <cell r="B242" t="str">
            <v>2.133</v>
          </cell>
        </row>
        <row r="243">
          <cell r="A243" t="str">
            <v>Consulta laboral -</v>
          </cell>
          <cell r="B243" t="str">
            <v>2.142</v>
          </cell>
        </row>
        <row r="244">
          <cell r="A244" t="str">
            <v>Solicitud residuos no peligrosos NIMA</v>
          </cell>
          <cell r="B244" t="str">
            <v>2.143</v>
          </cell>
        </row>
        <row r="245">
          <cell r="A245" t="str">
            <v>Solicitud I.T.Autonomo -</v>
          </cell>
          <cell r="B245" t="str">
            <v>2.144</v>
          </cell>
        </row>
        <row r="246">
          <cell r="A246" t="str">
            <v>Solicitud I.T. maternidad/paternidad -</v>
          </cell>
          <cell r="B246" t="str">
            <v>2.145</v>
          </cell>
        </row>
        <row r="247">
          <cell r="A247" t="str">
            <v>Certificados Varios -</v>
          </cell>
          <cell r="B247" t="str">
            <v>2.148</v>
          </cell>
        </row>
        <row r="248">
          <cell r="A248" t="str">
            <v>Aplazamiento deuda Seguridad Social-
1. Solicitud inicial. 
2. Acuse recibió Notificación de electrónicas de S. Social. 
3. Envío notificación a empresa, de solicitud 
4. Apertura de expediente de control. 
5. Verificación diaria de Buzón, en espera de Respuesta. 
6. Recepción de Resolución admitida, buzón Asesoría. 
7. Recepción información pago cuota obrero inaplazable. 
8. Verificación de Resolución de importe Cuota obrera. 
9. Carta Paga de Cuota, hay enviar a pyme para su pago 
10. Recepción documento de pago, y posterior envío a Sede, para verificación. 
11. Recibimos Hoja de Amortización, con detalle vencimiento. 
12. Envío a la pyme de Hoja Amortización. 
13. Cada nueva anualidad, solicitar nueva Amortización. 
14. Seguimiento de pago y actualización de fraccionamiento. 
15. Tiempo estimado de Resolución mínimo un mes (antes de coronavirus). 
16. Plazo máximo para solicitar aplazamiento, día 7 de cada mes</v>
          </cell>
          <cell r="B248" t="str">
            <v>2.154</v>
          </cell>
        </row>
        <row r="249">
          <cell r="A249" t="str">
            <v>Devolución Ingresos Indebidos -</v>
          </cell>
          <cell r="B249" t="str">
            <v>2.162</v>
          </cell>
        </row>
        <row r="250">
          <cell r="A250" t="str">
            <v>Baja autónomo -</v>
          </cell>
          <cell r="B250" t="str">
            <v>2.163</v>
          </cell>
        </row>
        <row r="251">
          <cell r="A251" t="str">
            <v>Tarifa Plana - Prolongación/Renuncia</v>
          </cell>
          <cell r="B251" t="str">
            <v>2.164</v>
          </cell>
        </row>
        <row r="252">
          <cell r="A252" t="str">
            <v>Boletin autónomo -</v>
          </cell>
          <cell r="B252" t="str">
            <v>2.172</v>
          </cell>
        </row>
        <row r="253">
          <cell r="A253" t="str">
            <v>Cancelación deuda -</v>
          </cell>
          <cell r="B253" t="str">
            <v>2.177</v>
          </cell>
        </row>
        <row r="254">
          <cell r="A254" t="str">
            <v>Baja patronal -</v>
          </cell>
          <cell r="B254" t="str">
            <v>2.178</v>
          </cell>
        </row>
        <row r="255">
          <cell r="A255" t="str">
            <v>Alta empleada del hogar -</v>
          </cell>
          <cell r="B255" t="str">
            <v>2.182</v>
          </cell>
        </row>
        <row r="256">
          <cell r="A256" t="str">
            <v>Baja empleada del hogar -</v>
          </cell>
          <cell r="B256" t="str">
            <v>2.194</v>
          </cell>
        </row>
        <row r="257">
          <cell r="A257" t="str">
            <v>Escritos alegaciones -</v>
          </cell>
          <cell r="B257" t="str">
            <v>2.207</v>
          </cell>
        </row>
        <row r="258">
          <cell r="A258" t="str">
            <v>Reclamación diferencias TC1 -</v>
          </cell>
          <cell r="B258" t="str">
            <v>2.208</v>
          </cell>
        </row>
        <row r="259">
          <cell r="A259" t="str">
            <v>TC1 rectificativo/complementario dirigido a la Seguridad Social</v>
          </cell>
          <cell r="B259" t="str">
            <v>2.209</v>
          </cell>
        </row>
        <row r="260">
          <cell r="A260" t="str">
            <v>Apertura patronal -</v>
          </cell>
          <cell r="B260" t="str">
            <v>2.212</v>
          </cell>
        </row>
        <row r="261">
          <cell r="A261" t="str">
            <v>Alta autónomo -</v>
          </cell>
          <cell r="B261" t="str">
            <v>2.213</v>
          </cell>
        </row>
        <row r="262">
          <cell r="A262" t="str">
            <v>Costes sociales -</v>
          </cell>
          <cell r="B262" t="str">
            <v>2.226</v>
          </cell>
        </row>
        <row r="263">
          <cell r="A263" t="str">
            <v>BONIFICADO AL 50% Accidente sin baja - Nombre:            Fecha:</v>
          </cell>
          <cell r="B263" t="str">
            <v>2.228</v>
          </cell>
        </row>
        <row r="264">
          <cell r="A264" t="str">
            <v>Alta trabajadores bonificados -</v>
          </cell>
          <cell r="B264" t="str">
            <v>2.256</v>
          </cell>
        </row>
        <row r="265">
          <cell r="A265" t="str">
            <v>TC1 según nº trabajadores -</v>
          </cell>
          <cell r="B265" t="str">
            <v>2.257</v>
          </cell>
        </row>
        <row r="266">
          <cell r="A266" t="str">
            <v>TC1 según centro de trabajo -</v>
          </cell>
          <cell r="B266" t="str">
            <v>2.258</v>
          </cell>
        </row>
        <row r="267">
          <cell r="A267" t="str">
            <v>Finiquitos -</v>
          </cell>
          <cell r="B267" t="str">
            <v>2.261</v>
          </cell>
        </row>
        <row r="268">
          <cell r="A268" t="str">
            <v>Inaplicación Salarial -
a)TRAMITES A REALIZAR:
 1)Estudio y confección de estadísticas.
 2)Memoria explicativa 
 3)Confección acta de Apertura
 4)Detalle de las medidas propuestas.
 5)Confección acta de acuerdo.
 6)Confección de acta de creación comisión negociadora.
 7)Confección de acta de delegación del trámite.
 8)Justificación de las causas económicas, técnicas, organizativas o productivas que motivan el procedimiento.
 9) Informe técnico sobre la situación económica y financiera de la empresa. Este informe se acompañará de la documentación precisa (balances, cuentas de resultados, declaración impuesto de sociedades y, en su caso, informe de auditores).
b)CONCEPTOS DE AHORRO:
 1)Ahorro en bolsa de vacaciones y cotizaciones
 2)Ahorro en minoración de retribución SMI y cotizaciones.</v>
          </cell>
          <cell r="B268" t="str">
            <v>20.001</v>
          </cell>
        </row>
        <row r="269">
          <cell r="A269" t="str">
            <v>Registro Sanitario de Comercio Menor -</v>
          </cell>
          <cell r="B269" t="str">
            <v>20.002</v>
          </cell>
        </row>
        <row r="270">
          <cell r="A270" t="str">
            <v>Confección y tramitación de expediente regulador temporal de empleo:
a) Comunicando fecha inicio a los trabajadores 
b) Comunicación de inicio a la autoridad Laboral, y preparación de toda la documentación propia del expediente.
c) Remisión a Sede electrónica del Gobierno de Canarias
d) Elaboración de Informe.
e) Elaboración de dossier documental para aportación con Justificación
f) Elaboración de "criterio" de Expediente.
g) Recepción de resolución autoridad Laboral, y estudio.
h) Emisión de bajas de trabajadores
i) Comunicación a la Tesorería General de bajas empresa cuando correspondan.
j) Confección de Certificados de Empresa para emisión al SEPE.
k) Confección de documento de Autoridad Laboral autorizando, para trabajadores.
l)Tramites de datos individuales por trabajador que se tienen que gestionar por el Despacho, y posterior envío Telemático,  en modo masivo.
m) Envíos de bajas a la Tesorería General Seguridad Social
n) Envíos de Altas como solicitud de Prestaciones de desempleo, SEPE
ñ) Envíos de Certificados de Empresa al SEPE
o) Declaración Jurada al SEPE de presentación y representación de los trabajadores para envío de solicitud de desempleo.
p) Verificación de Vida Laboral de personas en Alta, una vez tramitado las Bajas en Tesorería General de la Seguridad Social.</v>
          </cell>
          <cell r="B270" t="str">
            <v>20.004</v>
          </cell>
        </row>
        <row r="271">
          <cell r="A271" t="str">
            <v>CANAL DE DENUNCIAS
Recepción de comunicaciones, e inicio de expediente;
1.  Recepción, acuse, inscripción en registro, y comunicación empresa.
2.  Estudio inicial, y propuestas a realizar,
3.  Verificación de necesidad Estudio previo de Profesionales expertos en materia
4.  Presupuesto previo de instrucción, hasta resolución.
5.  Cumplimiento de plazos.
6.  Manifestar los Derechos de los informantes, y de los posibles afectados.
7.  Protección de datos de carácter personal.</v>
          </cell>
          <cell r="B271" t="str">
            <v>20.010</v>
          </cell>
        </row>
        <row r="272">
          <cell r="A272" t="str">
            <v>PROTOCOLO ACOSO
1.Elaboración de protocolo.
2.Remisión al cliente para su firma.
3.Remisión y registro de protocolo firmado por todos los trabajadores en el organismo competente.</v>
          </cell>
          <cell r="B272" t="str">
            <v>20.011</v>
          </cell>
        </row>
        <row r="273">
          <cell r="A273" t="str">
            <v>Modelo 435 - Impuesto sobre combustible</v>
          </cell>
          <cell r="B273" t="str">
            <v>3.004</v>
          </cell>
        </row>
        <row r="274">
          <cell r="A274" t="str">
            <v>Recurso de alzada -</v>
          </cell>
          <cell r="B274" t="str">
            <v>3.005</v>
          </cell>
        </row>
        <row r="275">
          <cell r="A275" t="str">
            <v>Rercurso ordinario -</v>
          </cell>
          <cell r="B275" t="str">
            <v>3.006</v>
          </cell>
        </row>
        <row r="276">
          <cell r="A276" t="str">
            <v>Clasificación Empresarial - OBRAS ADAPTACION A NUEVA NORMATIVA
1) Solicitud
2) Anexo 1. Características jurídicas del operador económico.
3) Anexo 2. Organización del Operador económico.
4) Anexo 3. Medios financieros del operador económico.
5) Anexo 4. Medios personales del operador económico.
6) Anexo 5. Medios materiales para la ejecución de obras.
7) Anexo 6. Experiencia en obras. (realizado por empresa)
8) Aportar certificados experiencia.
9) Escritura de constitución.
10)Documentación acreditativa de no estar incurso en alguna de las prohibiciones para contratatar con la Administracion señaladas en la legislacion de contratos vigente.
11) Certificación positiva de estar al corriente en el pago de las obligaciones tributarias.
12) Certificación positiva de la Tesorería General de la Seguridad Social de estar al corriente en el pago de las obligaciones con la Seguridad Social.
13) Copia del alta en el Impuesto sobre Actividades Económicas.
14) Autorización o documento habilitante para ejercer la actividad correspondiente al subgrupo/s que solicita.
15) Justificación fehaciente de la representación y del apoderamiento de la persona que firma la solicitud.
16) Declaración anual de operaciones con terceros (Mod. 347) de los tres últimos años.
17) Copia de la declaración del cuarto trimestre del año anterior, del resumen anual de los dos últimos años y de las declaraciones parciales del año en curso del IGIC.
18) Copia de las cuentas anuales de los dos últimos años, presentadas en el Registro Mercantil.
19) Informe de la vida laboral del operador económico, referido al último mes, para cada una de las cuentas de cotización, emitido por la Tesorería General de la Seguridad Social En el Informe deben constar los siguientes datos: Actividad del operador económico, relación nominal de los trabajadores, grupos de cotización, fechas de altas y bajas, tipo de contratos y número de días cotizados.
20)Informe único de la Seguridad Social indicando el número anual medio de los trabajadores empleados por la empresa en los últimos tres años.
21) Justificación documental de la disponibilidad de los principales medios materiales relacionados en los anexos, que posea en propiedad, en arrendamiento o arrendamiento financiero.</v>
          </cell>
          <cell r="B276" t="str">
            <v>3.007</v>
          </cell>
        </row>
        <row r="277">
          <cell r="A277" t="str">
            <v>Alta terceros - Para ayudas o Subvenciones</v>
          </cell>
          <cell r="B277" t="str">
            <v>3.008</v>
          </cell>
        </row>
        <row r="278">
          <cell r="A278" t="str">
            <v>Aviso notificación -
AÑADIR DTO 20% - BORRAR ESTO</v>
          </cell>
          <cell r="B278" t="str">
            <v>3.010</v>
          </cell>
        </row>
        <row r="279">
          <cell r="A279" t="str">
            <v>Comunicación datos Estimación objetiva(módulos) Agencia Tributaria -</v>
          </cell>
          <cell r="B279" t="str">
            <v>3.011</v>
          </cell>
        </row>
        <row r="280">
          <cell r="A280" t="str">
            <v>Solicitud número de Registro EORI -</v>
          </cell>
          <cell r="B280" t="str">
            <v>3.012</v>
          </cell>
        </row>
        <row r="281">
          <cell r="A281" t="str">
            <v>Liquidación tasas judicial Modelo 696 -</v>
          </cell>
          <cell r="B281" t="str">
            <v>3.013</v>
          </cell>
        </row>
        <row r="282">
          <cell r="A282" t="str">
            <v>Solicitud y descarga certificado digital Agencia</v>
          </cell>
          <cell r="B282" t="str">
            <v>3.014</v>
          </cell>
        </row>
        <row r="283">
          <cell r="A283" t="str">
            <v>Modelo 720 -</v>
          </cell>
          <cell r="B283" t="str">
            <v>3.015</v>
          </cell>
        </row>
        <row r="284">
          <cell r="A284" t="str">
            <v>Modelo 400 -</v>
          </cell>
          <cell r="B284" t="str">
            <v>3.020</v>
          </cell>
        </row>
        <row r="285">
          <cell r="A285" t="str">
            <v>Modelo 660 - 650 - Sucesiones</v>
          </cell>
          <cell r="B285" t="str">
            <v>3.021</v>
          </cell>
        </row>
        <row r="286">
          <cell r="A286" t="str">
            <v>Modelo 652 -</v>
          </cell>
          <cell r="B286" t="str">
            <v>3.022</v>
          </cell>
        </row>
        <row r="287">
          <cell r="A287" t="str">
            <v>Modelo 600</v>
          </cell>
          <cell r="B287" t="str">
            <v>3.023</v>
          </cell>
        </row>
        <row r="288">
          <cell r="A288" t="str">
            <v>Certificado Agencia Tributaria Canaria - Fecha    Estado</v>
          </cell>
          <cell r="B288" t="str">
            <v>3.025</v>
          </cell>
        </row>
        <row r="289">
          <cell r="A289" t="str">
            <v>Certificado Consejeria Sucontrata -                        ESTADO</v>
          </cell>
          <cell r="B289" t="str">
            <v>3.026</v>
          </cell>
        </row>
        <row r="290">
          <cell r="A290" t="str">
            <v>Deudas -</v>
          </cell>
          <cell r="B290" t="str">
            <v>3.028</v>
          </cell>
        </row>
        <row r="291">
          <cell r="A291" t="str">
            <v>Cartas de pago -</v>
          </cell>
          <cell r="B291" t="str">
            <v>3.029</v>
          </cell>
        </row>
        <row r="292">
          <cell r="A292" t="str">
            <v>Escritos/Requerimiento/Varios -</v>
          </cell>
          <cell r="B292" t="str">
            <v>3.030</v>
          </cell>
        </row>
        <row r="293">
          <cell r="A293" t="str">
            <v>Requerimiento -</v>
          </cell>
          <cell r="B293" t="str">
            <v>3.051</v>
          </cell>
        </row>
        <row r="294">
          <cell r="A294" t="str">
            <v>Recurso de Reposición -</v>
          </cell>
          <cell r="B294" t="str">
            <v>3.060</v>
          </cell>
        </row>
        <row r="295">
          <cell r="A295" t="str">
            <v>Modelo 216 -</v>
          </cell>
          <cell r="B295" t="str">
            <v>3.067</v>
          </cell>
        </row>
        <row r="296">
          <cell r="A296" t="str">
            <v>Modelo 296 anual</v>
          </cell>
          <cell r="B296" t="str">
            <v>3.068</v>
          </cell>
        </row>
        <row r="297">
          <cell r="A297" t="str">
            <v>Modelo 036</v>
          </cell>
          <cell r="B297" t="str">
            <v>3.076</v>
          </cell>
        </row>
        <row r="298">
          <cell r="A298" t="str">
            <v>Certificado Hacienda - Fecha: Estado: positivo</v>
          </cell>
          <cell r="B298" t="str">
            <v>3.096</v>
          </cell>
        </row>
        <row r="299">
          <cell r="A299" t="str">
            <v>Fraccionamiento/Aplazamiento</v>
          </cell>
          <cell r="B299" t="str">
            <v>3.098</v>
          </cell>
        </row>
        <row r="300">
          <cell r="A300" t="str">
            <v>Modelo 846 -</v>
          </cell>
          <cell r="B300" t="str">
            <v>3.101</v>
          </cell>
        </row>
        <row r="301">
          <cell r="A301" t="str">
            <v>Devolución de ingresos indebidos -</v>
          </cell>
          <cell r="B301" t="str">
            <v>3.149</v>
          </cell>
        </row>
        <row r="302">
          <cell r="A302" t="str">
            <v>Confección, tramitación y envío de solicitud.
Información y recepción de solución afirmativa de Código LEI</v>
          </cell>
          <cell r="B302" t="str">
            <v>3.150</v>
          </cell>
        </row>
        <row r="303">
          <cell r="A303" t="str">
            <v>Modelo 340 - Registro Libros devolución mensual</v>
          </cell>
          <cell r="B303" t="str">
            <v>3.183</v>
          </cell>
        </row>
        <row r="304">
          <cell r="A304" t="str">
            <v>Modelo 193 - 2025</v>
          </cell>
          <cell r="B304" t="str">
            <v>3.184</v>
          </cell>
        </row>
        <row r="305">
          <cell r="A305" t="str">
            <v>Modelo 123</v>
          </cell>
          <cell r="B305" t="str">
            <v>3.185</v>
          </cell>
        </row>
        <row r="306">
          <cell r="A306" t="str">
            <v>Modelo 303</v>
          </cell>
          <cell r="B306" t="str">
            <v>3.186</v>
          </cell>
        </row>
        <row r="307">
          <cell r="A307" t="str">
            <v>MODELO 390</v>
          </cell>
          <cell r="B307" t="str">
            <v>3.187</v>
          </cell>
        </row>
        <row r="308">
          <cell r="A308" t="str">
            <v>Modelo 840 -</v>
          </cell>
          <cell r="B308" t="str">
            <v>3.188</v>
          </cell>
        </row>
        <row r="309">
          <cell r="A309" t="str">
            <v>Modelo 800</v>
          </cell>
          <cell r="B309" t="str">
            <v>3.189</v>
          </cell>
        </row>
        <row r="310">
          <cell r="A310" t="str">
            <v>Escritos Alegaciones -</v>
          </cell>
          <cell r="B310" t="str">
            <v>3.214</v>
          </cell>
        </row>
        <row r="311">
          <cell r="A311" t="str">
            <v>Deducion Maternidad -</v>
          </cell>
          <cell r="B311" t="str">
            <v>3.218</v>
          </cell>
        </row>
        <row r="312">
          <cell r="A312" t="str">
            <v>Modelo 349</v>
          </cell>
          <cell r="B312" t="str">
            <v>3.248</v>
          </cell>
        </row>
        <row r="313">
          <cell r="A313" t="str">
            <v>Escrito alegaciones -</v>
          </cell>
          <cell r="B313" t="str">
            <v>4.137</v>
          </cell>
        </row>
        <row r="314">
          <cell r="A314" t="str">
            <v>Escrito alegaciones/Recurso -</v>
          </cell>
          <cell r="B314" t="str">
            <v>4.193</v>
          </cell>
        </row>
        <row r="315">
          <cell r="A315" t="str">
            <v>Requerimiento de documentación -</v>
          </cell>
          <cell r="B315" t="str">
            <v>4.225</v>
          </cell>
        </row>
        <row r="316">
          <cell r="A316" t="str">
            <v>Comunicación y calculo de personal discapacitado de la empresa
Obligación prevista art. 5 Real decreto 1451/1983, de 11 de mayo</v>
          </cell>
          <cell r="B316" t="str">
            <v>4.240</v>
          </cell>
        </row>
        <row r="317">
          <cell r="A317" t="str">
            <v>Recurso Alzada -</v>
          </cell>
          <cell r="B317" t="str">
            <v>5.005</v>
          </cell>
        </row>
        <row r="318">
          <cell r="A318" t="str">
            <v>Sanciones -</v>
          </cell>
          <cell r="B318" t="str">
            <v>5.038</v>
          </cell>
        </row>
        <row r="319">
          <cell r="A319" t="str">
            <v>Solicitud titulo de transportista -</v>
          </cell>
          <cell r="B319" t="str">
            <v>5.047</v>
          </cell>
        </row>
        <row r="320">
          <cell r="A320" t="str">
            <v>Inspecciones - 1ª VISITA
- Localizar documentación
- Estudio documentación
- Visita a inspección
- Recomendaciones y correcciones tras visita
- Seguimiento del trámite</v>
          </cell>
          <cell r="B320" t="str">
            <v>6.008</v>
          </cell>
        </row>
        <row r="321">
          <cell r="A321" t="str">
            <v>Inspecciones - 2ª VISITA y siguientes
- Localizar documentación
- Estudio documentación
- Visita a inspección
- Recomendaciones y correcciones tras visita
- Seguimiento del trámite</v>
          </cell>
          <cell r="B321" t="str">
            <v>6.009</v>
          </cell>
        </row>
        <row r="322">
          <cell r="A322" t="str">
            <v>Inspección I.G.I.C -</v>
          </cell>
          <cell r="B322" t="str">
            <v>6.170</v>
          </cell>
        </row>
        <row r="323">
          <cell r="A323" t="str">
            <v>Diligencia de inspección -</v>
          </cell>
          <cell r="B323" t="str">
            <v>6.242</v>
          </cell>
        </row>
        <row r="324">
          <cell r="A324" t="str">
            <v>Libro de Subcontratación y gastos modelo 700-</v>
          </cell>
          <cell r="B324" t="str">
            <v>7.010</v>
          </cell>
        </row>
        <row r="325">
          <cell r="A325" t="str">
            <v>Apertura de centro - Gobierno de Canarias</v>
          </cell>
          <cell r="B325" t="str">
            <v>7.011</v>
          </cell>
        </row>
        <row r="326">
          <cell r="A326" t="str">
            <v>Aviso previo apertura obra -</v>
          </cell>
          <cell r="B326" t="str">
            <v>7.179</v>
          </cell>
        </row>
        <row r="327">
          <cell r="A327" t="str">
            <v>Contrato préstamo</v>
          </cell>
          <cell r="B327" t="str">
            <v>8.024</v>
          </cell>
        </row>
        <row r="328">
          <cell r="A328" t="str">
            <v>Anexo de contrato -</v>
          </cell>
          <cell r="B328" t="str">
            <v>8.025</v>
          </cell>
        </row>
        <row r="329">
          <cell r="A329" t="str">
            <v>Contratos arrendamiento vivienda o local simple -</v>
          </cell>
          <cell r="B329" t="str">
            <v>8.026</v>
          </cell>
        </row>
        <row r="330">
          <cell r="A330" t="str">
            <v>CONTRATOS ARRENDAMIENTO LOCAL CON TRASPASO O</v>
          </cell>
          <cell r="B330" t="str">
            <v>8.027</v>
          </cell>
        </row>
        <row r="331">
          <cell r="A331" t="str">
            <v>Actualización rentas arrendamiento -</v>
          </cell>
          <cell r="B331" t="str">
            <v>8.132</v>
          </cell>
        </row>
        <row r="332">
          <cell r="A332" t="str">
            <v>Contratos privados -</v>
          </cell>
          <cell r="B332" t="str">
            <v>8.133</v>
          </cell>
        </row>
        <row r="333">
          <cell r="A333" t="str">
            <v>Contratos obras -</v>
          </cell>
          <cell r="B333" t="str">
            <v>8.136</v>
          </cell>
        </row>
        <row r="334">
          <cell r="A334" t="str">
            <v>Contratos de compraventa -</v>
          </cell>
          <cell r="B334" t="str">
            <v>8.141</v>
          </cell>
        </row>
        <row r="335">
          <cell r="A335" t="str">
            <v>Resolución Contratos -</v>
          </cell>
          <cell r="B335" t="str">
            <v>8.150</v>
          </cell>
        </row>
        <row r="336">
          <cell r="A336" t="str">
            <v>Prorroga contrato arrendamiento -</v>
          </cell>
          <cell r="B336" t="str">
            <v>8.151</v>
          </cell>
        </row>
        <row r="337">
          <cell r="A337" t="str">
            <v>Contratos varios -</v>
          </cell>
          <cell r="B337" t="str">
            <v>8.167</v>
          </cell>
        </row>
        <row r="338">
          <cell r="A338" t="str">
            <v>Semac -</v>
          </cell>
          <cell r="B338" t="str">
            <v>9.039</v>
          </cell>
        </row>
        <row r="339">
          <cell r="A339" t="str">
            <v>Recurso de Reposición -</v>
          </cell>
          <cell r="B339" t="str">
            <v>9.060</v>
          </cell>
        </row>
        <row r="340">
          <cell r="A340" t="str">
            <v>Juzgado -</v>
          </cell>
          <cell r="B340" t="str">
            <v>9.206</v>
          </cell>
        </row>
        <row r="341">
          <cell r="A341" t="str">
            <v>Código LEI - Solicitud/Renovación anual</v>
          </cell>
          <cell r="B341" t="str">
            <v>9.300</v>
          </cell>
        </row>
      </sheetData>
      <sheetData sheetId="5" refreshError="1"/>
      <sheetData sheetId="6" refreshError="1"/>
    </sheetDataSet>
  </externalBook>
</externalLink>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C488A31-FEFF-444A-9B0D-6E7059128D8D}" name="Tabla13" displayName="Tabla13" ref="A6:M62" totalsRowShown="0" headerRowDxfId="15" dataDxfId="14" tableBorderDxfId="13">
  <autoFilter ref="A6:M62" xr:uid="{5C488A31-FEFF-444A-9B0D-6E7059128D8D}"/>
  <sortState xmlns:xlrd2="http://schemas.microsoft.com/office/spreadsheetml/2017/richdata2" ref="A7:M62">
    <sortCondition ref="J6:J62"/>
  </sortState>
  <tableColumns count="13">
    <tableColumn id="2" xr3:uid="{E77892CE-A4CA-4C7E-88D9-C91D53B4115A}" name="EXPT" dataDxfId="12"/>
    <tableColumn id="3" xr3:uid="{D201A373-7704-42C1-BBC7-C7448DD8A7B3}" name="EMPRESA" dataDxfId="11"/>
    <tableColumn id="4" xr3:uid="{34F7AD89-D168-46C9-82C1-AC42CC32F80B}" name="DNI TRAB" dataDxfId="10"/>
    <tableColumn id="5" xr3:uid="{379DF304-CBDE-47E4-AAA6-FEE494BB0BB3}" name="NOMBRE TRABAJADOR" dataDxfId="9"/>
    <tableColumn id="6" xr3:uid="{695BA4AB-645A-4351-9A15-C38CD45D6D43}" name="F. ALTA" dataDxfId="8"/>
    <tableColumn id="7" xr3:uid="{3699DDDE-26DE-4832-891B-BD9EFB003940}" name="F.BAJA" dataDxfId="7"/>
    <tableColumn id="8" xr3:uid="{2D2CA10F-03D3-4305-9CB5-5C59952DE356}" name="F. CAMBIO " dataDxfId="6"/>
    <tableColumn id="9" xr3:uid="{21D72802-D732-48FE-9FBD-06C747473FF4}" name="FECHA " dataDxfId="5"/>
    <tableColumn id="10" xr3:uid="{D9B8FDBF-E1A4-4CDA-9424-71ED018201BB}" name="OBSERVACION" dataDxfId="4"/>
    <tableColumn id="11" xr3:uid="{069628DC-FDA9-4CDA-A467-178CF6620515}" name="ESTADO" dataDxfId="3"/>
    <tableColumn id="12" xr3:uid="{2B137886-A7EC-456C-86A4-42B366E98E26}" name="TIPO TRAMITE" dataDxfId="2"/>
    <tableColumn id="13" xr3:uid="{415AF5E4-99D4-40A7-951B-16FD91BE47AD}" name="CONCEPTO FACT" dataDxfId="1">
      <calculatedColumnFormula>IFERROR(VLOOKUP(K7, [1]Conceptos!A:B, 2, FALSE), "")</calculatedColumnFormula>
    </tableColumn>
    <tableColumn id="14" xr3:uid="{92F996E1-80A3-43D7-AFC0-014D474D35EC}" name="IMPORTE" dataDxfId="0" dataCellStyle="Moneda"/>
  </tableColumns>
  <tableStyleInfo name="TableStyleMedium2" showFirstColumn="0" showLastColumn="0" showRowStripes="1" showColumnStripes="0"/>
</table>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E19E29-33CB-4752-99FD-DF0937A63807}">
  <dimension ref="A6:M62"/>
  <sheetViews>
    <sheetView tabSelected="1" topLeftCell="B1" workbookViewId="0">
      <selection activeCell="N23" sqref="N23"/>
    </sheetView>
  </sheetViews>
  <sheetFormatPr baseColWidth="10" defaultRowHeight="14.5" x14ac:dyDescent="0.35"/>
  <cols>
    <col min="1" max="1" width="10.453125" bestFit="1" customWidth="1"/>
    <col min="2" max="2" width="34.26953125" bestFit="1" customWidth="1"/>
    <col min="3" max="3" width="11.81640625" customWidth="1"/>
    <col min="4" max="4" width="28.54296875" bestFit="1" customWidth="1"/>
    <col min="5" max="5" width="14.453125" style="16" hidden="1" customWidth="1"/>
    <col min="6" max="6" width="9.453125" hidden="1" customWidth="1"/>
    <col min="7" max="7" width="2.453125" hidden="1" customWidth="1"/>
    <col min="8" max="8" width="12.26953125" style="16" bestFit="1" customWidth="1"/>
    <col min="9" max="9" width="67.54296875" bestFit="1" customWidth="1"/>
    <col min="10" max="10" width="13" bestFit="1" customWidth="1"/>
    <col min="11" max="11" width="43" bestFit="1" customWidth="1"/>
    <col min="12" max="12" width="18.81640625" style="17" customWidth="1"/>
    <col min="13" max="13" width="14" style="18" bestFit="1" customWidth="1"/>
  </cols>
  <sheetData>
    <row r="6" spans="1:13" ht="24.75" customHeight="1" thickBot="1" x14ac:dyDescent="0.4">
      <c r="A6" s="1" t="s">
        <v>108</v>
      </c>
      <c r="B6" s="1" t="s">
        <v>0</v>
      </c>
      <c r="C6" s="1" t="s">
        <v>1</v>
      </c>
      <c r="D6" s="1" t="s">
        <v>2</v>
      </c>
      <c r="E6" s="2" t="s">
        <v>3</v>
      </c>
      <c r="F6" s="1" t="s">
        <v>4</v>
      </c>
      <c r="G6" s="1" t="s">
        <v>5</v>
      </c>
      <c r="H6" s="2" t="s">
        <v>6</v>
      </c>
      <c r="I6" s="1" t="s">
        <v>7</v>
      </c>
      <c r="J6" s="1" t="s">
        <v>8</v>
      </c>
      <c r="K6" s="1" t="s">
        <v>9</v>
      </c>
      <c r="L6" s="3" t="s">
        <v>10</v>
      </c>
      <c r="M6" s="1" t="s">
        <v>11</v>
      </c>
    </row>
    <row r="7" spans="1:13" ht="15" thickBot="1" x14ac:dyDescent="0.4">
      <c r="A7" s="4">
        <v>2418</v>
      </c>
      <c r="B7" s="4" t="s">
        <v>12</v>
      </c>
      <c r="C7" s="4" t="s">
        <v>13</v>
      </c>
      <c r="D7" s="19" t="s">
        <v>63</v>
      </c>
      <c r="E7" s="20">
        <v>46196</v>
      </c>
      <c r="F7" s="21" t="s">
        <v>64</v>
      </c>
      <c r="G7" s="4"/>
      <c r="H7" s="5">
        <v>46196</v>
      </c>
      <c r="I7" s="19" t="s">
        <v>64</v>
      </c>
      <c r="J7" s="4" t="s">
        <v>14</v>
      </c>
      <c r="K7" s="4" t="s">
        <v>15</v>
      </c>
      <c r="L7" s="6" t="str">
        <f>IFERROR(VLOOKUP(K7, [1]Conceptos!A:B, 2, FALSE), "")</f>
        <v>0.250</v>
      </c>
      <c r="M7" s="7"/>
    </row>
    <row r="8" spans="1:13" ht="15" thickBot="1" x14ac:dyDescent="0.4">
      <c r="A8" s="8">
        <v>1650</v>
      </c>
      <c r="B8" s="8" t="s">
        <v>16</v>
      </c>
      <c r="C8" s="8" t="s">
        <v>17</v>
      </c>
      <c r="D8" s="22" t="s">
        <v>65</v>
      </c>
      <c r="E8" s="23">
        <v>46199</v>
      </c>
      <c r="F8" s="24" t="s">
        <v>66</v>
      </c>
      <c r="G8" s="8"/>
      <c r="H8" s="9">
        <v>46199</v>
      </c>
      <c r="I8" s="22" t="s">
        <v>66</v>
      </c>
      <c r="J8" s="8" t="s">
        <v>14</v>
      </c>
      <c r="K8" s="4" t="s">
        <v>18</v>
      </c>
      <c r="L8" s="10" t="str">
        <f>IFERROR(VLOOKUP(K8, [1]Conceptos!A:B, 2, FALSE), "")</f>
        <v>2.058</v>
      </c>
      <c r="M8" s="11"/>
    </row>
    <row r="9" spans="1:13" ht="15" thickBot="1" x14ac:dyDescent="0.4">
      <c r="A9" s="4">
        <v>1650</v>
      </c>
      <c r="B9" s="4" t="s">
        <v>16</v>
      </c>
      <c r="C9" s="4" t="s">
        <v>19</v>
      </c>
      <c r="D9" s="25" t="s">
        <v>67</v>
      </c>
      <c r="E9" s="26">
        <v>46202</v>
      </c>
      <c r="F9" s="27" t="s">
        <v>68</v>
      </c>
      <c r="G9" s="4"/>
      <c r="H9" s="5">
        <v>46202</v>
      </c>
      <c r="I9" s="25" t="s">
        <v>68</v>
      </c>
      <c r="J9" s="4" t="s">
        <v>14</v>
      </c>
      <c r="K9" s="4" t="s">
        <v>15</v>
      </c>
      <c r="L9" s="6" t="str">
        <f>IFERROR(VLOOKUP(K9, [1]Conceptos!A:B, 2, FALSE), "")</f>
        <v>0.250</v>
      </c>
      <c r="M9" s="7">
        <v>100</v>
      </c>
    </row>
    <row r="10" spans="1:13" ht="15" thickBot="1" x14ac:dyDescent="0.4">
      <c r="A10" s="4">
        <v>2523</v>
      </c>
      <c r="B10" s="4" t="s">
        <v>20</v>
      </c>
      <c r="C10" s="4" t="s">
        <v>21</v>
      </c>
      <c r="D10" s="22" t="s">
        <v>69</v>
      </c>
      <c r="E10" s="23">
        <v>46203</v>
      </c>
      <c r="F10" s="24" t="s">
        <v>70</v>
      </c>
      <c r="G10" s="4"/>
      <c r="H10" s="5">
        <v>46203</v>
      </c>
      <c r="I10" s="22" t="s">
        <v>70</v>
      </c>
      <c r="J10" s="4" t="s">
        <v>14</v>
      </c>
      <c r="K10" s="4" t="s">
        <v>22</v>
      </c>
      <c r="L10" s="6" t="str">
        <f>IFERROR(VLOOKUP(K10, [1]Conceptos!A:B, 2, FALSE), "")</f>
        <v>0.027</v>
      </c>
      <c r="M10" s="7">
        <v>30</v>
      </c>
    </row>
    <row r="11" spans="1:13" ht="15" thickBot="1" x14ac:dyDescent="0.4">
      <c r="A11" s="4">
        <v>2523</v>
      </c>
      <c r="B11" s="4" t="s">
        <v>20</v>
      </c>
      <c r="C11" s="4" t="s">
        <v>23</v>
      </c>
      <c r="D11" s="25" t="s">
        <v>71</v>
      </c>
      <c r="E11" s="26">
        <v>46203</v>
      </c>
      <c r="F11" s="27" t="s">
        <v>70</v>
      </c>
      <c r="G11" s="4"/>
      <c r="H11" s="5">
        <v>46203</v>
      </c>
      <c r="I11" s="25" t="s">
        <v>70</v>
      </c>
      <c r="J11" s="4" t="s">
        <v>14</v>
      </c>
      <c r="K11" s="4" t="s">
        <v>22</v>
      </c>
      <c r="L11" s="6" t="str">
        <f>IFERROR(VLOOKUP(K11, [1]Conceptos!A:B, 2, FALSE), "")</f>
        <v>0.027</v>
      </c>
      <c r="M11" s="7">
        <v>15</v>
      </c>
    </row>
    <row r="12" spans="1:13" ht="15" thickBot="1" x14ac:dyDescent="0.4">
      <c r="A12" s="4">
        <v>1306</v>
      </c>
      <c r="B12" s="4" t="s">
        <v>24</v>
      </c>
      <c r="C12" s="4" t="s">
        <v>25</v>
      </c>
      <c r="D12" s="22" t="s">
        <v>72</v>
      </c>
      <c r="E12" s="23">
        <v>46204</v>
      </c>
      <c r="F12" s="24" t="s">
        <v>73</v>
      </c>
      <c r="G12" s="4"/>
      <c r="H12" s="5">
        <v>46204</v>
      </c>
      <c r="I12" s="22" t="s">
        <v>73</v>
      </c>
      <c r="J12" s="4" t="s">
        <v>14</v>
      </c>
      <c r="K12" s="4" t="s">
        <v>26</v>
      </c>
      <c r="L12" s="6" t="str">
        <f>IFERROR(VLOOKUP(K12, [1]Conceptos!A:B, 2, FALSE), "")</f>
        <v>2.228</v>
      </c>
      <c r="M12" s="7"/>
    </row>
    <row r="13" spans="1:13" ht="14.25" customHeight="1" thickBot="1" x14ac:dyDescent="0.4">
      <c r="A13" s="4">
        <v>1815</v>
      </c>
      <c r="B13" s="4" t="s">
        <v>27</v>
      </c>
      <c r="C13" s="4"/>
      <c r="D13" s="25" t="s">
        <v>74</v>
      </c>
      <c r="E13" s="26">
        <v>46204</v>
      </c>
      <c r="F13" s="27" t="s">
        <v>74</v>
      </c>
      <c r="G13" s="4"/>
      <c r="H13" s="5">
        <v>46204</v>
      </c>
      <c r="I13" s="25" t="s">
        <v>74</v>
      </c>
      <c r="J13" s="4" t="s">
        <v>14</v>
      </c>
      <c r="K13" s="4" t="s">
        <v>28</v>
      </c>
      <c r="L13" s="6" t="str">
        <f>IFERROR(VLOOKUP(K13, [1]Conceptos!A:B, 2, FALSE), "")</f>
        <v>2.001</v>
      </c>
      <c r="M13" s="7"/>
    </row>
    <row r="14" spans="1:13" ht="14.25" customHeight="1" thickBot="1" x14ac:dyDescent="0.4">
      <c r="A14" s="4">
        <v>1815</v>
      </c>
      <c r="B14" s="4" t="s">
        <v>27</v>
      </c>
      <c r="C14" s="4"/>
      <c r="D14" s="22" t="s">
        <v>75</v>
      </c>
      <c r="E14" s="23">
        <v>46204</v>
      </c>
      <c r="F14" s="24" t="s">
        <v>75</v>
      </c>
      <c r="G14" s="4"/>
      <c r="H14" s="5">
        <v>46204</v>
      </c>
      <c r="I14" s="22" t="s">
        <v>75</v>
      </c>
      <c r="J14" s="4" t="s">
        <v>14</v>
      </c>
      <c r="K14" s="4" t="s">
        <v>29</v>
      </c>
      <c r="L14" s="6" t="str">
        <f>IFERROR(VLOOKUP(K14, [1]Conceptos!A:B, 2, FALSE), "")</f>
        <v>2.133</v>
      </c>
      <c r="M14" s="7"/>
    </row>
    <row r="15" spans="1:13" ht="14.25" customHeight="1" thickBot="1" x14ac:dyDescent="0.4">
      <c r="A15" s="4">
        <v>2545</v>
      </c>
      <c r="B15" s="4" t="s">
        <v>30</v>
      </c>
      <c r="C15" s="4" t="s">
        <v>31</v>
      </c>
      <c r="D15" s="25" t="s">
        <v>76</v>
      </c>
      <c r="E15" s="26">
        <v>46204</v>
      </c>
      <c r="F15" s="27" t="s">
        <v>77</v>
      </c>
      <c r="G15" s="4"/>
      <c r="H15" s="5">
        <v>46204</v>
      </c>
      <c r="I15" s="25" t="s">
        <v>77</v>
      </c>
      <c r="J15" s="4" t="s">
        <v>14</v>
      </c>
      <c r="K15" s="4" t="s">
        <v>32</v>
      </c>
      <c r="L15" s="6" t="str">
        <f>IFERROR(VLOOKUP(K15, [1]Conceptos!A:B, 2, FALSE), "")</f>
        <v>1.156</v>
      </c>
      <c r="M15" s="7"/>
    </row>
    <row r="16" spans="1:13" ht="14.25" customHeight="1" thickBot="1" x14ac:dyDescent="0.4">
      <c r="A16" s="4">
        <v>2418</v>
      </c>
      <c r="B16" s="4" t="s">
        <v>12</v>
      </c>
      <c r="C16" s="4" t="s">
        <v>33</v>
      </c>
      <c r="D16" s="22" t="s">
        <v>78</v>
      </c>
      <c r="E16" s="23">
        <v>46204</v>
      </c>
      <c r="F16" s="24" t="s">
        <v>79</v>
      </c>
      <c r="G16" s="4"/>
      <c r="H16" s="5">
        <v>46204</v>
      </c>
      <c r="I16" s="22" t="s">
        <v>79</v>
      </c>
      <c r="J16" s="4" t="s">
        <v>14</v>
      </c>
      <c r="K16" s="4" t="s">
        <v>32</v>
      </c>
      <c r="L16" s="6" t="str">
        <f>IFERROR(VLOOKUP(K16, [1]Conceptos!A:B, 2, FALSE), "")</f>
        <v>1.156</v>
      </c>
      <c r="M16" s="7"/>
    </row>
    <row r="17" spans="1:13" ht="14.25" customHeight="1" thickBot="1" x14ac:dyDescent="0.4">
      <c r="A17" s="4">
        <v>1650</v>
      </c>
      <c r="B17" s="4" t="s">
        <v>16</v>
      </c>
      <c r="C17" s="4" t="s">
        <v>34</v>
      </c>
      <c r="D17" s="25" t="s">
        <v>80</v>
      </c>
      <c r="E17" s="26">
        <v>46204</v>
      </c>
      <c r="F17" s="27" t="s">
        <v>81</v>
      </c>
      <c r="G17" s="4"/>
      <c r="H17" s="5">
        <v>46204</v>
      </c>
      <c r="I17" s="25" t="s">
        <v>81</v>
      </c>
      <c r="J17" s="4" t="s">
        <v>14</v>
      </c>
      <c r="K17" s="4" t="s">
        <v>22</v>
      </c>
      <c r="L17" s="6" t="str">
        <f>IFERROR(VLOOKUP(K17, [1]Conceptos!A:B, 2, FALSE), "")</f>
        <v>0.027</v>
      </c>
      <c r="M17" s="7"/>
    </row>
    <row r="18" spans="1:13" ht="14.25" customHeight="1" thickBot="1" x14ac:dyDescent="0.4">
      <c r="A18" s="4">
        <v>61</v>
      </c>
      <c r="B18" s="4" t="s">
        <v>35</v>
      </c>
      <c r="C18" s="4"/>
      <c r="D18" s="22" t="s">
        <v>82</v>
      </c>
      <c r="E18" s="23">
        <v>46204</v>
      </c>
      <c r="F18" s="24" t="s">
        <v>74</v>
      </c>
      <c r="G18" s="4"/>
      <c r="H18" s="5">
        <v>46204</v>
      </c>
      <c r="I18" s="22" t="s">
        <v>74</v>
      </c>
      <c r="J18" s="4" t="s">
        <v>14</v>
      </c>
      <c r="K18" s="4" t="s">
        <v>28</v>
      </c>
      <c r="L18" s="6" t="str">
        <f>IFERROR(VLOOKUP(K18, [1]Conceptos!A:B, 2, FALSE), "")</f>
        <v>2.001</v>
      </c>
      <c r="M18" s="7"/>
    </row>
    <row r="19" spans="1:13" ht="14.25" customHeight="1" thickBot="1" x14ac:dyDescent="0.4">
      <c r="A19" s="4">
        <v>1279</v>
      </c>
      <c r="B19" s="4" t="s">
        <v>36</v>
      </c>
      <c r="C19" s="4"/>
      <c r="D19" s="25" t="s">
        <v>74</v>
      </c>
      <c r="E19" s="26">
        <v>46204</v>
      </c>
      <c r="F19" s="27" t="s">
        <v>74</v>
      </c>
      <c r="G19" s="4"/>
      <c r="H19" s="5">
        <v>46204</v>
      </c>
      <c r="I19" s="25" t="s">
        <v>74</v>
      </c>
      <c r="J19" s="4" t="s">
        <v>14</v>
      </c>
      <c r="K19" s="4" t="s">
        <v>28</v>
      </c>
      <c r="L19" s="6" t="str">
        <f>IFERROR(VLOOKUP(K19, [1]Conceptos!A:B, 2, FALSE), "")</f>
        <v>2.001</v>
      </c>
      <c r="M19" s="7"/>
    </row>
    <row r="20" spans="1:13" ht="14.25" customHeight="1" thickBot="1" x14ac:dyDescent="0.4">
      <c r="A20" s="4">
        <v>1306</v>
      </c>
      <c r="B20" s="4" t="s">
        <v>24</v>
      </c>
      <c r="C20" s="4"/>
      <c r="D20" s="22" t="s">
        <v>83</v>
      </c>
      <c r="E20" s="23">
        <v>46204</v>
      </c>
      <c r="F20" s="24" t="s">
        <v>83</v>
      </c>
      <c r="G20" s="4"/>
      <c r="H20" s="5">
        <v>46204</v>
      </c>
      <c r="I20" s="22" t="s">
        <v>83</v>
      </c>
      <c r="J20" s="4" t="s">
        <v>14</v>
      </c>
      <c r="K20" s="4" t="s">
        <v>28</v>
      </c>
      <c r="L20" s="6" t="str">
        <f>IFERROR(VLOOKUP(K20, [1]Conceptos!A:B, 2, FALSE), "")</f>
        <v>2.001</v>
      </c>
      <c r="M20" s="7"/>
    </row>
    <row r="21" spans="1:13" ht="14.25" customHeight="1" thickBot="1" x14ac:dyDescent="0.4">
      <c r="A21" s="4">
        <v>1436</v>
      </c>
      <c r="B21" s="4" t="s">
        <v>37</v>
      </c>
      <c r="C21" s="4"/>
      <c r="D21" s="25" t="s">
        <v>83</v>
      </c>
      <c r="E21" s="26">
        <v>46204</v>
      </c>
      <c r="F21" s="27" t="s">
        <v>83</v>
      </c>
      <c r="G21" s="4"/>
      <c r="H21" s="5">
        <v>46204</v>
      </c>
      <c r="I21" s="25" t="s">
        <v>83</v>
      </c>
      <c r="J21" s="4" t="s">
        <v>14</v>
      </c>
      <c r="K21" s="4" t="s">
        <v>28</v>
      </c>
      <c r="L21" s="6" t="str">
        <f>IFERROR(VLOOKUP(K21, [1]Conceptos!A:B, 2, FALSE), "")</f>
        <v>2.001</v>
      </c>
      <c r="M21" s="7"/>
    </row>
    <row r="22" spans="1:13" ht="14.25" customHeight="1" thickBot="1" x14ac:dyDescent="0.4">
      <c r="A22" s="4">
        <v>1436</v>
      </c>
      <c r="B22" s="4" t="s">
        <v>37</v>
      </c>
      <c r="C22" s="4"/>
      <c r="D22" s="22" t="s">
        <v>84</v>
      </c>
      <c r="E22" s="23">
        <v>46204</v>
      </c>
      <c r="F22" s="24" t="s">
        <v>84</v>
      </c>
      <c r="G22" s="4"/>
      <c r="H22" s="5">
        <v>46204</v>
      </c>
      <c r="I22" s="22" t="s">
        <v>84</v>
      </c>
      <c r="J22" s="4" t="s">
        <v>14</v>
      </c>
      <c r="K22" s="4" t="s">
        <v>38</v>
      </c>
      <c r="L22" s="6" t="str">
        <f>IFERROR(VLOOKUP(K22, [1]Conceptos!A:B, 2, FALSE), "")</f>
        <v>2.094</v>
      </c>
      <c r="M22" s="7"/>
    </row>
    <row r="23" spans="1:13" ht="14.25" customHeight="1" thickBot="1" x14ac:dyDescent="0.4">
      <c r="A23" s="4">
        <v>2274</v>
      </c>
      <c r="B23" s="4" t="s">
        <v>39</v>
      </c>
      <c r="C23" s="4"/>
      <c r="D23" s="25" t="s">
        <v>83</v>
      </c>
      <c r="E23" s="26">
        <v>46204</v>
      </c>
      <c r="F23" s="27" t="s">
        <v>83</v>
      </c>
      <c r="G23" s="4"/>
      <c r="H23" s="5">
        <v>46204</v>
      </c>
      <c r="I23" s="25" t="s">
        <v>83</v>
      </c>
      <c r="J23" s="4" t="s">
        <v>14</v>
      </c>
      <c r="K23" s="4" t="s">
        <v>28</v>
      </c>
      <c r="L23" s="6" t="str">
        <f>IFERROR(VLOOKUP(K23, [1]Conceptos!A:B, 2, FALSE), "")</f>
        <v>2.001</v>
      </c>
      <c r="M23" s="7"/>
    </row>
    <row r="24" spans="1:13" ht="14.25" customHeight="1" thickBot="1" x14ac:dyDescent="0.4">
      <c r="A24" s="4">
        <v>1599</v>
      </c>
      <c r="B24" s="4" t="s">
        <v>40</v>
      </c>
      <c r="C24" s="4" t="s">
        <v>41</v>
      </c>
      <c r="D24" s="22" t="s">
        <v>85</v>
      </c>
      <c r="E24" s="23">
        <v>46204</v>
      </c>
      <c r="F24" s="24" t="s">
        <v>86</v>
      </c>
      <c r="G24" s="4"/>
      <c r="H24" s="5">
        <v>46204</v>
      </c>
      <c r="I24" s="22" t="s">
        <v>86</v>
      </c>
      <c r="J24" s="4" t="s">
        <v>14</v>
      </c>
      <c r="K24" s="4" t="s">
        <v>15</v>
      </c>
      <c r="L24" s="6" t="str">
        <f>IFERROR(VLOOKUP(K24, [1]Conceptos!A:B, 2, FALSE), "")</f>
        <v>0.250</v>
      </c>
      <c r="M24" s="7"/>
    </row>
    <row r="25" spans="1:13" ht="14.25" customHeight="1" thickBot="1" x14ac:dyDescent="0.4">
      <c r="A25" s="4">
        <v>1436</v>
      </c>
      <c r="B25" s="4" t="s">
        <v>37</v>
      </c>
      <c r="C25" s="4" t="s">
        <v>42</v>
      </c>
      <c r="D25" s="25" t="s">
        <v>87</v>
      </c>
      <c r="E25" s="26">
        <v>46204</v>
      </c>
      <c r="F25" s="27" t="s">
        <v>86</v>
      </c>
      <c r="G25" s="4"/>
      <c r="H25" s="5">
        <v>46204</v>
      </c>
      <c r="I25" s="25" t="s">
        <v>86</v>
      </c>
      <c r="J25" s="4" t="s">
        <v>14</v>
      </c>
      <c r="K25" s="4" t="s">
        <v>15</v>
      </c>
      <c r="L25" s="6" t="str">
        <f>IFERROR(VLOOKUP(K25, [1]Conceptos!A:B, 2, FALSE), "")</f>
        <v>0.250</v>
      </c>
      <c r="M25" s="7"/>
    </row>
    <row r="26" spans="1:13" ht="14.25" customHeight="1" thickBot="1" x14ac:dyDescent="0.4">
      <c r="A26" s="4">
        <v>2383</v>
      </c>
      <c r="B26" s="4" t="s">
        <v>43</v>
      </c>
      <c r="C26" s="4" t="s">
        <v>44</v>
      </c>
      <c r="D26" s="22" t="s">
        <v>88</v>
      </c>
      <c r="E26" s="23">
        <v>46204</v>
      </c>
      <c r="F26" s="24" t="s">
        <v>86</v>
      </c>
      <c r="G26" s="4"/>
      <c r="H26" s="5">
        <v>46204</v>
      </c>
      <c r="I26" s="22" t="s">
        <v>86</v>
      </c>
      <c r="J26" s="4" t="s">
        <v>14</v>
      </c>
      <c r="K26" s="4" t="s">
        <v>15</v>
      </c>
      <c r="L26" s="6" t="str">
        <f>IFERROR(VLOOKUP(K26, [1]Conceptos!A:B, 2, FALSE), "")</f>
        <v>0.250</v>
      </c>
      <c r="M26" s="7">
        <v>45</v>
      </c>
    </row>
    <row r="27" spans="1:13" ht="14.25" customHeight="1" thickBot="1" x14ac:dyDescent="0.4">
      <c r="A27" s="4">
        <v>1815</v>
      </c>
      <c r="B27" s="4" t="s">
        <v>27</v>
      </c>
      <c r="C27" s="4" t="s">
        <v>45</v>
      </c>
      <c r="D27" s="25" t="s">
        <v>89</v>
      </c>
      <c r="E27" s="26">
        <v>46204</v>
      </c>
      <c r="F27" s="27" t="s">
        <v>90</v>
      </c>
      <c r="G27" s="4"/>
      <c r="H27" s="5">
        <v>46204</v>
      </c>
      <c r="I27" s="25" t="s">
        <v>90</v>
      </c>
      <c r="J27" s="4" t="s">
        <v>14</v>
      </c>
      <c r="K27" s="4" t="s">
        <v>15</v>
      </c>
      <c r="L27" s="6" t="str">
        <f>IFERROR(VLOOKUP(K27, [1]Conceptos!A:B, 2, FALSE), "")</f>
        <v>0.250</v>
      </c>
      <c r="M27" s="7"/>
    </row>
    <row r="28" spans="1:13" ht="14.25" customHeight="1" thickBot="1" x14ac:dyDescent="0.4">
      <c r="A28" s="4">
        <v>1436</v>
      </c>
      <c r="B28" s="4" t="s">
        <v>37</v>
      </c>
      <c r="C28" s="4" t="s">
        <v>46</v>
      </c>
      <c r="D28" s="22" t="s">
        <v>91</v>
      </c>
      <c r="E28" s="23">
        <v>46205</v>
      </c>
      <c r="F28" s="24" t="s">
        <v>92</v>
      </c>
      <c r="G28" s="4"/>
      <c r="H28" s="5">
        <v>46205</v>
      </c>
      <c r="I28" s="22" t="s">
        <v>92</v>
      </c>
      <c r="J28" s="4" t="s">
        <v>14</v>
      </c>
      <c r="K28" s="4" t="s">
        <v>47</v>
      </c>
      <c r="L28" s="6" t="str">
        <f>IFERROR(VLOOKUP(K28, [1]Conceptos!A:B, 2, FALSE), "")</f>
        <v>0.022</v>
      </c>
      <c r="M28" s="7"/>
    </row>
    <row r="29" spans="1:13" ht="14.25" customHeight="1" thickBot="1" x14ac:dyDescent="0.4">
      <c r="A29" s="4">
        <v>1240</v>
      </c>
      <c r="B29" s="4" t="s">
        <v>48</v>
      </c>
      <c r="C29" s="4" t="s">
        <v>49</v>
      </c>
      <c r="D29" s="25" t="s">
        <v>93</v>
      </c>
      <c r="E29" s="26">
        <v>46206</v>
      </c>
      <c r="F29" s="27" t="s">
        <v>94</v>
      </c>
      <c r="G29" s="4"/>
      <c r="H29" s="5">
        <v>46206</v>
      </c>
      <c r="I29" s="25" t="s">
        <v>94</v>
      </c>
      <c r="J29" s="4" t="s">
        <v>14</v>
      </c>
      <c r="K29" s="4" t="s">
        <v>15</v>
      </c>
      <c r="L29" s="6" t="str">
        <f>IFERROR(VLOOKUP(K29, [1]Conceptos!A:B, 2, FALSE), "")</f>
        <v>0.250</v>
      </c>
      <c r="M29" s="7"/>
    </row>
    <row r="30" spans="1:13" ht="14.25" customHeight="1" thickBot="1" x14ac:dyDescent="0.4">
      <c r="A30" s="4">
        <v>1591</v>
      </c>
      <c r="B30" s="4" t="s">
        <v>50</v>
      </c>
      <c r="C30" s="4" t="s">
        <v>51</v>
      </c>
      <c r="D30" s="22" t="s">
        <v>95</v>
      </c>
      <c r="E30" s="23">
        <v>46206</v>
      </c>
      <c r="F30" s="24" t="s">
        <v>96</v>
      </c>
      <c r="G30" s="4"/>
      <c r="H30" s="5">
        <v>46206</v>
      </c>
      <c r="I30" s="22" t="s">
        <v>107</v>
      </c>
      <c r="J30" s="4" t="s">
        <v>14</v>
      </c>
      <c r="K30" s="4" t="s">
        <v>32</v>
      </c>
      <c r="L30" s="6" t="str">
        <f>IFERROR(VLOOKUP(K30, [1]Conceptos!A:B, 2, FALSE), "")</f>
        <v>1.156</v>
      </c>
      <c r="M30" s="7"/>
    </row>
    <row r="31" spans="1:13" ht="14.25" customHeight="1" thickBot="1" x14ac:dyDescent="0.4">
      <c r="A31" s="4">
        <v>2574</v>
      </c>
      <c r="B31" s="4" t="s">
        <v>52</v>
      </c>
      <c r="C31" s="4" t="s">
        <v>53</v>
      </c>
      <c r="D31" s="25" t="s">
        <v>97</v>
      </c>
      <c r="E31" s="26">
        <v>46206</v>
      </c>
      <c r="F31" s="27" t="s">
        <v>98</v>
      </c>
      <c r="G31" s="4"/>
      <c r="H31" s="5">
        <v>46206</v>
      </c>
      <c r="I31" s="25" t="s">
        <v>98</v>
      </c>
      <c r="J31" s="4" t="s">
        <v>14</v>
      </c>
      <c r="K31" s="4" t="s">
        <v>54</v>
      </c>
      <c r="L31" s="6" t="str">
        <f>IFERROR(VLOOKUP(K31, [1]Conceptos!A:B, 2, FALSE), "")</f>
        <v>1.182</v>
      </c>
      <c r="M31" s="7"/>
    </row>
    <row r="32" spans="1:13" ht="14.25" customHeight="1" thickBot="1" x14ac:dyDescent="0.4">
      <c r="A32" s="4">
        <v>2418</v>
      </c>
      <c r="B32" s="4" t="s">
        <v>12</v>
      </c>
      <c r="C32" s="4" t="s">
        <v>55</v>
      </c>
      <c r="D32" s="22" t="s">
        <v>99</v>
      </c>
      <c r="E32" s="23">
        <v>46209</v>
      </c>
      <c r="F32" s="24" t="s">
        <v>100</v>
      </c>
      <c r="G32" s="4"/>
      <c r="H32" s="5">
        <v>46209</v>
      </c>
      <c r="I32" s="22" t="s">
        <v>100</v>
      </c>
      <c r="J32" s="4" t="s">
        <v>14</v>
      </c>
      <c r="K32" s="4" t="s">
        <v>15</v>
      </c>
      <c r="L32" s="6" t="str">
        <f>IFERROR(VLOOKUP(K32, [1]Conceptos!A:B, 2, FALSE), "")</f>
        <v>0.250</v>
      </c>
      <c r="M32" s="7"/>
    </row>
    <row r="33" spans="1:13" ht="14.25" customHeight="1" thickBot="1" x14ac:dyDescent="0.4">
      <c r="A33" s="4">
        <v>2579</v>
      </c>
      <c r="B33" s="4" t="s">
        <v>56</v>
      </c>
      <c r="C33" s="4" t="s">
        <v>57</v>
      </c>
      <c r="D33" s="25" t="s">
        <v>101</v>
      </c>
      <c r="E33" s="26">
        <v>46209</v>
      </c>
      <c r="F33" s="27" t="s">
        <v>102</v>
      </c>
      <c r="G33" s="4"/>
      <c r="H33" s="5">
        <v>46209</v>
      </c>
      <c r="I33" s="25" t="s">
        <v>102</v>
      </c>
      <c r="J33" s="4" t="s">
        <v>14</v>
      </c>
      <c r="K33" s="4" t="s">
        <v>58</v>
      </c>
      <c r="L33" s="6" t="str">
        <f>IFERROR(VLOOKUP(K33, [1]Conceptos!A:B, 2, FALSE), "")</f>
        <v>12.025</v>
      </c>
      <c r="M33" s="7"/>
    </row>
    <row r="34" spans="1:13" ht="14.25" customHeight="1" thickBot="1" x14ac:dyDescent="0.4">
      <c r="A34" s="4">
        <v>2579</v>
      </c>
      <c r="B34" s="4" t="s">
        <v>56</v>
      </c>
      <c r="C34" s="4" t="s">
        <v>59</v>
      </c>
      <c r="D34" s="22" t="s">
        <v>103</v>
      </c>
      <c r="E34" s="23">
        <v>46209</v>
      </c>
      <c r="F34" s="24" t="s">
        <v>94</v>
      </c>
      <c r="G34" s="4"/>
      <c r="H34" s="5">
        <v>46209</v>
      </c>
      <c r="I34" s="22" t="s">
        <v>94</v>
      </c>
      <c r="J34" s="4" t="s">
        <v>14</v>
      </c>
      <c r="K34" s="4" t="s">
        <v>15</v>
      </c>
      <c r="L34" s="6" t="str">
        <f>IFERROR(VLOOKUP(K34, [1]Conceptos!A:B, 2, FALSE), "")</f>
        <v>0.250</v>
      </c>
      <c r="M34" s="7"/>
    </row>
    <row r="35" spans="1:13" ht="14.25" customHeight="1" thickBot="1" x14ac:dyDescent="0.4">
      <c r="A35" s="8">
        <v>1650</v>
      </c>
      <c r="B35" s="8" t="s">
        <v>16</v>
      </c>
      <c r="C35" s="8" t="s">
        <v>60</v>
      </c>
      <c r="D35" s="25" t="s">
        <v>104</v>
      </c>
      <c r="E35" s="26">
        <v>46213</v>
      </c>
      <c r="F35" s="27" t="s">
        <v>94</v>
      </c>
      <c r="G35" s="8"/>
      <c r="H35" s="9">
        <v>46213</v>
      </c>
      <c r="I35" s="25" t="s">
        <v>94</v>
      </c>
      <c r="J35" s="8" t="s">
        <v>14</v>
      </c>
      <c r="K35" s="8" t="s">
        <v>15</v>
      </c>
      <c r="L35" s="10" t="str">
        <f>IFERROR(VLOOKUP(K35, [1]Conceptos!A:B, 2, FALSE), "")</f>
        <v>0.250</v>
      </c>
      <c r="M35" s="11"/>
    </row>
    <row r="36" spans="1:13" ht="14.25" customHeight="1" thickBot="1" x14ac:dyDescent="0.4">
      <c r="A36" s="12">
        <v>2418</v>
      </c>
      <c r="B36" s="12" t="s">
        <v>12</v>
      </c>
      <c r="C36" s="12" t="s">
        <v>61</v>
      </c>
      <c r="D36" s="28" t="s">
        <v>105</v>
      </c>
      <c r="E36" s="29">
        <v>46213</v>
      </c>
      <c r="F36" s="30" t="s">
        <v>106</v>
      </c>
      <c r="G36" s="12"/>
      <c r="H36" s="13">
        <v>46213</v>
      </c>
      <c r="I36" s="28" t="s">
        <v>106</v>
      </c>
      <c r="J36" s="12" t="s">
        <v>14</v>
      </c>
      <c r="K36" s="12" t="s">
        <v>62</v>
      </c>
      <c r="L36" s="14" t="str">
        <f>IFERROR(VLOOKUP(K36, [1]Conceptos!A:B, 2, FALSE), "")</f>
        <v>0.117</v>
      </c>
      <c r="M36" s="15"/>
    </row>
    <row r="37" spans="1:13" x14ac:dyDescent="0.35">
      <c r="A37" s="4"/>
      <c r="B37" s="4"/>
      <c r="C37" s="4"/>
      <c r="D37" s="4"/>
      <c r="E37" s="5"/>
      <c r="F37" s="5"/>
      <c r="G37" s="4"/>
      <c r="H37" s="5"/>
      <c r="I37" s="4"/>
      <c r="J37" s="4"/>
      <c r="K37" s="4"/>
      <c r="L37" s="6" t="str">
        <f>IFERROR(VLOOKUP(K37, [1]Conceptos!A:B, 2, FALSE), "")</f>
        <v/>
      </c>
      <c r="M37" s="7"/>
    </row>
    <row r="38" spans="1:13" x14ac:dyDescent="0.35">
      <c r="A38" s="4"/>
      <c r="B38" s="4"/>
      <c r="C38" s="4"/>
      <c r="D38" s="4"/>
      <c r="E38" s="5"/>
      <c r="F38" s="5"/>
      <c r="G38" s="4"/>
      <c r="H38" s="5"/>
      <c r="I38" s="4"/>
      <c r="J38" s="4"/>
      <c r="K38" s="4"/>
      <c r="L38" s="6" t="str">
        <f>IFERROR(VLOOKUP(K38, [1]Conceptos!A:B, 2, FALSE), "")</f>
        <v/>
      </c>
      <c r="M38" s="7"/>
    </row>
    <row r="39" spans="1:13" x14ac:dyDescent="0.35">
      <c r="A39" s="4"/>
      <c r="B39" s="4"/>
      <c r="C39" s="4"/>
      <c r="D39" s="4"/>
      <c r="E39" s="5"/>
      <c r="F39" s="5"/>
      <c r="G39" s="4"/>
      <c r="H39" s="5"/>
      <c r="I39" s="4"/>
      <c r="J39" s="4"/>
      <c r="K39" s="4"/>
      <c r="L39" s="6" t="str">
        <f>IFERROR(VLOOKUP(K39, [1]Conceptos!A:B, 2, FALSE), "")</f>
        <v/>
      </c>
      <c r="M39" s="7"/>
    </row>
    <row r="40" spans="1:13" x14ac:dyDescent="0.35">
      <c r="A40" s="4"/>
      <c r="B40" s="4"/>
      <c r="C40" s="4"/>
      <c r="D40" s="4"/>
      <c r="E40" s="5"/>
      <c r="F40" s="5"/>
      <c r="G40" s="4"/>
      <c r="H40" s="5"/>
      <c r="I40" s="4"/>
      <c r="J40" s="4"/>
      <c r="K40" s="4"/>
      <c r="L40" s="6" t="str">
        <f>IFERROR(VLOOKUP(K40, [1]Conceptos!A:B, 2, FALSE), "")</f>
        <v/>
      </c>
      <c r="M40" s="7"/>
    </row>
    <row r="41" spans="1:13" x14ac:dyDescent="0.35">
      <c r="A41" s="4"/>
      <c r="B41" s="4"/>
      <c r="C41" s="4"/>
      <c r="D41" s="4"/>
      <c r="E41" s="5"/>
      <c r="F41" s="5"/>
      <c r="G41" s="4"/>
      <c r="H41" s="5"/>
      <c r="I41" s="4"/>
      <c r="J41" s="4"/>
      <c r="K41" s="4"/>
      <c r="L41" s="6" t="str">
        <f>IFERROR(VLOOKUP(K41, [1]Conceptos!A:B, 2, FALSE), "")</f>
        <v/>
      </c>
      <c r="M41" s="7"/>
    </row>
    <row r="42" spans="1:13" x14ac:dyDescent="0.35">
      <c r="A42" s="4"/>
      <c r="B42" s="4"/>
      <c r="C42" s="4"/>
      <c r="D42" s="4"/>
      <c r="E42" s="5"/>
      <c r="F42" s="5"/>
      <c r="G42" s="4"/>
      <c r="H42" s="5"/>
      <c r="I42" s="4"/>
      <c r="J42" s="4"/>
      <c r="K42" s="4"/>
      <c r="L42" s="6" t="str">
        <f>IFERROR(VLOOKUP(K42, [1]Conceptos!A:B, 2, FALSE), "")</f>
        <v/>
      </c>
      <c r="M42" s="7"/>
    </row>
    <row r="43" spans="1:13" x14ac:dyDescent="0.35">
      <c r="A43" s="4"/>
      <c r="B43" s="4"/>
      <c r="C43" s="4"/>
      <c r="D43" s="4"/>
      <c r="E43" s="5"/>
      <c r="F43" s="5"/>
      <c r="G43" s="4"/>
      <c r="H43" s="5"/>
      <c r="I43" s="4"/>
      <c r="J43" s="4"/>
      <c r="K43" s="4"/>
      <c r="L43" s="6" t="str">
        <f>IFERROR(VLOOKUP(K43, [1]Conceptos!A:B, 2, FALSE), "")</f>
        <v/>
      </c>
      <c r="M43" s="7"/>
    </row>
    <row r="44" spans="1:13" x14ac:dyDescent="0.35">
      <c r="A44" s="4"/>
      <c r="B44" s="4"/>
      <c r="C44" s="4"/>
      <c r="D44" s="4"/>
      <c r="E44" s="5"/>
      <c r="F44" s="5"/>
      <c r="G44" s="4"/>
      <c r="H44" s="5"/>
      <c r="I44" s="4"/>
      <c r="J44" s="4"/>
      <c r="K44" s="4"/>
      <c r="L44" s="6" t="str">
        <f>IFERROR(VLOOKUP(K44, [1]Conceptos!A:B, 2, FALSE), "")</f>
        <v/>
      </c>
      <c r="M44" s="7"/>
    </row>
    <row r="45" spans="1:13" x14ac:dyDescent="0.35">
      <c r="A45" s="4"/>
      <c r="B45" s="4"/>
      <c r="C45" s="4"/>
      <c r="D45" s="4"/>
      <c r="E45" s="5"/>
      <c r="F45" s="5"/>
      <c r="G45" s="4"/>
      <c r="H45" s="5"/>
      <c r="I45" s="4"/>
      <c r="J45" s="4"/>
      <c r="K45" s="4"/>
      <c r="L45" s="6" t="str">
        <f>IFERROR(VLOOKUP(K45, [1]Conceptos!A:B, 2, FALSE), "")</f>
        <v/>
      </c>
      <c r="M45" s="7"/>
    </row>
    <row r="46" spans="1:13" x14ac:dyDescent="0.35">
      <c r="A46" s="4"/>
      <c r="B46" s="4"/>
      <c r="C46" s="4"/>
      <c r="D46" s="4"/>
      <c r="E46" s="5"/>
      <c r="F46" s="5"/>
      <c r="G46" s="4"/>
      <c r="H46" s="5"/>
      <c r="I46" s="4"/>
      <c r="J46" s="4"/>
      <c r="K46" s="4"/>
      <c r="L46" s="6" t="str">
        <f>IFERROR(VLOOKUP(K46, [1]Conceptos!A:B, 2, FALSE), "")</f>
        <v/>
      </c>
      <c r="M46" s="7"/>
    </row>
    <row r="47" spans="1:13" x14ac:dyDescent="0.35">
      <c r="A47" s="4"/>
      <c r="B47" s="4"/>
      <c r="C47" s="4"/>
      <c r="D47" s="4"/>
      <c r="E47" s="5"/>
      <c r="F47" s="5"/>
      <c r="G47" s="4"/>
      <c r="H47" s="5"/>
      <c r="I47" s="4"/>
      <c r="J47" s="4"/>
      <c r="K47" s="4"/>
      <c r="L47" s="6" t="str">
        <f>IFERROR(VLOOKUP(K47, [1]Conceptos!A:B, 2, FALSE), "")</f>
        <v/>
      </c>
      <c r="M47" s="7"/>
    </row>
    <row r="48" spans="1:13" x14ac:dyDescent="0.35">
      <c r="A48" s="4"/>
      <c r="B48" s="4"/>
      <c r="C48" s="4"/>
      <c r="D48" s="4"/>
      <c r="E48" s="5"/>
      <c r="F48" s="5"/>
      <c r="G48" s="4"/>
      <c r="H48" s="5"/>
      <c r="I48" s="4"/>
      <c r="J48" s="4"/>
      <c r="K48" s="4"/>
      <c r="L48" s="6" t="str">
        <f>IFERROR(VLOOKUP(K48, [1]Conceptos!A:B, 2, FALSE), "")</f>
        <v/>
      </c>
      <c r="M48" s="7"/>
    </row>
    <row r="49" spans="1:13" x14ac:dyDescent="0.35">
      <c r="A49" s="4"/>
      <c r="B49" s="4"/>
      <c r="C49" s="4"/>
      <c r="D49" s="4"/>
      <c r="E49" s="5"/>
      <c r="F49" s="5"/>
      <c r="G49" s="4"/>
      <c r="H49" s="5"/>
      <c r="I49" s="4"/>
      <c r="J49" s="4"/>
      <c r="K49" s="4"/>
      <c r="L49" s="6" t="str">
        <f>IFERROR(VLOOKUP(K49, [1]Conceptos!A:B, 2, FALSE), "")</f>
        <v/>
      </c>
      <c r="M49" s="7"/>
    </row>
    <row r="50" spans="1:13" x14ac:dyDescent="0.35">
      <c r="A50" s="4"/>
      <c r="B50" s="4"/>
      <c r="C50" s="4"/>
      <c r="D50" s="4"/>
      <c r="E50" s="5"/>
      <c r="F50" s="5"/>
      <c r="G50" s="4"/>
      <c r="H50" s="5"/>
      <c r="I50" s="4"/>
      <c r="J50" s="4"/>
      <c r="K50" s="4"/>
      <c r="L50" s="6" t="str">
        <f>IFERROR(VLOOKUP(K50, [1]Conceptos!A:B, 2, FALSE), "")</f>
        <v/>
      </c>
      <c r="M50" s="7"/>
    </row>
    <row r="51" spans="1:13" x14ac:dyDescent="0.35">
      <c r="A51" s="4"/>
      <c r="B51" s="4"/>
      <c r="C51" s="4"/>
      <c r="D51" s="4"/>
      <c r="E51" s="5"/>
      <c r="F51" s="5"/>
      <c r="G51" s="4"/>
      <c r="H51" s="5"/>
      <c r="I51" s="4"/>
      <c r="J51" s="4"/>
      <c r="K51" s="4"/>
      <c r="L51" s="6" t="str">
        <f>IFERROR(VLOOKUP(K51, [1]Conceptos!A:B, 2, FALSE), "")</f>
        <v/>
      </c>
      <c r="M51" s="7"/>
    </row>
    <row r="52" spans="1:13" x14ac:dyDescent="0.35">
      <c r="A52" s="4"/>
      <c r="B52" s="4"/>
      <c r="C52" s="4"/>
      <c r="D52" s="4"/>
      <c r="E52" s="5"/>
      <c r="F52" s="5"/>
      <c r="G52" s="4"/>
      <c r="H52" s="5"/>
      <c r="I52" s="4"/>
      <c r="J52" s="4"/>
      <c r="K52" s="4"/>
      <c r="L52" s="6" t="str">
        <f>IFERROR(VLOOKUP(K52, [1]Conceptos!A:B, 2, FALSE), "")</f>
        <v/>
      </c>
      <c r="M52" s="7"/>
    </row>
    <row r="53" spans="1:13" x14ac:dyDescent="0.35">
      <c r="A53" s="4"/>
      <c r="B53" s="4"/>
      <c r="C53" s="4"/>
      <c r="D53" s="4"/>
      <c r="E53" s="5"/>
      <c r="F53" s="5"/>
      <c r="G53" s="4"/>
      <c r="H53" s="5"/>
      <c r="I53" s="4"/>
      <c r="J53" s="4"/>
      <c r="K53" s="4"/>
      <c r="L53" s="6" t="str">
        <f>IFERROR(VLOOKUP(K53, [1]Conceptos!A:B, 2, FALSE), "")</f>
        <v/>
      </c>
      <c r="M53" s="7"/>
    </row>
    <row r="54" spans="1:13" x14ac:dyDescent="0.35">
      <c r="A54" s="4"/>
      <c r="B54" s="4"/>
      <c r="C54" s="4"/>
      <c r="D54" s="4"/>
      <c r="E54" s="5"/>
      <c r="F54" s="5"/>
      <c r="G54" s="4"/>
      <c r="H54" s="5"/>
      <c r="I54" s="4"/>
      <c r="J54" s="4"/>
      <c r="K54" s="4"/>
      <c r="L54" s="6" t="str">
        <f>IFERROR(VLOOKUP(K54, [1]Conceptos!A:B, 2, FALSE), "")</f>
        <v/>
      </c>
      <c r="M54" s="7"/>
    </row>
    <row r="55" spans="1:13" x14ac:dyDescent="0.35">
      <c r="A55" s="4"/>
      <c r="B55" s="4"/>
      <c r="C55" s="4"/>
      <c r="D55" s="4"/>
      <c r="E55" s="5"/>
      <c r="F55" s="5"/>
      <c r="G55" s="4"/>
      <c r="H55" s="5"/>
      <c r="I55" s="4"/>
      <c r="J55" s="4"/>
      <c r="K55" s="4"/>
      <c r="L55" s="6" t="str">
        <f>IFERROR(VLOOKUP(K55, [1]Conceptos!A:B, 2, FALSE), "")</f>
        <v/>
      </c>
      <c r="M55" s="7"/>
    </row>
    <row r="56" spans="1:13" x14ac:dyDescent="0.35">
      <c r="A56" s="4"/>
      <c r="B56" s="4"/>
      <c r="C56" s="4"/>
      <c r="D56" s="4"/>
      <c r="E56" s="5"/>
      <c r="F56" s="5"/>
      <c r="G56" s="4"/>
      <c r="H56" s="5"/>
      <c r="I56" s="4"/>
      <c r="J56" s="4"/>
      <c r="K56" s="4"/>
      <c r="L56" s="6" t="str">
        <f>IFERROR(VLOOKUP(K56, [1]Conceptos!A:B, 2, FALSE), "")</f>
        <v/>
      </c>
      <c r="M56" s="7"/>
    </row>
    <row r="57" spans="1:13" x14ac:dyDescent="0.35">
      <c r="A57" s="4"/>
      <c r="B57" s="4"/>
      <c r="C57" s="4"/>
      <c r="D57" s="4"/>
      <c r="E57" s="5"/>
      <c r="F57" s="5"/>
      <c r="G57" s="4"/>
      <c r="H57" s="5"/>
      <c r="I57" s="4"/>
      <c r="J57" s="4"/>
      <c r="K57" s="4"/>
      <c r="L57" s="6" t="str">
        <f>IFERROR(VLOOKUP(K57, [1]Conceptos!A:B, 2, FALSE), "")</f>
        <v/>
      </c>
      <c r="M57" s="7"/>
    </row>
    <row r="58" spans="1:13" x14ac:dyDescent="0.35">
      <c r="A58" s="4"/>
      <c r="B58" s="4"/>
      <c r="C58" s="4"/>
      <c r="D58" s="4"/>
      <c r="E58" s="5"/>
      <c r="F58" s="5"/>
      <c r="G58" s="4"/>
      <c r="H58" s="5"/>
      <c r="I58" s="4"/>
      <c r="J58" s="4"/>
      <c r="K58" s="4"/>
      <c r="L58" s="6" t="str">
        <f>IFERROR(VLOOKUP(K58, [1]Conceptos!A:B, 2, FALSE), "")</f>
        <v/>
      </c>
      <c r="M58" s="7"/>
    </row>
    <row r="59" spans="1:13" x14ac:dyDescent="0.35">
      <c r="A59" s="4"/>
      <c r="B59" s="4"/>
      <c r="C59" s="4"/>
      <c r="D59" s="4"/>
      <c r="E59" s="5"/>
      <c r="F59" s="5"/>
      <c r="G59" s="4"/>
      <c r="H59" s="5"/>
      <c r="I59" s="4"/>
      <c r="J59" s="4"/>
      <c r="K59" s="4"/>
      <c r="L59" s="6" t="str">
        <f>IFERROR(VLOOKUP(K59, [1]Conceptos!A:B, 2, FALSE), "")</f>
        <v/>
      </c>
      <c r="M59" s="7"/>
    </row>
    <row r="60" spans="1:13" x14ac:dyDescent="0.35">
      <c r="A60" s="4"/>
      <c r="B60" s="4"/>
      <c r="C60" s="4"/>
      <c r="D60" s="4"/>
      <c r="E60" s="5"/>
      <c r="F60" s="5"/>
      <c r="G60" s="4"/>
      <c r="H60" s="5"/>
      <c r="I60" s="4"/>
      <c r="J60" s="4"/>
      <c r="K60" s="4"/>
      <c r="L60" s="6" t="str">
        <f>IFERROR(VLOOKUP(K60, [1]Conceptos!A:B, 2, FALSE), "")</f>
        <v/>
      </c>
      <c r="M60" s="7"/>
    </row>
    <row r="61" spans="1:13" x14ac:dyDescent="0.35">
      <c r="A61" s="4"/>
      <c r="B61" s="4"/>
      <c r="C61" s="4"/>
      <c r="D61" s="4"/>
      <c r="E61" s="5"/>
      <c r="F61" s="5"/>
      <c r="G61" s="4"/>
      <c r="H61" s="5"/>
      <c r="I61" s="4"/>
      <c r="J61" s="4"/>
      <c r="K61" s="4"/>
      <c r="L61" s="6" t="str">
        <f>IFERROR(VLOOKUP(K61, [1]Conceptos!A:B, 2, FALSE), "")</f>
        <v/>
      </c>
      <c r="M61" s="7"/>
    </row>
    <row r="62" spans="1:13" x14ac:dyDescent="0.35">
      <c r="A62" s="4"/>
      <c r="B62" s="4"/>
      <c r="C62" s="4"/>
      <c r="D62" s="4"/>
      <c r="E62" s="5"/>
      <c r="F62" s="5"/>
      <c r="G62" s="4"/>
      <c r="H62" s="5"/>
      <c r="I62" s="4"/>
      <c r="J62" s="4"/>
      <c r="K62" s="4"/>
      <c r="L62" s="6" t="str">
        <f>IFERROR(VLOOKUP(K62, [1]Conceptos!A:B, 2, FALSE), "")</f>
        <v/>
      </c>
      <c r="M62" s="7"/>
    </row>
  </sheetData>
  <dataValidations count="1">
    <dataValidation type="list" allowBlank="1" showInputMessage="1" showErrorMessage="1" sqref="J6" xr:uid="{4770ED86-21C8-473B-A29B-1F6C8C13E496}">
      <formula1>"Pte Tramitar,Pte Tramitar Olga,Pte Revisar,Facturado"</formula1>
    </dataValidation>
  </dataValidations>
  <pageMargins left="0.7" right="0.7" top="0.75" bottom="0.75" header="0.3" footer="0.3"/>
  <drawing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VARIOS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Cristian Rivero</dc:creator>
  <cp:lastModifiedBy>Gonzalo Martin</cp:lastModifiedBy>
  <dcterms:created xsi:type="dcterms:W3CDTF">2026-07-07T10:19:33Z</dcterms:created>
  <dcterms:modified xsi:type="dcterms:W3CDTF">2026-07-23T09:32:21Z</dcterms:modified>
</cp:coreProperties>
</file>