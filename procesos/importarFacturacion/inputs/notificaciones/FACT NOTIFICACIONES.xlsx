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laboral1\Desktop\"/>
    </mc:Choice>
  </mc:AlternateContent>
  <xr:revisionPtr revIDLastSave="0" documentId="8_{724E6F0E-A12F-47CF-87C7-3F5837721C8C}" xr6:coauthVersionLast="47" xr6:coauthVersionMax="47" xr10:uidLastSave="{00000000-0000-0000-0000-000000000000}"/>
  <bookViews>
    <workbookView xWindow="28680" yWindow="1560" windowWidth="29040" windowHeight="15720" xr2:uid="{698AA039-5E5C-4045-9761-E5161EBA87F5}"/>
  </bookViews>
  <sheets>
    <sheet name="Hoja1" sheetId="1" r:id="rId1"/>
    <sheet name="EX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3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Cinto Bustamante, Jesus</author>
  </authors>
  <commentList>
    <comment ref="F1" authorId="0" shapeId="0" xr:uid="{A973798D-2E59-4AB8-8E7A-B9D2E1015A0A}">
      <text>
        <r>
          <rPr>
            <sz val="11"/>
            <color theme="1"/>
            <rFont val="Calibri"/>
            <family val="2"/>
            <scheme val="minor"/>
          </rPr>
          <t>Dato Obligatorio.
Valores de 1 a 99.
Si este dato se deja sin informar, el programa de importación de datos lo interpretará como que es la marca para dejar de importar datos de esta hoja.</t>
        </r>
      </text>
    </comment>
    <comment ref="G1" authorId="0" shapeId="0" xr:uid="{A52E2E42-BBE6-4229-8F9A-452EB0FB3D17}">
      <text>
        <r>
          <rPr>
            <sz val="11"/>
            <color theme="1"/>
            <rFont val="Calibri"/>
            <family val="2"/>
            <scheme val="minor"/>
          </rPr>
          <t xml:space="preserve">Dato obligatorio.
Valores admitidos de 1 a 99
</t>
        </r>
      </text>
    </comment>
    <comment ref="H1" authorId="0" shapeId="0" xr:uid="{63DE59E6-C153-4717-A4A6-5A92CB13337C}">
      <text>
        <r>
          <rPr>
            <sz val="11"/>
            <color theme="1"/>
            <rFont val="Calibri"/>
            <family val="2"/>
            <scheme val="minor"/>
          </rPr>
          <t>Dato obligatorio.
Alfanumérico de 6 caracteres</t>
        </r>
      </text>
    </comment>
    <comment ref="I1" authorId="0" shapeId="0" xr:uid="{C2CC1DA2-5975-452C-BFE1-0675E31A58C2}">
      <text>
        <r>
          <rPr>
            <sz val="11"/>
            <color theme="1"/>
            <rFont val="Calibri"/>
            <family val="2"/>
            <scheme val="minor"/>
          </rPr>
          <t>Formato de fecha DD/MM/AAAA.</t>
        </r>
      </text>
    </comment>
    <comment ref="J1" authorId="0" shapeId="0" xr:uid="{B4877D0C-CF8C-4C3E-90FA-0A99EC37412B}">
      <text>
        <r>
          <rPr>
            <sz val="11"/>
            <color theme="1"/>
            <rFont val="Calibri"/>
            <family val="2"/>
            <scheme val="minor"/>
          </rPr>
          <t>Alfanumérico de máximo 50 caracteres.</t>
        </r>
      </text>
    </comment>
    <comment ref="K1" authorId="0" shapeId="0" xr:uid="{66CB68AC-AD6A-4EB3-9D24-BB588B89219F}">
      <text>
        <r>
          <rPr>
            <sz val="11"/>
            <color theme="1"/>
            <rFont val="Calibri"/>
            <family val="2"/>
            <scheme val="minor"/>
          </rPr>
          <t>Dato Obligatorio.
Tipos válidos del 0 al 3.
Tipos válidos del 0 al 3.
1 = 21%
2= 10 %
3=  4%</t>
        </r>
      </text>
    </comment>
    <comment ref="L1" authorId="0" shapeId="0" xr:uid="{E0C614A4-A099-4FEB-933D-E3F342E2D23C}">
      <text>
        <r>
          <rPr>
            <sz val="11"/>
            <color theme="1"/>
            <rFont val="Calibri"/>
            <family val="2"/>
            <scheme val="minor"/>
          </rPr>
          <t>Numérico: S9999,99
Signo, 4 enteros y 2 decimales.</t>
        </r>
      </text>
    </comment>
    <comment ref="M1" authorId="0" shapeId="0" xr:uid="{F8E3230F-D45B-4FC3-BEC0-DF3B75BA8F57}">
      <text>
        <r>
          <rPr>
            <sz val="11"/>
            <color theme="1"/>
            <rFont val="Calibri"/>
            <family val="2"/>
            <scheme val="minor"/>
          </rPr>
          <t>Informar en el caso de querer facturar un gasto.
Numérico: 999999999,99
9 enteros y 2 decimales.</t>
        </r>
      </text>
    </comment>
    <comment ref="N1" authorId="0" shapeId="0" xr:uid="{7DB9ACA4-AF69-4A13-ABE2-BA4DE25C99E3}">
      <text>
        <r>
          <rPr>
            <sz val="11"/>
            <color theme="1"/>
            <rFont val="Calibri"/>
            <family val="2"/>
            <scheme val="minor"/>
          </rPr>
          <t xml:space="preserve">Referencia del expediente al que vincular el concepto. 
Alfanumérico de hasta 22 caracteres. 
Si se deja sin informar o el expediente informado no existe se generará con un expediente genérico.
Se corresponde con el campo CLAVE_EXPEDIENTE de la tabla EXPEDIENTES de la exportación a access que se puede obtener en:
Utilidades -&gt; b360 -&gt;Exportar a Access
</t>
        </r>
      </text>
    </comment>
    <comment ref="O1" authorId="0" shapeId="0" xr:uid="{4333CCCC-73F8-4920-90A7-6D7A0F7FAFBB}">
      <text>
        <r>
          <rPr>
            <sz val="11"/>
            <color theme="1"/>
            <rFont val="Calibri"/>
            <family val="2"/>
            <scheme val="minor"/>
          </rPr>
          <t>Alfanumérico de 1000
 caracterres.</t>
        </r>
      </text>
    </comment>
  </commentList>
</comments>
</file>

<file path=xl/sharedStrings.xml><?xml version="1.0" encoding="utf-8"?>
<sst xmlns="http://schemas.openxmlformats.org/spreadsheetml/2006/main" count="1630" uniqueCount="1088">
  <si>
    <t>Empresa Facturadora</t>
  </si>
  <si>
    <t>Código Cliente</t>
  </si>
  <si>
    <t>Cód. Concepto Facturable</t>
  </si>
  <si>
    <t>Fecha</t>
  </si>
  <si>
    <t>Descripción</t>
  </si>
  <si>
    <t>Tipo de IVA</t>
  </si>
  <si>
    <t>Unidades</t>
  </si>
  <si>
    <t>Importe Gastos</t>
  </si>
  <si>
    <t>Código Expediente</t>
  </si>
  <si>
    <t>Descripción Ampliada</t>
  </si>
  <si>
    <t>Expediente</t>
  </si>
  <si>
    <t>Cliente</t>
  </si>
  <si>
    <t>Emisor</t>
  </si>
  <si>
    <t>F. Lectura</t>
  </si>
  <si>
    <t>Asunto</t>
  </si>
  <si>
    <t>A</t>
  </si>
  <si>
    <t>B</t>
  </si>
  <si>
    <t xml:space="preserve">C  </t>
  </si>
  <si>
    <t>D</t>
  </si>
  <si>
    <t xml:space="preserve">E </t>
  </si>
  <si>
    <t>F</t>
  </si>
  <si>
    <t>G</t>
  </si>
  <si>
    <t>H</t>
  </si>
  <si>
    <t>I</t>
  </si>
  <si>
    <t>J</t>
  </si>
  <si>
    <t>0147</t>
  </si>
  <si>
    <t>GREGORIO ANTONIO MESA DIAZ</t>
  </si>
  <si>
    <t>Agencia Estatal de Administración Tributaria</t>
  </si>
  <si>
    <t>Certificado estar al corriente</t>
  </si>
  <si>
    <t>Aviso Notificacion</t>
  </si>
  <si>
    <t>Certificado de estar al corriente Positivo</t>
  </si>
  <si>
    <t>0444</t>
  </si>
  <si>
    <t>CENTRO INFANTIL PIN Y PON, SL</t>
  </si>
  <si>
    <t>Diligencia de embargo de créditos</t>
  </si>
  <si>
    <t>0546</t>
  </si>
  <si>
    <t>FREMITEN,SL</t>
  </si>
  <si>
    <t>Rehabilitacion NIF</t>
  </si>
  <si>
    <t>0966</t>
  </si>
  <si>
    <t>SANTIAGO MELIAN SUAREZ</t>
  </si>
  <si>
    <t>1104</t>
  </si>
  <si>
    <t>TODOCEMENTO, SLU</t>
  </si>
  <si>
    <t>Providencia de apremio</t>
  </si>
  <si>
    <t>1245</t>
  </si>
  <si>
    <t>REPAMAGRI SL</t>
  </si>
  <si>
    <t>Levantamiento de embargo de créditos</t>
  </si>
  <si>
    <t>1815</t>
  </si>
  <si>
    <t>CRISTALERIA CRISTALFUERT, SL</t>
  </si>
  <si>
    <t>Reiteramiento de una diligencia de embargo de creditos</t>
  </si>
  <si>
    <t>1960</t>
  </si>
  <si>
    <t>BEATRIZ GUTIERREZ FLORES</t>
  </si>
  <si>
    <t>1985</t>
  </si>
  <si>
    <t>CHEN SI</t>
  </si>
  <si>
    <t>Procedimiento sancionador Renta 2022</t>
  </si>
  <si>
    <t>2149</t>
  </si>
  <si>
    <t>HUI CHEN</t>
  </si>
  <si>
    <t>Embargo de bienes muebles</t>
  </si>
  <si>
    <t>2248</t>
  </si>
  <si>
    <t>JOVANNA DEL CARMEN LARSSON UMPIERREZ</t>
  </si>
  <si>
    <t>Compensacion de deuda</t>
  </si>
  <si>
    <t>PALOMA LIDIA RODRIGUEZ ALONSO</t>
  </si>
  <si>
    <t>Comunicacion pago de devolucion</t>
  </si>
  <si>
    <t>2282</t>
  </si>
  <si>
    <t>RADICES CONSULTING SLU</t>
  </si>
  <si>
    <t>Notificación diligencia de embargo</t>
  </si>
  <si>
    <t>2375</t>
  </si>
  <si>
    <t>SARAY BIENVENIDA GAMEZ SANTOS</t>
  </si>
  <si>
    <t>2383</t>
  </si>
  <si>
    <t>ORLEXNYS LOPEZ GONZALEZ</t>
  </si>
  <si>
    <t>Comunicación pago de devolucion</t>
  </si>
  <si>
    <t>2444</t>
  </si>
  <si>
    <t>TERREHOSTE SL</t>
  </si>
  <si>
    <t>Certificado de estar al corriente AEAT-Negativo</t>
  </si>
  <si>
    <t>Tramite de alegaciones</t>
  </si>
  <si>
    <t>IRPF 2025</t>
  </si>
  <si>
    <t>2557</t>
  </si>
  <si>
    <t>MONTSERRAT AMAYA CARBALLO</t>
  </si>
  <si>
    <t>Comunicacion familia numerosa</t>
  </si>
  <si>
    <t>2580</t>
  </si>
  <si>
    <t>FRANCISCO JAVIER RODRIGUEZ GARCIA</t>
  </si>
  <si>
    <t>Comunicación pago devolución</t>
  </si>
  <si>
    <t>Acuerdo de compensación de deuda</t>
  </si>
  <si>
    <t>2587</t>
  </si>
  <si>
    <t>NICOLAS RODRIGUEZ CORONA</t>
  </si>
  <si>
    <t>Diligencia de embargo de sueldo</t>
  </si>
  <si>
    <t>Diligencia de embargo de sueldos</t>
  </si>
  <si>
    <t>2593</t>
  </si>
  <si>
    <t>ALAIN MAHY HERNANDEZ VIZCAINO</t>
  </si>
  <si>
    <t>0641</t>
  </si>
  <si>
    <t>JOSE LUIS PEREZ SUAREZ</t>
  </si>
  <si>
    <t>Agencia Tributaria Canaria</t>
  </si>
  <si>
    <t>Carta informativa modelo 714</t>
  </si>
  <si>
    <t>1771</t>
  </si>
  <si>
    <t>MARIA PILAR MARTIN SANTIAGO</t>
  </si>
  <si>
    <t>ANTONIO MUÑOZ GALVAN</t>
  </si>
  <si>
    <t>1841</t>
  </si>
  <si>
    <t>MARIA EUGENIA LUGO FERNANDEZ</t>
  </si>
  <si>
    <t>2095</t>
  </si>
  <si>
    <t>RODRIGUEZ Y VALLADOLID SL</t>
  </si>
  <si>
    <t>2290</t>
  </si>
  <si>
    <t>ANTONIO BLAS DAVILA PEREZ</t>
  </si>
  <si>
    <t>CANARY GREEN CORNER, S.L.U</t>
  </si>
  <si>
    <t>Resolución de desistimiento de las peticiones de inscripción en el registro territorial CIM</t>
  </si>
  <si>
    <t>Requerimiento de datos</t>
  </si>
  <si>
    <t>Ayuntamiento de Arona</t>
  </si>
  <si>
    <t>5000</t>
  </si>
  <si>
    <t>FRUTAS Y VERDURAS PARAISO SL</t>
  </si>
  <si>
    <t>Providencia de apremio - Basura</t>
  </si>
  <si>
    <t>Ayuntamiento de Arrecife</t>
  </si>
  <si>
    <t>Acceso a la Información Pública por los Ciudadanos - Gasolineras</t>
  </si>
  <si>
    <t>TRUENO IMPORTACION SL</t>
  </si>
  <si>
    <t>Ayuntamiento de Güímar</t>
  </si>
  <si>
    <t>Sancionador de Tráfico y Transportes incoación procedimiento sancionador por no identificación del conductor</t>
  </si>
  <si>
    <t>Ayuntamiento de Orotava, La</t>
  </si>
  <si>
    <t>Planeamiento General CAMBIO DE SISTEMA DE EJECUCIÓN PÚBLICA POR COOPERACIÓN POR SISTEMA PRIVADO PLAN PARCI</t>
  </si>
  <si>
    <t>1694</t>
  </si>
  <si>
    <t>ALFONSO FELIPE RODRIGUEZ  HERNANDEZ</t>
  </si>
  <si>
    <t>Ayuntamiento de San Cristóbal de La Laguna</t>
  </si>
  <si>
    <t>Impuesto de incremento de valor de terrenos</t>
  </si>
  <si>
    <t>FERNANDO RODRIGUEZ HERNANDEZ</t>
  </si>
  <si>
    <t>Impuesto incremento del valor de terrenos</t>
  </si>
  <si>
    <t>2423</t>
  </si>
  <si>
    <t>LLARYSA INMACULADA ACOSTA COUTO</t>
  </si>
  <si>
    <t>Tasa de basuras</t>
  </si>
  <si>
    <t>2545</t>
  </si>
  <si>
    <t>ANA MARIA DE LEON DE LEON</t>
  </si>
  <si>
    <t>Recibo IBIU</t>
  </si>
  <si>
    <t>FLORES MARIA DE LEON SL</t>
  </si>
  <si>
    <t>Tasa de recogida de basuras</t>
  </si>
  <si>
    <t>2421</t>
  </si>
  <si>
    <t>QUALITY DRIVERS SC</t>
  </si>
  <si>
    <t>Ayuntamiento de Santa Cruz de Tenerife</t>
  </si>
  <si>
    <t>Requerimiento de documentación</t>
  </si>
  <si>
    <t>1303</t>
  </si>
  <si>
    <t>GUILLE Y ARON, SLU</t>
  </si>
  <si>
    <t>Cabildo de Tenerife. Área de Movilidad</t>
  </si>
  <si>
    <t>Remisión de copia de expediente sancionador TF-2023-41959</t>
  </si>
  <si>
    <t>Cabildo Insular de Fuerteventura</t>
  </si>
  <si>
    <t>LIQUIDACION 1T IMPTO.DEPOSITO DE RESIDUOS EN VERTEDEROS</t>
  </si>
  <si>
    <t>TASAS TRATAMIENTO Y ELIMINACION DE RESIDUOS EN EL COMPLEJO AMBIENTAL</t>
  </si>
  <si>
    <t>Cabildo Insular de Tenerife</t>
  </si>
  <si>
    <t>Sanción multa</t>
  </si>
  <si>
    <t>0393</t>
  </si>
  <si>
    <t>DISTRIBUCIONES EXCLUSIVAS SERCOIS SL</t>
  </si>
  <si>
    <t>Consorcio de tributos de tenerife</t>
  </si>
  <si>
    <t>Impuesto Vehículos Tracción Mecánica</t>
  </si>
  <si>
    <t>MARIA LUCIA ACUÑA MARTIN</t>
  </si>
  <si>
    <t>0672</t>
  </si>
  <si>
    <t>LA ESTRELLA DE BLUMAR SL</t>
  </si>
  <si>
    <t>1031</t>
  </si>
  <si>
    <t>GANDOLAS DE TENERIFE SL</t>
  </si>
  <si>
    <t>1447</t>
  </si>
  <si>
    <t>EXPOTENERIFE SL</t>
  </si>
  <si>
    <t>ENTRADA VEHIC.Y RESVA.APARCAM</t>
  </si>
  <si>
    <t>Dirección General de Calidad Ambiental</t>
  </si>
  <si>
    <t>Resolucion consulta</t>
  </si>
  <si>
    <t>Productor RP - Cambio titularidad</t>
  </si>
  <si>
    <t>Dirección General de Energía</t>
  </si>
  <si>
    <t>Comunicación de inscripción de estación de servicio</t>
  </si>
  <si>
    <t>Dirección General de Industria</t>
  </si>
  <si>
    <t>Resolución relativa a vigilancia de mercado.</t>
  </si>
  <si>
    <t>Dirección General de Protección a la Infancia y la Familia</t>
  </si>
  <si>
    <t>Notificación de Resolución Estimatoria Reconocimiento/Renovación del Título de Familia Numerosa</t>
  </si>
  <si>
    <t>RODRIGUEZ &amp; LARSSON S.C.</t>
  </si>
  <si>
    <t>Dirección General de Relaciones con la Administración de Justicia</t>
  </si>
  <si>
    <t>Notificación del juzgado Plaza No 6 del Tribunal de Instancia (Sección Social) (Santa Cruz de Tenerife)</t>
  </si>
  <si>
    <t>Dirección General de Trabajo</t>
  </si>
  <si>
    <t>NOTIFICACION / FIN EXP SANCIONADOR</t>
  </si>
  <si>
    <t>NOTIFICACION / ACTO SEMAC 05/05/26 ROBERTO GARCIA PACHECO</t>
  </si>
  <si>
    <t>NOTIFICACION</t>
  </si>
  <si>
    <t xml:space="preserve">NUEVA CITACIÓN PARA ARBITRAJE TRAS SUSPENSIÓN </t>
  </si>
  <si>
    <t>NOTIFICACION SEMAC PATRICIA ALZOLA</t>
  </si>
  <si>
    <t>NOTIFICACION SEMAC 05/05/26 / JOSE RAFAEL PEREZ GONZALEZ</t>
  </si>
  <si>
    <t>1826</t>
  </si>
  <si>
    <t>FRANCISCO JAVIE FERNANDEZ GAN</t>
  </si>
  <si>
    <t>Dirección General de Universidades e Investigación</t>
  </si>
  <si>
    <t>Tercera resolución provisional becas universitarias con puesta a disposición en sede anexo unidad familiar</t>
  </si>
  <si>
    <t>0479</t>
  </si>
  <si>
    <t>VALTESOL PROMOC., SL</t>
  </si>
  <si>
    <t>Dirección General del Catastro</t>
  </si>
  <si>
    <t>ACUERDO DE BAJA DE TITULARIDAD</t>
  </si>
  <si>
    <t>PROYECTO E INVERSIONES VALTEN SL</t>
  </si>
  <si>
    <t>Acuerdo de rectificación datos de titularidad</t>
  </si>
  <si>
    <t>1390</t>
  </si>
  <si>
    <t>SERGIO HELI JIMENEZ CHICA</t>
  </si>
  <si>
    <t>Gerencia Municipal de Urbanismo de la Laguna</t>
  </si>
  <si>
    <t>Licencia de legalización</t>
  </si>
  <si>
    <t>Organismo Estatal Inspección de Trabajo y Seguridad Social</t>
  </si>
  <si>
    <t>Acta de infracción I382026000065038</t>
  </si>
  <si>
    <t>0419</t>
  </si>
  <si>
    <t>DOMINGO RODRIGUEZ GONZALEZ</t>
  </si>
  <si>
    <t>Seguridad Social</t>
  </si>
  <si>
    <t>REGIMENES SEG. SOCIAL - Resolucion cambio base cotizacion Domingo 010526</t>
  </si>
  <si>
    <t>ANIBAL RODRIGUEZ BARROSO</t>
  </si>
  <si>
    <t>REGIMENES SEG. SOCIAL OBLIGADOS A RED / REQUERIMIENTO DE BIENES</t>
  </si>
  <si>
    <t>1481</t>
  </si>
  <si>
    <t>GESTABAC CANARIAS, SL</t>
  </si>
  <si>
    <t xml:space="preserve">REGIMENES SEG. SOCIAL OBLIGADOS A RED / CREDITOS Y DERECHOS </t>
  </si>
  <si>
    <t>CARLA CAIROS DA SILVA</t>
  </si>
  <si>
    <t>2562</t>
  </si>
  <si>
    <t>LUCTAYA S.L.</t>
  </si>
  <si>
    <t>REGIMENES SEG. SOCIAL OBLIGADOS A RED / RESOL. DEVOL. INGRESOS INDEBIDOS EN EXP DE APREMIO</t>
  </si>
  <si>
    <t>Tesoreria General de la Seguridad Social</t>
  </si>
  <si>
    <t>REGIMENES SEG. SOCIAL OBLIGADOS A RED / NOT. DIL.LEV.EMB. PERS. O ENTID. PAGAD.</t>
  </si>
  <si>
    <t>REGIMENES SEG. SOCIAL OBLIGADOS A RED / PROVIDENCIA DE APREMIO</t>
  </si>
  <si>
    <t>1544</t>
  </si>
  <si>
    <t>CARLOS GIMENO OCHOA</t>
  </si>
  <si>
    <t>REGIMENES SEG. SOCIAL - NOT. EMBARGO CUENTAS CORRIENTES Y AHORRO</t>
  </si>
  <si>
    <t>1836</t>
  </si>
  <si>
    <t>GAN INSTALACIONES Y SERVICIOS, SL.</t>
  </si>
  <si>
    <t>REGIMENES SEG. SOCIAL - COMUNICACIÓN SALDO ACREEDOR</t>
  </si>
  <si>
    <t>REGIMENES SEG. SOCIAL OBLIGADOS A RED / 3802V0326044361302 / PROVIDENCIA DE APREMIO</t>
  </si>
  <si>
    <t>REGIMENES SEG. SOCIAL OBLIGADOS A RED / 3802V0326044361706 / PROVIDENCIA DE APREMIO</t>
  </si>
  <si>
    <t>REGIMENES SEG. SOCIAL OBLIGADOS A RED / 3802V0326044361504 / PROVIDENCIA DE APREMIO</t>
  </si>
  <si>
    <t>REGIMENES SEG. SOCIAL OBLIGADOS A RED / 3802V0326044361403 / PROVIDENCIA DE APREMIO</t>
  </si>
  <si>
    <t>REGIMENES SEG. SOCIAL OBLIGADOS A RED / 3802V0326044362211 / PROVIDENCIA DE APREMIO</t>
  </si>
  <si>
    <t>REGIMENES SEG. SOCIAL OBLIGADOS A RED / 3802V0326044361605 / PROVIDENCIA DE APREMIO</t>
  </si>
  <si>
    <t>REGIMENES SEG. SOCIAL OBLIGADOS A RED / 3802V0326044362009 / PROVIDENCIA DE APREMIO</t>
  </si>
  <si>
    <t>REGIMENES SEG. SOCIAL OBLIGADOS A RED / 3802V0326044361807 / PROVIDENCIA DE APREMIO</t>
  </si>
  <si>
    <t>REGIMENES SEG. SOCIAL OBLIGADOS A RED / 3802V0326044362413 / PROVIDENCIA DE APREMIO</t>
  </si>
  <si>
    <t>REGIMENES SEG. SOCIAL OBLIGADOS A RED / 3802V0326044361908 / PROVIDENCIA DE APREMIO</t>
  </si>
  <si>
    <t>REGIMENES SEG. SOCIAL OBLIGADOS A RED / 3802V0326044362312 / PROVIDENCIA DE APREMIO</t>
  </si>
  <si>
    <t>REGIMENES SEG. SOCIAL OBLIGADOS A RED / 3802V0326044362110 / PROVIDENCIA DE APREMIO</t>
  </si>
  <si>
    <t>REGIMENES SEG. SOCIAL OBLIGADOS A RED / RECLAMACIÓN DE DEUDA DIFERENCIA BASES 2023</t>
  </si>
  <si>
    <t>2461</t>
  </si>
  <si>
    <t>CLAUDIA PATRICIA PARRA</t>
  </si>
  <si>
    <t>2517</t>
  </si>
  <si>
    <t>KEFREN AFONSO GIL</t>
  </si>
  <si>
    <t>REGIMENES SEG. SOCIAL NO OBLIGADOS A RED / 3801V0126038743281 / RECLAMACIÓN DE DEUDA</t>
  </si>
  <si>
    <t>REGIMENES SEG. SOCIAL NO OBLIGADOS A RED / 3801V0126038743079 / RECLAMACIÓN DE DEUDA</t>
  </si>
  <si>
    <t>2519</t>
  </si>
  <si>
    <t>FRANCISCO JAVIER MARTIN BACALLADO</t>
  </si>
  <si>
    <t>REGIMENES SEG. PROVIDENCIA DE APREMIO</t>
  </si>
  <si>
    <t>expte</t>
  </si>
  <si>
    <t>expte fact</t>
  </si>
  <si>
    <t>00005-00520324</t>
  </si>
  <si>
    <t>00008-00397817</t>
  </si>
  <si>
    <t>00022-00431617</t>
  </si>
  <si>
    <t>00028-00397917</t>
  </si>
  <si>
    <t>00043-00471118</t>
  </si>
  <si>
    <t>00045-00517823</t>
  </si>
  <si>
    <t>00059-00508422</t>
  </si>
  <si>
    <t>00061-00398017</t>
  </si>
  <si>
    <t>00068-00398117</t>
  </si>
  <si>
    <t>00070-00516023</t>
  </si>
  <si>
    <t>00099-00487320</t>
  </si>
  <si>
    <t>00104-00398217</t>
  </si>
  <si>
    <t>00127-00498821</t>
  </si>
  <si>
    <t>00131-00489320</t>
  </si>
  <si>
    <t>00134-00398617</t>
  </si>
  <si>
    <t>00147-00398717</t>
  </si>
  <si>
    <t>00164-00398917</t>
  </si>
  <si>
    <t>00171-00399017</t>
  </si>
  <si>
    <t>00172-00454917</t>
  </si>
  <si>
    <t>00174-00399117</t>
  </si>
  <si>
    <t>00205-00514023</t>
  </si>
  <si>
    <t>00208-00399217</t>
  </si>
  <si>
    <t>00228-00434617</t>
  </si>
  <si>
    <t>00233-00399317</t>
  </si>
  <si>
    <t>00241-00488220</t>
  </si>
  <si>
    <t>00242-00491720</t>
  </si>
  <si>
    <t>00276-00480819</t>
  </si>
  <si>
    <t>00316-00476919</t>
  </si>
  <si>
    <t>00333-00429117</t>
  </si>
  <si>
    <t>00334-00431517</t>
  </si>
  <si>
    <t>00347-00399717</t>
  </si>
  <si>
    <t>00352-00399817</t>
  </si>
  <si>
    <t>00377-00399917</t>
  </si>
  <si>
    <t>00393-00430017</t>
  </si>
  <si>
    <t>00396-00508722</t>
  </si>
  <si>
    <t>00419-00400017</t>
  </si>
  <si>
    <t>00430-00400117</t>
  </si>
  <si>
    <t>00438-00518523</t>
  </si>
  <si>
    <t>00444-00400217</t>
  </si>
  <si>
    <t>00448-00515823</t>
  </si>
  <si>
    <t>00449-00480719</t>
  </si>
  <si>
    <t>00458-00447117</t>
  </si>
  <si>
    <t>00466-00400417</t>
  </si>
  <si>
    <t>00486-00400617</t>
  </si>
  <si>
    <t>00500-00479719</t>
  </si>
  <si>
    <t>00524-00431117</t>
  </si>
  <si>
    <t>00530-00489020</t>
  </si>
  <si>
    <t>00546-00520424</t>
  </si>
  <si>
    <t>00558-00496521</t>
  </si>
  <si>
    <t>00559-00400917</t>
  </si>
  <si>
    <t>00566-00440017</t>
  </si>
  <si>
    <t>00585-00401117</t>
  </si>
  <si>
    <t>00594-00500821</t>
  </si>
  <si>
    <t>00596-00509222</t>
  </si>
  <si>
    <t>00614-00436217</t>
  </si>
  <si>
    <t>00615-00436117</t>
  </si>
  <si>
    <t>00621-00401317</t>
  </si>
  <si>
    <t>00636-00401417</t>
  </si>
  <si>
    <t>00641-00432217</t>
  </si>
  <si>
    <t>00654-00523824</t>
  </si>
  <si>
    <t>00658-00440417</t>
  </si>
  <si>
    <t>00659-00510022</t>
  </si>
  <si>
    <t>00663-00428617</t>
  </si>
  <si>
    <t>00672-00496021</t>
  </si>
  <si>
    <t>00680-00539326</t>
  </si>
  <si>
    <t>00681-00450517</t>
  </si>
  <si>
    <t>00699-00434817</t>
  </si>
  <si>
    <t>00707-00401717</t>
  </si>
  <si>
    <t>00717-00431317</t>
  </si>
  <si>
    <t>00722-00430517</t>
  </si>
  <si>
    <t>00731-00501521</t>
  </si>
  <si>
    <t>00750-00401817</t>
  </si>
  <si>
    <t>00761-00438917</t>
  </si>
  <si>
    <t>00770-00402017</t>
  </si>
  <si>
    <t>00773-00436317</t>
  </si>
  <si>
    <t>00802-00402117</t>
  </si>
  <si>
    <t>00858-00434417</t>
  </si>
  <si>
    <t>00869-00402317</t>
  </si>
  <si>
    <t>00879-00432717</t>
  </si>
  <si>
    <t>00882-00446317</t>
  </si>
  <si>
    <t>00885-00428917</t>
  </si>
  <si>
    <t>00920-00402517</t>
  </si>
  <si>
    <t>00921-00523324</t>
  </si>
  <si>
    <t>00924-00402717</t>
  </si>
  <si>
    <t>00945-00402817</t>
  </si>
  <si>
    <t>00962-00474518</t>
  </si>
  <si>
    <t>00969-00440517</t>
  </si>
  <si>
    <t>00977-00403017</t>
  </si>
  <si>
    <t>01003-00403117</t>
  </si>
  <si>
    <t>01010-00505022</t>
  </si>
  <si>
    <t>01011-00430117</t>
  </si>
  <si>
    <t>01012-00480119</t>
  </si>
  <si>
    <t>01019-00531625</t>
  </si>
  <si>
    <t>01020-00464217</t>
  </si>
  <si>
    <t>01025-00429917</t>
  </si>
  <si>
    <t>01031-00403417</t>
  </si>
  <si>
    <t>01036-00519024</t>
  </si>
  <si>
    <t>01045-00403717</t>
  </si>
  <si>
    <t>01058-00403817</t>
  </si>
  <si>
    <t>01065-00404017</t>
  </si>
  <si>
    <t>01087-00429417</t>
  </si>
  <si>
    <t>01091-00491320</t>
  </si>
  <si>
    <t>01095-00404117</t>
  </si>
  <si>
    <t>01100-00404217</t>
  </si>
  <si>
    <t>01104-00404417</t>
  </si>
  <si>
    <t>01106-00404517</t>
  </si>
  <si>
    <t>01113-00404617</t>
  </si>
  <si>
    <t>01116-00404717</t>
  </si>
  <si>
    <t>01117-00404817</t>
  </si>
  <si>
    <t>01118-00457817</t>
  </si>
  <si>
    <t>01126-00404917</t>
  </si>
  <si>
    <t>01129-00468618</t>
  </si>
  <si>
    <t>01133-00405017</t>
  </si>
  <si>
    <t>01135-00513122</t>
  </si>
  <si>
    <t>01144-00519824</t>
  </si>
  <si>
    <t>01146-00468018</t>
  </si>
  <si>
    <t>01150-00436017</t>
  </si>
  <si>
    <t>01155-00429717</t>
  </si>
  <si>
    <t>01173-00435617</t>
  </si>
  <si>
    <t>01184-00499021</t>
  </si>
  <si>
    <t>01187-00430417</t>
  </si>
  <si>
    <t>01193-00428717</t>
  </si>
  <si>
    <t>01201-00405117</t>
  </si>
  <si>
    <t>01203-00405217</t>
  </si>
  <si>
    <t>01216-00440617</t>
  </si>
  <si>
    <t>01217-00434917</t>
  </si>
  <si>
    <t>01222-00430617</t>
  </si>
  <si>
    <t>01234-00405317</t>
  </si>
  <si>
    <t>01235-00405417</t>
  </si>
  <si>
    <t>01240-00428417</t>
  </si>
  <si>
    <t>01241-00405617</t>
  </si>
  <si>
    <t>01245-00405717</t>
  </si>
  <si>
    <t>01246-00405817</t>
  </si>
  <si>
    <t>01248-00405917</t>
  </si>
  <si>
    <t>01250-00479919</t>
  </si>
  <si>
    <t>01254-00406117</t>
  </si>
  <si>
    <t>01279-00406217</t>
  </si>
  <si>
    <t>01291-00406417</t>
  </si>
  <si>
    <t>01294-00434717</t>
  </si>
  <si>
    <t>01301-00433717</t>
  </si>
  <si>
    <t>01303-00430917</t>
  </si>
  <si>
    <t>01305-00444317</t>
  </si>
  <si>
    <t>01306-00406517</t>
  </si>
  <si>
    <t>01315-00434117</t>
  </si>
  <si>
    <t>01343-00446017</t>
  </si>
  <si>
    <t>01344-00435817</t>
  </si>
  <si>
    <t>01353-00406817</t>
  </si>
  <si>
    <t>01356-00406917</t>
  </si>
  <si>
    <t>01361-00429517</t>
  </si>
  <si>
    <t>01368-00407017</t>
  </si>
  <si>
    <t>01369-00407117</t>
  </si>
  <si>
    <t>01378-00407417</t>
  </si>
  <si>
    <t>01386-00407517</t>
  </si>
  <si>
    <t>01390-00449917</t>
  </si>
  <si>
    <t>01391-00407617</t>
  </si>
  <si>
    <t>01420-00440317</t>
  </si>
  <si>
    <t>01421-00407717</t>
  </si>
  <si>
    <t>01425-00430317</t>
  </si>
  <si>
    <t>01436-00407917</t>
  </si>
  <si>
    <t>01437-00538826</t>
  </si>
  <si>
    <t>01439-00438817</t>
  </si>
  <si>
    <t>01441-00408017</t>
  </si>
  <si>
    <t>01442-00408117</t>
  </si>
  <si>
    <t>01446-00408217</t>
  </si>
  <si>
    <t>01447-00476418</t>
  </si>
  <si>
    <t>01448-00408317</t>
  </si>
  <si>
    <t>01462-00408417</t>
  </si>
  <si>
    <t>01465-00450917</t>
  </si>
  <si>
    <t>01475-00442817</t>
  </si>
  <si>
    <t>01476-00483419</t>
  </si>
  <si>
    <t>01481-00494720</t>
  </si>
  <si>
    <t>01487-00408717</t>
  </si>
  <si>
    <t>01499-00408917</t>
  </si>
  <si>
    <t>01500-00409017</t>
  </si>
  <si>
    <t>01503-00409117</t>
  </si>
  <si>
    <t>01504-00409217</t>
  </si>
  <si>
    <t>01510-00409317</t>
  </si>
  <si>
    <t>01519-00431017</t>
  </si>
  <si>
    <t>01527-00409417</t>
  </si>
  <si>
    <t>01536-00409517</t>
  </si>
  <si>
    <t>01544-00529725</t>
  </si>
  <si>
    <t>01558-00409617</t>
  </si>
  <si>
    <t>01559-00438717</t>
  </si>
  <si>
    <t>01561-00439017</t>
  </si>
  <si>
    <t>01563-00409717</t>
  </si>
  <si>
    <t>01566-00432117</t>
  </si>
  <si>
    <t>01574-00475818</t>
  </si>
  <si>
    <t>01576-00460417</t>
  </si>
  <si>
    <t>01584-00410017</t>
  </si>
  <si>
    <t>01586-00480219</t>
  </si>
  <si>
    <t>01590-00410217</t>
  </si>
  <si>
    <t>01591-00410317</t>
  </si>
  <si>
    <t>01594-00410417</t>
  </si>
  <si>
    <t>01599-00410617</t>
  </si>
  <si>
    <t>01601-00469818</t>
  </si>
  <si>
    <t>01605-00432617</t>
  </si>
  <si>
    <t>01607-00410717</t>
  </si>
  <si>
    <t>01610-00410817</t>
  </si>
  <si>
    <t>01611-00410917</t>
  </si>
  <si>
    <t>01613-00469518</t>
  </si>
  <si>
    <t>01616-00431917</t>
  </si>
  <si>
    <t>01628-00411117</t>
  </si>
  <si>
    <t>01633-00411217</t>
  </si>
  <si>
    <t>01636-00435917</t>
  </si>
  <si>
    <t>01643-00411417</t>
  </si>
  <si>
    <t>01644-00411517</t>
  </si>
  <si>
    <t>01645-00411617</t>
  </si>
  <si>
    <t>01650-00411817</t>
  </si>
  <si>
    <t>01652-00507322</t>
  </si>
  <si>
    <t>01657-00506422</t>
  </si>
  <si>
    <t>01658-00412017</t>
  </si>
  <si>
    <t>01660-00435417</t>
  </si>
  <si>
    <t>01668-00412217</t>
  </si>
  <si>
    <t>01670-00412317</t>
  </si>
  <si>
    <t>01671-00412417</t>
  </si>
  <si>
    <t>01674-00439817</t>
  </si>
  <si>
    <t>01677-00412517</t>
  </si>
  <si>
    <t>01681-00412717</t>
  </si>
  <si>
    <t>01682-00412817</t>
  </si>
  <si>
    <t>01683-00412917</t>
  </si>
  <si>
    <t>01684-00467218</t>
  </si>
  <si>
    <t>01686-00472318</t>
  </si>
  <si>
    <t>01690-00496721</t>
  </si>
  <si>
    <t>01693-00413117</t>
  </si>
  <si>
    <t>01694-00413217</t>
  </si>
  <si>
    <t>01696-00533025</t>
  </si>
  <si>
    <t>01700-00432817</t>
  </si>
  <si>
    <t>01702-00439217</t>
  </si>
  <si>
    <t>01703-00439317</t>
  </si>
  <si>
    <t>01704-00435717</t>
  </si>
  <si>
    <t>01706-00525124</t>
  </si>
  <si>
    <t>01708-00527724</t>
  </si>
  <si>
    <t>01709-00413417</t>
  </si>
  <si>
    <t>01712-00433017</t>
  </si>
  <si>
    <t>01716-00432517</t>
  </si>
  <si>
    <t>01719-00431817</t>
  </si>
  <si>
    <t>01721-00491120</t>
  </si>
  <si>
    <t>01723-00413517</t>
  </si>
  <si>
    <t>01724-00430217</t>
  </si>
  <si>
    <t>01725-00413617</t>
  </si>
  <si>
    <t>01731-00461317</t>
  </si>
  <si>
    <t>01732-00431717</t>
  </si>
  <si>
    <t>01736-00413917</t>
  </si>
  <si>
    <t>01740-00465618</t>
  </si>
  <si>
    <t>01744-00490820</t>
  </si>
  <si>
    <t>01747-00431217</t>
  </si>
  <si>
    <t>01750-00538326</t>
  </si>
  <si>
    <t>01752-00430717</t>
  </si>
  <si>
    <t>01756-00431417</t>
  </si>
  <si>
    <t>01759-00433917</t>
  </si>
  <si>
    <t>01760-00435117</t>
  </si>
  <si>
    <t>01762-00434517</t>
  </si>
  <si>
    <t>01764-00429817</t>
  </si>
  <si>
    <t>01765-00438517</t>
  </si>
  <si>
    <t>01769-00414217</t>
  </si>
  <si>
    <t>01770-00535725</t>
  </si>
  <si>
    <t>01771-00414317</t>
  </si>
  <si>
    <t>01773-00535425</t>
  </si>
  <si>
    <t>01779-00414517</t>
  </si>
  <si>
    <t>01781-00414617</t>
  </si>
  <si>
    <t>01782-00414717</t>
  </si>
  <si>
    <t>01785-00414917</t>
  </si>
  <si>
    <t>01786-00415017</t>
  </si>
  <si>
    <t>01789-00450817</t>
  </si>
  <si>
    <t>01792-00415117</t>
  </si>
  <si>
    <t>01794-00415217</t>
  </si>
  <si>
    <t>01795-00415317</t>
  </si>
  <si>
    <t>01796-00415417</t>
  </si>
  <si>
    <t>01798-00415517</t>
  </si>
  <si>
    <t>01800-00415717</t>
  </si>
  <si>
    <t>01801-00415817</t>
  </si>
  <si>
    <t>01803-00416017</t>
  </si>
  <si>
    <t>01804-00416117</t>
  </si>
  <si>
    <t>01807-00502921</t>
  </si>
  <si>
    <t>01809-00456017</t>
  </si>
  <si>
    <t>01812-00439117</t>
  </si>
  <si>
    <t>01815-00416517</t>
  </si>
  <si>
    <t>01816-00508922</t>
  </si>
  <si>
    <t>01818-00416817</t>
  </si>
  <si>
    <t>01820-00416917</t>
  </si>
  <si>
    <t>01828-00439417</t>
  </si>
  <si>
    <t>01834-00417317</t>
  </si>
  <si>
    <t>01836-00417417</t>
  </si>
  <si>
    <t>01837-00433817</t>
  </si>
  <si>
    <t>01841-00428517</t>
  </si>
  <si>
    <t>01845-00417517</t>
  </si>
  <si>
    <t>01846-00486820</t>
  </si>
  <si>
    <t>01850-00417617</t>
  </si>
  <si>
    <t>01851-00432417</t>
  </si>
  <si>
    <t>01852-00417717</t>
  </si>
  <si>
    <t>01853-00417817</t>
  </si>
  <si>
    <t>01855-00418017</t>
  </si>
  <si>
    <t>01861-00434317</t>
  </si>
  <si>
    <t>01864-00418317</t>
  </si>
  <si>
    <t>01865-00418417</t>
  </si>
  <si>
    <t>01868-00418617</t>
  </si>
  <si>
    <t>01870-00418817</t>
  </si>
  <si>
    <t>01872-00418917</t>
  </si>
  <si>
    <t>01874-00419117</t>
  </si>
  <si>
    <t>01876-00419317</t>
  </si>
  <si>
    <t>01877-00538526</t>
  </si>
  <si>
    <t>01886-00508822</t>
  </si>
  <si>
    <t>01887-00419617</t>
  </si>
  <si>
    <t>01888-00473318</t>
  </si>
  <si>
    <t>01889-00419817</t>
  </si>
  <si>
    <t>01890-00419917</t>
  </si>
  <si>
    <t>01891-00519624</t>
  </si>
  <si>
    <t>01892-00420117</t>
  </si>
  <si>
    <t>01896-00489820</t>
  </si>
  <si>
    <t>01899-00433117</t>
  </si>
  <si>
    <t>01901-00527124</t>
  </si>
  <si>
    <t>01901-00527224</t>
  </si>
  <si>
    <t>01902-00535525</t>
  </si>
  <si>
    <t>01903-00481019</t>
  </si>
  <si>
    <t>01905-00420717</t>
  </si>
  <si>
    <t>01906-00511822</t>
  </si>
  <si>
    <t>01910-00420917</t>
  </si>
  <si>
    <t>01911-00421017</t>
  </si>
  <si>
    <t>01916-00476719</t>
  </si>
  <si>
    <t>01918-00460317</t>
  </si>
  <si>
    <t>01921-00513623</t>
  </si>
  <si>
    <t>01924-00421317</t>
  </si>
  <si>
    <t>01926-00489520</t>
  </si>
  <si>
    <t>01928-00429217</t>
  </si>
  <si>
    <t>01929-00421517</t>
  </si>
  <si>
    <t>01930-00435517</t>
  </si>
  <si>
    <t>01931-00494320</t>
  </si>
  <si>
    <t>01935-00476619</t>
  </si>
  <si>
    <t>01936-00422017</t>
  </si>
  <si>
    <t>01939-00422217</t>
  </si>
  <si>
    <t>01942-00438017</t>
  </si>
  <si>
    <t>01944-00422517</t>
  </si>
  <si>
    <t>01945-00422617</t>
  </si>
  <si>
    <t>01948-00422717</t>
  </si>
  <si>
    <t>01951-00422817</t>
  </si>
  <si>
    <t>01953-00423017</t>
  </si>
  <si>
    <t>01954-00423117</t>
  </si>
  <si>
    <t>01955-00488320</t>
  </si>
  <si>
    <t>01957-00423417</t>
  </si>
  <si>
    <t>01960-00423717</t>
  </si>
  <si>
    <t>01961-00423817</t>
  </si>
  <si>
    <t>01963-00424017</t>
  </si>
  <si>
    <t>01964-00424117</t>
  </si>
  <si>
    <t>01965-00424217</t>
  </si>
  <si>
    <t>01966-00424317</t>
  </si>
  <si>
    <t>01971-00534625</t>
  </si>
  <si>
    <t>01973-00424817</t>
  </si>
  <si>
    <t>01974-00424917</t>
  </si>
  <si>
    <t>01977-00425117</t>
  </si>
  <si>
    <t>01979-00425317</t>
  </si>
  <si>
    <t>01983-00425617</t>
  </si>
  <si>
    <t>01984-00453717</t>
  </si>
  <si>
    <t>01985-00425817</t>
  </si>
  <si>
    <t>01986-00425917</t>
  </si>
  <si>
    <t>01987-00426017</t>
  </si>
  <si>
    <t>01991-00426217</t>
  </si>
  <si>
    <t>01992-00426317</t>
  </si>
  <si>
    <t>01993-00426417</t>
  </si>
  <si>
    <t>01994-00432917</t>
  </si>
  <si>
    <t>01995-00455017</t>
  </si>
  <si>
    <t>02000-00445717</t>
  </si>
  <si>
    <t>02002-00426617</t>
  </si>
  <si>
    <t>02003-00426717</t>
  </si>
  <si>
    <t>02004-00426817</t>
  </si>
  <si>
    <t>02005-00426917</t>
  </si>
  <si>
    <t>02006-00427017</t>
  </si>
  <si>
    <t>02007-00465117</t>
  </si>
  <si>
    <t>02009-00427117</t>
  </si>
  <si>
    <t>02010-00427217</t>
  </si>
  <si>
    <t>02012-00427417</t>
  </si>
  <si>
    <t>02013-00427517</t>
  </si>
  <si>
    <t>02014-00427617</t>
  </si>
  <si>
    <t>02015-00427717</t>
  </si>
  <si>
    <t>02017-00427917</t>
  </si>
  <si>
    <t>02018-00481719</t>
  </si>
  <si>
    <t>02020-00428017</t>
  </si>
  <si>
    <t>02021-00428117</t>
  </si>
  <si>
    <t>02022-00428217</t>
  </si>
  <si>
    <t>02023-00441617</t>
  </si>
  <si>
    <t>02024-00428317</t>
  </si>
  <si>
    <t>02025-00439617</t>
  </si>
  <si>
    <t>02026-00456917</t>
  </si>
  <si>
    <t>02027-00532925</t>
  </si>
  <si>
    <t>02028-00439917</t>
  </si>
  <si>
    <t>02031-00445117</t>
  </si>
  <si>
    <t>02032-00444517</t>
  </si>
  <si>
    <t>02033-00447817</t>
  </si>
  <si>
    <t>02034-00476519</t>
  </si>
  <si>
    <t>02035-00446717</t>
  </si>
  <si>
    <t>02036-00448017</t>
  </si>
  <si>
    <t>02037-00448117</t>
  </si>
  <si>
    <t>02040-00464017</t>
  </si>
  <si>
    <t>02043-00456817</t>
  </si>
  <si>
    <t>02044-00527824</t>
  </si>
  <si>
    <t>02045-00471818</t>
  </si>
  <si>
    <t>02048-00457717</t>
  </si>
  <si>
    <t>02049-00457917</t>
  </si>
  <si>
    <t>02050-00458517</t>
  </si>
  <si>
    <t>02052-00459317</t>
  </si>
  <si>
    <t>02053-00458917</t>
  </si>
  <si>
    <t>02054-00467618</t>
  </si>
  <si>
    <t>02055-00463917</t>
  </si>
  <si>
    <t>02056-00464417</t>
  </si>
  <si>
    <t>02058-00461217</t>
  </si>
  <si>
    <t>02059-00463817</t>
  </si>
  <si>
    <t>02060-00465017</t>
  </si>
  <si>
    <t>02061-00460617</t>
  </si>
  <si>
    <t>02062-00460717</t>
  </si>
  <si>
    <t>02063-00461917</t>
  </si>
  <si>
    <t>02064-00462517</t>
  </si>
  <si>
    <t>02068-00464617</t>
  </si>
  <si>
    <t>02069-00465418</t>
  </si>
  <si>
    <t>02070-00483319</t>
  </si>
  <si>
    <t>02071-00474318</t>
  </si>
  <si>
    <t>02072-00465518</t>
  </si>
  <si>
    <t>02078-00465818</t>
  </si>
  <si>
    <t>02080-00466318</t>
  </si>
  <si>
    <t>02082-00480019</t>
  </si>
  <si>
    <t>02086-00466918</t>
  </si>
  <si>
    <t>02088-00467318</t>
  </si>
  <si>
    <t>02089-00467418</t>
  </si>
  <si>
    <t>02090-00468118</t>
  </si>
  <si>
    <t>02094-00468818</t>
  </si>
  <si>
    <t>02095-00468918</t>
  </si>
  <si>
    <t>02096-00470118</t>
  </si>
  <si>
    <t>02099-00539626</t>
  </si>
  <si>
    <t>02100-00469718</t>
  </si>
  <si>
    <t>02103-00470618</t>
  </si>
  <si>
    <t>02104-00470218</t>
  </si>
  <si>
    <t>02105-00498521</t>
  </si>
  <si>
    <t>02108-00470518</t>
  </si>
  <si>
    <t>02109-00472418</t>
  </si>
  <si>
    <t>02110-00472618</t>
  </si>
  <si>
    <t>02112-00536826</t>
  </si>
  <si>
    <t>02114-00473218</t>
  </si>
  <si>
    <t>02115-00475318</t>
  </si>
  <si>
    <t>02117-00474418</t>
  </si>
  <si>
    <t>02118-00475518</t>
  </si>
  <si>
    <t>02121-00523924</t>
  </si>
  <si>
    <t>02122-00476018</t>
  </si>
  <si>
    <t>02124-00476219</t>
  </si>
  <si>
    <t>02125-00476118</t>
  </si>
  <si>
    <t>02126-00501021</t>
  </si>
  <si>
    <t>02128-00477019</t>
  </si>
  <si>
    <t>02129-00476819</t>
  </si>
  <si>
    <t>02132-00479319</t>
  </si>
  <si>
    <t>02133-00477119</t>
  </si>
  <si>
    <t>02135-00479119</t>
  </si>
  <si>
    <t>02136-00477219</t>
  </si>
  <si>
    <t>02137-00478419</t>
  </si>
  <si>
    <t>02138-00488720</t>
  </si>
  <si>
    <t>02139-00487220</t>
  </si>
  <si>
    <t>02140-00477519</t>
  </si>
  <si>
    <t>02141-00477719</t>
  </si>
  <si>
    <t>02142-00498321</t>
  </si>
  <si>
    <t>02143-00477619</t>
  </si>
  <si>
    <t>02144-00478019</t>
  </si>
  <si>
    <t>02147-00478219</t>
  </si>
  <si>
    <t>02148-00478119</t>
  </si>
  <si>
    <t>02149-00537226</t>
  </si>
  <si>
    <t>02150-00478519</t>
  </si>
  <si>
    <t>02151-00479019</t>
  </si>
  <si>
    <t>02152-00478819</t>
  </si>
  <si>
    <t>02153-00478719</t>
  </si>
  <si>
    <t>02154-00481919</t>
  </si>
  <si>
    <t>02160-00480619</t>
  </si>
  <si>
    <t>02161-00480919</t>
  </si>
  <si>
    <t>02163-00482719</t>
  </si>
  <si>
    <t>02164-00489920</t>
  </si>
  <si>
    <t>02165-00481219</t>
  </si>
  <si>
    <t>02166-00481319</t>
  </si>
  <si>
    <t>02167-00481419</t>
  </si>
  <si>
    <t>02168-00481819</t>
  </si>
  <si>
    <t>02169-00481619</t>
  </si>
  <si>
    <t>02170-00482219</t>
  </si>
  <si>
    <t>02171-00485419</t>
  </si>
  <si>
    <t>02172-00482019</t>
  </si>
  <si>
    <t>02173-00482119</t>
  </si>
  <si>
    <t>02175-00484319</t>
  </si>
  <si>
    <t>02176-00525924</t>
  </si>
  <si>
    <t>02177-00482819</t>
  </si>
  <si>
    <t>02178-00482319</t>
  </si>
  <si>
    <t>02179-00482419</t>
  </si>
  <si>
    <t>02183-00482519</t>
  </si>
  <si>
    <t>02186-00483219</t>
  </si>
  <si>
    <t>02187-00533225</t>
  </si>
  <si>
    <t>02189-00485019</t>
  </si>
  <si>
    <t>02191-00483519</t>
  </si>
  <si>
    <t>02192-00484119</t>
  </si>
  <si>
    <t>02193-00483619</t>
  </si>
  <si>
    <t>02194-00484019</t>
  </si>
  <si>
    <t>02196-00484419</t>
  </si>
  <si>
    <t>02197-00484619</t>
  </si>
  <si>
    <t>02198-00485119</t>
  </si>
  <si>
    <t>02199-00484719</t>
  </si>
  <si>
    <t>02200-00499721</t>
  </si>
  <si>
    <t>02201-00485319</t>
  </si>
  <si>
    <t>02203-00486920</t>
  </si>
  <si>
    <t>02204-00485619</t>
  </si>
  <si>
    <t>02208-00486020</t>
  </si>
  <si>
    <t>02210-00485719</t>
  </si>
  <si>
    <t>02212-00487120</t>
  </si>
  <si>
    <t>02213-00485819</t>
  </si>
  <si>
    <t>02214-00486320</t>
  </si>
  <si>
    <t>02215-00487020</t>
  </si>
  <si>
    <t>02217-00487720</t>
  </si>
  <si>
    <t>02218-00488020</t>
  </si>
  <si>
    <t>02219-00487820</t>
  </si>
  <si>
    <t>02222-00488420</t>
  </si>
  <si>
    <t>02224-00488120</t>
  </si>
  <si>
    <t>02225-00488620</t>
  </si>
  <si>
    <t>02226-00489620</t>
  </si>
  <si>
    <t>02229-00490420</t>
  </si>
  <si>
    <t>02230-00489120</t>
  </si>
  <si>
    <t>02231-00489220</t>
  </si>
  <si>
    <t>02233-00491420</t>
  </si>
  <si>
    <t>02234-00490120</t>
  </si>
  <si>
    <t>02235-00490320</t>
  </si>
  <si>
    <t>02236-00490620</t>
  </si>
  <si>
    <t>02237-00496121</t>
  </si>
  <si>
    <t>02238-00490720</t>
  </si>
  <si>
    <t>02240-00490920</t>
  </si>
  <si>
    <t>02241-00491020</t>
  </si>
  <si>
    <t>02243-00491620</t>
  </si>
  <si>
    <t>02244-00493120</t>
  </si>
  <si>
    <t>02245-00491820</t>
  </si>
  <si>
    <t>02246-00493020</t>
  </si>
  <si>
    <t>02248-00492220</t>
  </si>
  <si>
    <t>02249-00492020</t>
  </si>
  <si>
    <t>02250-00492520</t>
  </si>
  <si>
    <t>02251-00493220</t>
  </si>
  <si>
    <t>02252-00493320</t>
  </si>
  <si>
    <t>02253-00494120</t>
  </si>
  <si>
    <t>02254-00493420</t>
  </si>
  <si>
    <t>02255-00493620</t>
  </si>
  <si>
    <t>02256-00493820</t>
  </si>
  <si>
    <t>02257-00500921</t>
  </si>
  <si>
    <t>02258-00493720</t>
  </si>
  <si>
    <t>02259-00493920</t>
  </si>
  <si>
    <t>02260-00494020</t>
  </si>
  <si>
    <t>02263-00495021</t>
  </si>
  <si>
    <t>02264-00494520</t>
  </si>
  <si>
    <t>02265-00495521</t>
  </si>
  <si>
    <t>02266-00494620</t>
  </si>
  <si>
    <t>02268-00494920</t>
  </si>
  <si>
    <t>02269-00495821</t>
  </si>
  <si>
    <t>02270-00499821</t>
  </si>
  <si>
    <t>02272-00496421</t>
  </si>
  <si>
    <t>02273-00496621</t>
  </si>
  <si>
    <t>02274-00495321</t>
  </si>
  <si>
    <t>02275-00496221</t>
  </si>
  <si>
    <t>02276-00495121</t>
  </si>
  <si>
    <t>02278-00496821</t>
  </si>
  <si>
    <t>02279-00498021</t>
  </si>
  <si>
    <t>02280-00497821</t>
  </si>
  <si>
    <t>02281-00496921</t>
  </si>
  <si>
    <t>02282-00495721</t>
  </si>
  <si>
    <t>02283-00495621</t>
  </si>
  <si>
    <t>02284-00495921</t>
  </si>
  <si>
    <t>02285-00497021</t>
  </si>
  <si>
    <t>02288-00506922</t>
  </si>
  <si>
    <t>02289-00497421</t>
  </si>
  <si>
    <t>02290-00497521</t>
  </si>
  <si>
    <t>02292-00498621</t>
  </si>
  <si>
    <t>02301-00498121</t>
  </si>
  <si>
    <t>02302-00500221</t>
  </si>
  <si>
    <t>02304-00497621</t>
  </si>
  <si>
    <t>02305-00497921</t>
  </si>
  <si>
    <t>02306-00497721</t>
  </si>
  <si>
    <t>02307-00498421</t>
  </si>
  <si>
    <t>02308-00532225</t>
  </si>
  <si>
    <t>02311-00499921</t>
  </si>
  <si>
    <t>02312-00499121</t>
  </si>
  <si>
    <t>02313-00499221</t>
  </si>
  <si>
    <t>02314-00500021</t>
  </si>
  <si>
    <t>02323-00498721</t>
  </si>
  <si>
    <t>02325-00500521</t>
  </si>
  <si>
    <t>02326-00501121</t>
  </si>
  <si>
    <t>02327-00514523</t>
  </si>
  <si>
    <t>02329-00500321</t>
  </si>
  <si>
    <t>02330-00505422</t>
  </si>
  <si>
    <t>02331-00501721</t>
  </si>
  <si>
    <t>02337-00501621</t>
  </si>
  <si>
    <t>02338-00505522</t>
  </si>
  <si>
    <t>02339-00501421</t>
  </si>
  <si>
    <t>02340-00501321</t>
  </si>
  <si>
    <t>02343-00501821</t>
  </si>
  <si>
    <t>02344-00501921</t>
  </si>
  <si>
    <t>02345-00502021</t>
  </si>
  <si>
    <t>02346-00504021</t>
  </si>
  <si>
    <t>02347-00504221</t>
  </si>
  <si>
    <t>02348-00502221</t>
  </si>
  <si>
    <t>02349-00502121</t>
  </si>
  <si>
    <t>02350-00514123</t>
  </si>
  <si>
    <t>02351-00503121</t>
  </si>
  <si>
    <t>02352-00502521</t>
  </si>
  <si>
    <t>02353-00502621</t>
  </si>
  <si>
    <t>02354-00503021</t>
  </si>
  <si>
    <t>02355-00503221</t>
  </si>
  <si>
    <t>02356-00503321</t>
  </si>
  <si>
    <t>02359-00503921</t>
  </si>
  <si>
    <t>02360-00503621</t>
  </si>
  <si>
    <t>02361-00504421</t>
  </si>
  <si>
    <t>02362-00504521</t>
  </si>
  <si>
    <t>02363-00504321</t>
  </si>
  <si>
    <t>02364-00504821</t>
  </si>
  <si>
    <t>02365-00504721</t>
  </si>
  <si>
    <t>02366-00504922</t>
  </si>
  <si>
    <t>02367-00507822</t>
  </si>
  <si>
    <t>02368-00505122</t>
  </si>
  <si>
    <t>02370-00505322</t>
  </si>
  <si>
    <t>02371-00505222</t>
  </si>
  <si>
    <t>02372-00524324</t>
  </si>
  <si>
    <t>02374-00505622</t>
  </si>
  <si>
    <t>02375-00505722</t>
  </si>
  <si>
    <t>02376-00514223</t>
  </si>
  <si>
    <t>02377-00506622</t>
  </si>
  <si>
    <t>02378-00506522</t>
  </si>
  <si>
    <t>02380-00507122</t>
  </si>
  <si>
    <t>02382-00507022</t>
  </si>
  <si>
    <t>02383-00507222</t>
  </si>
  <si>
    <t>02384-00507422</t>
  </si>
  <si>
    <t>02385-00507522</t>
  </si>
  <si>
    <t>02386-00507622</t>
  </si>
  <si>
    <t>02387-00507722</t>
  </si>
  <si>
    <t>02388-00507922</t>
  </si>
  <si>
    <t>02389-00509122</t>
  </si>
  <si>
    <t>02390-00508122</t>
  </si>
  <si>
    <t>02392-00526024</t>
  </si>
  <si>
    <t>02393-00508222</t>
  </si>
  <si>
    <t>02396-00509022</t>
  </si>
  <si>
    <t>02397-00512022</t>
  </si>
  <si>
    <t>02398-00511622</t>
  </si>
  <si>
    <t>02399-00510222</t>
  </si>
  <si>
    <t>02400-00536025</t>
  </si>
  <si>
    <t>02402-00511522</t>
  </si>
  <si>
    <t>02403-00511722</t>
  </si>
  <si>
    <t>02404-00512122</t>
  </si>
  <si>
    <t>02405-00512222</t>
  </si>
  <si>
    <t>02406-00512322</t>
  </si>
  <si>
    <t>02408-00512622</t>
  </si>
  <si>
    <t>02409-00512522</t>
  </si>
  <si>
    <t>02411-00512722</t>
  </si>
  <si>
    <t>02413-00512922</t>
  </si>
  <si>
    <t>02415-00514323</t>
  </si>
  <si>
    <t>02417-00513423</t>
  </si>
  <si>
    <t>02418-00513823</t>
  </si>
  <si>
    <t>02419-00515323</t>
  </si>
  <si>
    <t>02420-00513523</t>
  </si>
  <si>
    <t>02421-00514923</t>
  </si>
  <si>
    <t>02423-00514623</t>
  </si>
  <si>
    <t>02424-00519524</t>
  </si>
  <si>
    <t>02425-00514823</t>
  </si>
  <si>
    <t>02427-00515123</t>
  </si>
  <si>
    <t>02431-00515223</t>
  </si>
  <si>
    <t>02433-00515623</t>
  </si>
  <si>
    <t>02435-00516123</t>
  </si>
  <si>
    <t>02436-00515923</t>
  </si>
  <si>
    <t>02437-00516223</t>
  </si>
  <si>
    <t>02438-00516323</t>
  </si>
  <si>
    <t>02439-00519324</t>
  </si>
  <si>
    <t>02441-00516423</t>
  </si>
  <si>
    <t>02442-00516523</t>
  </si>
  <si>
    <t>02443-00516723</t>
  </si>
  <si>
    <t>02444-00519124</t>
  </si>
  <si>
    <t>02446-00516823</t>
  </si>
  <si>
    <t>02449-00517423</t>
  </si>
  <si>
    <t>02450-00517523</t>
  </si>
  <si>
    <t>02451-00517323</t>
  </si>
  <si>
    <t>02452-00517623</t>
  </si>
  <si>
    <t>02453-00517923</t>
  </si>
  <si>
    <t>02456-00518624</t>
  </si>
  <si>
    <t>02458-00518323</t>
  </si>
  <si>
    <t>02460-00521824</t>
  </si>
  <si>
    <t>02461-00518924</t>
  </si>
  <si>
    <t>02464-00519424</t>
  </si>
  <si>
    <t>02465-00519724</t>
  </si>
  <si>
    <t>02468-00520624</t>
  </si>
  <si>
    <t>02469-00520024</t>
  </si>
  <si>
    <t>02470-00520224</t>
  </si>
  <si>
    <t>02471-00520524</t>
  </si>
  <si>
    <t>02473-00521024</t>
  </si>
  <si>
    <t>02474-00529825</t>
  </si>
  <si>
    <t>02475-00521324</t>
  </si>
  <si>
    <t>02476-00521124</t>
  </si>
  <si>
    <t>02477-00521224</t>
  </si>
  <si>
    <t>02478-00521424</t>
  </si>
  <si>
    <t>02479-00521524</t>
  </si>
  <si>
    <t>02480-00523624</t>
  </si>
  <si>
    <t>02481-00522424</t>
  </si>
  <si>
    <t>02483-00522524</t>
  </si>
  <si>
    <t>02484-00522324</t>
  </si>
  <si>
    <t>02485-00522124</t>
  </si>
  <si>
    <t>02486-00522224</t>
  </si>
  <si>
    <t>02488-00522924</t>
  </si>
  <si>
    <t>02489-00523224</t>
  </si>
  <si>
    <t>02491-00523424</t>
  </si>
  <si>
    <t>02492-00524024</t>
  </si>
  <si>
    <t>02493-00524124</t>
  </si>
  <si>
    <t>02494-00524624</t>
  </si>
  <si>
    <t>02495-00524724</t>
  </si>
  <si>
    <t>02496-00531225</t>
  </si>
  <si>
    <t>02498-00524924</t>
  </si>
  <si>
    <t>02499-00525524</t>
  </si>
  <si>
    <t>02500-00525024</t>
  </si>
  <si>
    <t>02501-00525224</t>
  </si>
  <si>
    <t>02502-00525424</t>
  </si>
  <si>
    <t>02503-00525624</t>
  </si>
  <si>
    <t>02504-00525824</t>
  </si>
  <si>
    <t>02506-00527024</t>
  </si>
  <si>
    <t>02507-00526824</t>
  </si>
  <si>
    <t>02509-00526524</t>
  </si>
  <si>
    <t>02510-00526624</t>
  </si>
  <si>
    <t>02511-00529025</t>
  </si>
  <si>
    <t>02512-00527624</t>
  </si>
  <si>
    <t>02513-00526124</t>
  </si>
  <si>
    <t>02514-00529225</t>
  </si>
  <si>
    <t>02516-00526724</t>
  </si>
  <si>
    <t>02517-00526224</t>
  </si>
  <si>
    <t>02518-00526324</t>
  </si>
  <si>
    <t>02519-00526924</t>
  </si>
  <si>
    <t>02520-00528124</t>
  </si>
  <si>
    <t>02523-00527324</t>
  </si>
  <si>
    <t>02524-00527424</t>
  </si>
  <si>
    <t>02525-00532825</t>
  </si>
  <si>
    <t>02526-00529925</t>
  </si>
  <si>
    <t>02527-00532325</t>
  </si>
  <si>
    <t>02529-00528725</t>
  </si>
  <si>
    <t>02530-00527924</t>
  </si>
  <si>
    <t>02531-00536926</t>
  </si>
  <si>
    <t>02532-00528224</t>
  </si>
  <si>
    <t>02533-00529125</t>
  </si>
  <si>
    <t>02534-00529525</t>
  </si>
  <si>
    <t>02536-00529625</t>
  </si>
  <si>
    <t>02537-00530225</t>
  </si>
  <si>
    <t>02538-00530025</t>
  </si>
  <si>
    <t>02539-00528925</t>
  </si>
  <si>
    <t>02541-00530325</t>
  </si>
  <si>
    <t>02542-00530425</t>
  </si>
  <si>
    <t>02544-00530525</t>
  </si>
  <si>
    <t>02545-00531725</t>
  </si>
  <si>
    <t>02546-00530625</t>
  </si>
  <si>
    <t>02547-00530725</t>
  </si>
  <si>
    <t>02548-00530825</t>
  </si>
  <si>
    <t>02549-00540126</t>
  </si>
  <si>
    <t>02553-00531325</t>
  </si>
  <si>
    <t>02554-00531825</t>
  </si>
  <si>
    <t>02555-00532025</t>
  </si>
  <si>
    <t>02555-00532125</t>
  </si>
  <si>
    <t>02556-00532425</t>
  </si>
  <si>
    <t>02557-00532525</t>
  </si>
  <si>
    <t>02558-00532625</t>
  </si>
  <si>
    <t>02560-00533125</t>
  </si>
  <si>
    <t>02561-00533325</t>
  </si>
  <si>
    <t>02562-00533425</t>
  </si>
  <si>
    <t>02563-00533525</t>
  </si>
  <si>
    <t>02564-00533625</t>
  </si>
  <si>
    <t>02565-00533725</t>
  </si>
  <si>
    <t>02567-00533925</t>
  </si>
  <si>
    <t>02568-00533825</t>
  </si>
  <si>
    <t>02569-00534025</t>
  </si>
  <si>
    <t>02570-00534325</t>
  </si>
  <si>
    <t>02571-00534225</t>
  </si>
  <si>
    <t>02572-00534425</t>
  </si>
  <si>
    <t>02573-00534525</t>
  </si>
  <si>
    <t>02574-00536226</t>
  </si>
  <si>
    <t>02575-00534825</t>
  </si>
  <si>
    <t>02576-00534925</t>
  </si>
  <si>
    <t>02578-00535325</t>
  </si>
  <si>
    <t>02579-00536325</t>
  </si>
  <si>
    <t>02580-00535825</t>
  </si>
  <si>
    <t>02581-00535925</t>
  </si>
  <si>
    <t>02582-00536125</t>
  </si>
  <si>
    <t>02584-00536425</t>
  </si>
  <si>
    <t>02585-00536526</t>
  </si>
  <si>
    <t>02586-00536726</t>
  </si>
  <si>
    <t>02587-00536626</t>
  </si>
  <si>
    <t>02589-00538226</t>
  </si>
  <si>
    <t>02591-00538126</t>
  </si>
  <si>
    <t>02593-00538926</t>
  </si>
  <si>
    <t>02594-00539126</t>
  </si>
  <si>
    <t>02595-00539226</t>
  </si>
  <si>
    <t>02596-00539426</t>
  </si>
  <si>
    <t>02600-00540326</t>
  </si>
  <si>
    <t>05000-00442117</t>
  </si>
  <si>
    <t>07217-00429017</t>
  </si>
  <si>
    <t>07335-00460517</t>
  </si>
  <si>
    <t>09018-00531425</t>
  </si>
  <si>
    <t>09027-00455717</t>
  </si>
  <si>
    <t>09081-00535625</t>
  </si>
  <si>
    <t>09084-00454517</t>
  </si>
  <si>
    <t>09140-00456317</t>
  </si>
  <si>
    <t>09146-00454717</t>
  </si>
  <si>
    <t>09147-00500721</t>
  </si>
  <si>
    <t>09174-00450117</t>
  </si>
  <si>
    <t>09176-00450217</t>
  </si>
  <si>
    <t>09193-00509822</t>
  </si>
  <si>
    <t>09224-00443017</t>
  </si>
  <si>
    <t>09231-00500621</t>
  </si>
  <si>
    <t>09302-00444017</t>
  </si>
  <si>
    <t>09381-00452317</t>
  </si>
  <si>
    <t>09386-00455417</t>
  </si>
  <si>
    <t>09402-00484219</t>
  </si>
  <si>
    <t>09402-00492420</t>
  </si>
  <si>
    <t>09410-00519924</t>
  </si>
  <si>
    <t>09423-00450617</t>
  </si>
  <si>
    <t>09437-00482919</t>
  </si>
  <si>
    <t>09445-00451117</t>
  </si>
  <si>
    <t>09498-00445417</t>
  </si>
  <si>
    <t>09548-00442017</t>
  </si>
  <si>
    <t>09571-00456617</t>
  </si>
  <si>
    <t>09591-00451417</t>
  </si>
  <si>
    <t>09658-00457417</t>
  </si>
  <si>
    <t>09686-00444117</t>
  </si>
  <si>
    <t>09709-00451017</t>
  </si>
  <si>
    <t>09738-00443717</t>
  </si>
  <si>
    <t>09747-00449717</t>
  </si>
  <si>
    <t>09749-00454617</t>
  </si>
  <si>
    <t>09822-00451517</t>
  </si>
  <si>
    <t>09842-00455617</t>
  </si>
  <si>
    <t>09852-00443117</t>
  </si>
  <si>
    <t>09871-00449817</t>
  </si>
  <si>
    <t>09887-00443217</t>
  </si>
  <si>
    <t>09899-00456417</t>
  </si>
  <si>
    <t>09912-00521624</t>
  </si>
  <si>
    <t>09932-00442417</t>
  </si>
  <si>
    <t>09940-00506722</t>
  </si>
  <si>
    <t>09963-00454217</t>
  </si>
  <si>
    <t>09977-00451217</t>
  </si>
  <si>
    <t>10013-00443417</t>
  </si>
  <si>
    <t>10017-00454417</t>
  </si>
  <si>
    <t>10028-00442717</t>
  </si>
  <si>
    <t>10032-00451317</t>
  </si>
  <si>
    <t>10037-00453317</t>
  </si>
  <si>
    <t>10042-00456217</t>
  </si>
  <si>
    <t>10046-00457317</t>
  </si>
  <si>
    <t>10054-00450317</t>
  </si>
  <si>
    <t>10057-00454817</t>
  </si>
  <si>
    <t>10079-00450717</t>
  </si>
  <si>
    <t>10085-00447217</t>
  </si>
  <si>
    <t>10086-00444717</t>
  </si>
  <si>
    <t>10088-00456517</t>
  </si>
  <si>
    <t>10090-00455517</t>
  </si>
  <si>
    <t>10091-00462717</t>
  </si>
  <si>
    <t>10111-00444917</t>
  </si>
  <si>
    <t>10114-00455217</t>
  </si>
  <si>
    <t>10125-00456117</t>
  </si>
  <si>
    <t>10129-00455317</t>
  </si>
  <si>
    <t>10140-00455917</t>
  </si>
  <si>
    <t>10309-00455117</t>
  </si>
  <si>
    <t>10320-00440917</t>
  </si>
  <si>
    <t>10326-00450417</t>
  </si>
  <si>
    <t>10600-00492620</t>
  </si>
  <si>
    <t>00147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</si>
</sst>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0"/>
    <numFmt numFmtId="165" formatCode="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Tahoma"/>
    </font>
    <font>
      <sz val="8"/>
      <color rgb="FF000000"/>
      <name val="Microsoft Sans Serif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19">
    <xf numFmtId="0" fontId="0" fillId="0" borderId="0" xfId="0"/>
    <xf numFmtId="164" fontId="2" fillId="2" borderId="1" xfId="2" applyNumberFormat="1" applyFont="1" applyBorder="1" applyAlignment="1">
      <alignment horizontal="left"/>
    </xf>
    <xf numFmtId="165" fontId="2" fillId="2" borderId="1" xfId="2" applyNumberFormat="1" applyFont="1" applyBorder="1" applyAlignment="1">
      <alignment horizontal="left"/>
    </xf>
    <xf numFmtId="0" fontId="2" fillId="2" borderId="1" xfId="2" applyFont="1" applyBorder="1" applyAlignment="1">
      <alignment horizontal="left"/>
    </xf>
    <xf numFmtId="14" fontId="2" fillId="2" borderId="1" xfId="2" applyNumberFormat="1" applyFont="1" applyBorder="1" applyAlignment="1">
      <alignment horizontal="left"/>
    </xf>
    <xf numFmtId="49" fontId="5" fillId="3" borderId="2" xfId="0" applyNumberFormat="1" applyFont="1" applyFill="1" applyBorder="1" applyAlignment="1">
      <alignment horizontal="center" vertical="center" readingOrder="1"/>
    </xf>
    <xf numFmtId="164" fontId="2" fillId="2" borderId="0" xfId="2" applyNumberFormat="1" applyFont="1" applyBorder="1" applyAlignment="1">
      <alignment horizontal="left"/>
    </xf>
    <xf numFmtId="165" fontId="2" fillId="2" borderId="0" xfId="2" applyNumberFormat="1" applyFont="1" applyBorder="1" applyAlignment="1">
      <alignment horizontal="left"/>
    </xf>
    <xf numFmtId="0" fontId="2" fillId="2" borderId="0" xfId="2" applyFont="1" applyBorder="1" applyAlignment="1">
      <alignment horizontal="left"/>
    </xf>
    <xf numFmtId="14" fontId="2" fillId="2" borderId="0" xfId="2" applyNumberFormat="1" applyFont="1" applyBorder="1" applyAlignment="1">
      <alignment horizontal="left"/>
    </xf>
    <xf numFmtId="49" fontId="6" fillId="4" borderId="2" xfId="0" applyNumberFormat="1" applyFont="1" applyFill="1" applyBorder="1" applyAlignment="1">
      <alignment horizontal="left" vertical="center" readingOrder="1"/>
    </xf>
    <xf numFmtId="49" fontId="6" fillId="5" borderId="2" xfId="0" applyNumberFormat="1" applyFont="1" applyFill="1" applyBorder="1" applyAlignment="1">
      <alignment horizontal="left" vertical="center" readingOrder="1"/>
    </xf>
    <xf numFmtId="14" fontId="6" fillId="5" borderId="2" xfId="0" applyNumberFormat="1" applyFont="1" applyFill="1" applyBorder="1" applyAlignment="1">
      <alignment horizontal="left" vertical="center" readingOrder="1"/>
    </xf>
    <xf numFmtId="3" fontId="0" fillId="0" borderId="0" xfId="0" applyNumberFormat="1"/>
    <xf numFmtId="14" fontId="6" fillId="4" borderId="2" xfId="0" applyNumberFormat="1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4" fontId="0" fillId="0" borderId="0" xfId="1" applyFont="1"/>
  </cellXfs>
  <cellStyles count="3">
    <cellStyle name="Énfasis5" xfId="2" builtinId="45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E4-0A92-48D9-92F8-411C9F4FEFCB}">
  <dimension ref="A1:P127"/>
  <sheetViews>
    <sheetView tabSelected="1" topLeftCell="E1" workbookViewId="0">
      <selection activeCell="O3" sqref="O3"/>
    </sheetView>
  </sheetViews>
  <sheetFormatPr baseColWidth="10" defaultRowHeight="15" x14ac:dyDescent="0.25"/>
  <cols>
    <col min="2" max="2" width="36.42578125" bestFit="1" customWidth="1"/>
    <col min="3" max="3" width="46.42578125" bestFit="1" customWidth="1"/>
    <col min="4" max="4" width="9.28515625" bestFit="1" customWidth="1"/>
    <col min="5" max="5" width="44.5703125" customWidth="1"/>
    <col min="10" max="10" width="33.28515625" customWidth="1"/>
    <col min="13" max="13" width="12.42578125" customWidth="1"/>
    <col min="14" max="14" width="17.7109375" customWidth="1"/>
    <col min="15" max="15" width="169.28515625" bestFit="1" customWidth="1"/>
  </cols>
  <sheetData>
    <row r="1" spans="1:16" x14ac:dyDescent="0.25">
      <c r="F1" s="1" t="s">
        <v>0</v>
      </c>
      <c r="G1" s="2" t="s">
        <v>1</v>
      </c>
      <c r="H1" s="3" t="s">
        <v>2</v>
      </c>
      <c r="I1" s="4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</row>
    <row r="2" spans="1:16" ht="12.75" customHeight="1" x14ac:dyDescent="0.2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18</v>
      </c>
      <c r="J2" s="8" t="s">
        <v>19</v>
      </c>
      <c r="K2" s="8" t="s">
        <v>20</v>
      </c>
      <c r="L2" s="8" t="s">
        <v>21</v>
      </c>
      <c r="M2" s="8" t="s">
        <v>22</v>
      </c>
      <c r="N2" s="8" t="s">
        <v>23</v>
      </c>
      <c r="O2" s="8" t="s">
        <v>24</v>
      </c>
    </row>
    <row r="3" spans="1:16" ht="17.25" customHeight="1" x14ac:dyDescent="0.25">
      <c r="A3" s="10" t="s">
        <v>1087</v>
      </c>
      <c r="B3" s="10" t="s">
        <v>26</v>
      </c>
      <c r="C3" s="11" t="s">
        <v>27</v>
      </c>
      <c r="D3" s="12">
        <v>46154.597280092588</v>
      </c>
      <c r="E3" s="11" t="s">
        <v>28</v>
      </c>
      <c r="F3">
        <v>14</v>
      </c>
      <c r="G3" s="10" t="s">
        <v>25</v>
      </c>
      <c r="H3" s="13">
        <v>3010</v>
      </c>
      <c r="I3" s="12">
        <v>46154.597280092588</v>
      </c>
      <c r="J3" s="11" t="s">
        <v>29</v>
      </c>
      <c r="K3">
        <v>3</v>
      </c>
      <c r="L3">
        <v>1</v>
      </c>
      <c r="M3" s="18">
        <f>13*L3</f>
        <v>13</v>
      </c>
      <c r="N3" t="str">
        <f>IFERROR(VLOOKUP(TEXT(VALUE(TRIM(G3)),"00000"),EXP!$A:$B,2,FALSE),IFERROR(VLOOKUP(VALUE(TRIM(G3)),EXP!$A:$B,2,FALSE),""))</f>
        <v>00147-00398717</v>
      </c>
      <c r="O3" t="str">
        <f>CONCATENATE(J3,", ",E3,", ",C3)</f>
        <v>Aviso Notificacion, Certificado estar al corriente, Agencia Estatal de Administración Tributaria</v>
      </c>
    </row>
    <row r="4" spans="1:16" ht="17.25" customHeight="1" x14ac:dyDescent="0.25">
      <c r="A4" s="10" t="s">
        <v>25</v>
      </c>
      <c r="B4" s="10" t="s">
        <v>26</v>
      </c>
      <c r="C4" s="11" t="s">
        <v>27</v>
      </c>
      <c r="D4" s="12">
        <v>46153.634340277778</v>
      </c>
      <c r="E4" s="11" t="s">
        <v>30</v>
      </c>
      <c r="F4">
        <v>14</v>
      </c>
      <c r="G4" s="10" t="s">
        <v>25</v>
      </c>
      <c r="H4" s="13">
        <v>3010</v>
      </c>
      <c r="I4" s="12">
        <v>46153.634340277778</v>
      </c>
      <c r="J4" s="11" t="s">
        <v>29</v>
      </c>
      <c r="K4">
        <v>3</v>
      </c>
      <c r="L4">
        <v>1</v>
      </c>
      <c r="M4" s="18">
        <f t="shared" ref="M4:M67" si="0">13*L4</f>
        <v>13</v>
      </c>
      <c r="N4" t="str">
        <f>IFERROR(VLOOKUP(TEXT(VALUE(TRIM(G4)),"00000"),EXP!$A:$B,2,FALSE),IFERROR(VLOOKUP(VALUE(TRIM(G4)),EXP!$A:$B,2,FALSE),""))</f>
        <v>00147-00398717</v>
      </c>
      <c r="O4" t="str">
        <f t="shared" ref="O4:O67" si="1">CONCATENATE(J4,", ",E4,", ",C4)</f>
        <v>Aviso Notificacion, Certificado de estar al corriente Positivo, Agencia Estatal de Administración Tributaria</v>
      </c>
      <c r="P4" t="str">
        <f>IFERROR(VLOOKUP(TEXT(VALUE(TRIM(G4)),"00000"),EXP!$A:$B,2,FALSE),"")</f>
        <v/>
      </c>
    </row>
    <row r="5" spans="1:16" ht="17.25" customHeight="1" x14ac:dyDescent="0.25">
      <c r="A5" s="10" t="s">
        <v>31</v>
      </c>
      <c r="B5" s="10" t="s">
        <v>32</v>
      </c>
      <c r="C5" s="11" t="s">
        <v>27</v>
      </c>
      <c r="D5" s="12">
        <v>46153.61515046296</v>
      </c>
      <c r="E5" s="11" t="s">
        <v>33</v>
      </c>
      <c r="F5">
        <v>14</v>
      </c>
      <c r="G5" s="10" t="s">
        <v>31</v>
      </c>
      <c r="H5" s="13">
        <v>3010</v>
      </c>
      <c r="I5" s="12">
        <v>46153.61515046296</v>
      </c>
      <c r="J5" s="11" t="s">
        <v>29</v>
      </c>
      <c r="K5">
        <v>3</v>
      </c>
      <c r="L5">
        <v>1</v>
      </c>
      <c r="M5" s="18">
        <f t="shared" si="0"/>
        <v>13</v>
      </c>
      <c r="N5" t="str">
        <f>IFERROR(VLOOKUP(TEXT(VALUE(TRIM(G5)),"00000"),EXP!$A:$B,2,FALSE),IFERROR(VLOOKUP(VALUE(TRIM(G5)),EXP!$A:$B,2,FALSE),""))</f>
        <v>00444-00400217</v>
      </c>
      <c r="O5" t="str">
        <f t="shared" si="1"/>
        <v>Aviso Notificacion, Diligencia de embargo de créditos, Agencia Estatal de Administración Tributaria</v>
      </c>
      <c r="P5" t="str">
        <f>IFERROR(VLOOKUP(TEXT(VALUE(TRIM(G5)),"00000"),EXP!$A:$B,2,FALSE),"")</f>
        <v/>
      </c>
    </row>
    <row r="6" spans="1:16" ht="17.25" customHeight="1" x14ac:dyDescent="0.25">
      <c r="A6" s="10" t="s">
        <v>34</v>
      </c>
      <c r="B6" s="10" t="s">
        <v>35</v>
      </c>
      <c r="C6" s="11" t="s">
        <v>27</v>
      </c>
      <c r="D6" s="12">
        <v>46133.348668981482</v>
      </c>
      <c r="E6" s="11" t="s">
        <v>36</v>
      </c>
      <c r="F6">
        <v>14</v>
      </c>
      <c r="G6" s="10" t="s">
        <v>34</v>
      </c>
      <c r="H6" s="13">
        <v>3010</v>
      </c>
      <c r="I6" s="12">
        <v>46133.348668981482</v>
      </c>
      <c r="J6" s="11" t="s">
        <v>29</v>
      </c>
      <c r="K6">
        <v>3</v>
      </c>
      <c r="L6">
        <v>1</v>
      </c>
      <c r="M6" s="18">
        <f t="shared" si="0"/>
        <v>13</v>
      </c>
      <c r="N6" t="str">
        <f>IFERROR(VLOOKUP(TEXT(VALUE(TRIM(G6)),"00000"),EXP!$A:$B,2,FALSE),IFERROR(VLOOKUP(VALUE(TRIM(G6)),EXP!$A:$B,2,FALSE),""))</f>
        <v>00546-00520424</v>
      </c>
      <c r="O6" t="str">
        <f t="shared" si="1"/>
        <v>Aviso Notificacion, Rehabilitacion NIF, Agencia Estatal de Administración Tributaria</v>
      </c>
      <c r="P6" t="str">
        <f>IFERROR(VLOOKUP(TEXT(VALUE(TRIM(G6)),"00000"),EXP!$A:$B,2,FALSE),"")</f>
        <v/>
      </c>
    </row>
    <row r="7" spans="1:16" ht="17.25" customHeight="1" x14ac:dyDescent="0.25">
      <c r="A7" s="10" t="s">
        <v>37</v>
      </c>
      <c r="B7" s="10" t="s">
        <v>38</v>
      </c>
      <c r="C7" s="11" t="s">
        <v>27</v>
      </c>
      <c r="D7" s="12">
        <v>46153.606678240736</v>
      </c>
      <c r="E7" s="11" t="s">
        <v>33</v>
      </c>
      <c r="F7">
        <v>14</v>
      </c>
      <c r="G7" s="10" t="s">
        <v>37</v>
      </c>
      <c r="H7" s="13">
        <v>3010</v>
      </c>
      <c r="I7" s="12">
        <v>46153.606678240736</v>
      </c>
      <c r="J7" s="11" t="s">
        <v>29</v>
      </c>
      <c r="K7">
        <v>3</v>
      </c>
      <c r="L7">
        <v>1</v>
      </c>
      <c r="M7" s="18">
        <f t="shared" si="0"/>
        <v>13</v>
      </c>
      <c r="N7" t="str">
        <f>IFERROR(VLOOKUP(TEXT(VALUE(TRIM(G7)),"00000"),EXP!$A:$B,2,FALSE),IFERROR(VLOOKUP(VALUE(TRIM(G7)),EXP!$A:$B,2,FALSE),""))</f>
        <v/>
      </c>
      <c r="O7" t="str">
        <f t="shared" si="1"/>
        <v>Aviso Notificacion, Diligencia de embargo de créditos, Agencia Estatal de Administración Tributaria</v>
      </c>
      <c r="P7" t="str">
        <f>IFERROR(VLOOKUP(TEXT(VALUE(TRIM(G7)),"00000"),EXP!$A:$B,2,FALSE),"")</f>
        <v/>
      </c>
    </row>
    <row r="8" spans="1:16" ht="17.25" customHeight="1" x14ac:dyDescent="0.25">
      <c r="A8" s="10" t="s">
        <v>39</v>
      </c>
      <c r="B8" s="10" t="s">
        <v>40</v>
      </c>
      <c r="C8" s="11" t="s">
        <v>27</v>
      </c>
      <c r="D8" s="12">
        <v>46154.600914351853</v>
      </c>
      <c r="E8" s="11" t="s">
        <v>41</v>
      </c>
      <c r="F8">
        <v>14</v>
      </c>
      <c r="G8" s="10" t="s">
        <v>39</v>
      </c>
      <c r="H8" s="13">
        <v>3010</v>
      </c>
      <c r="I8" s="12">
        <v>46154.600914351853</v>
      </c>
      <c r="J8" s="11" t="s">
        <v>29</v>
      </c>
      <c r="K8">
        <v>3</v>
      </c>
      <c r="L8">
        <v>1</v>
      </c>
      <c r="M8" s="18">
        <f t="shared" si="0"/>
        <v>13</v>
      </c>
      <c r="N8" t="str">
        <f>IFERROR(VLOOKUP(TEXT(VALUE(TRIM(G8)),"00000"),EXP!$A:$B,2,FALSE),IFERROR(VLOOKUP(VALUE(TRIM(G8)),EXP!$A:$B,2,FALSE),""))</f>
        <v>01104-00404417</v>
      </c>
      <c r="O8" t="str">
        <f t="shared" si="1"/>
        <v>Aviso Notificacion, Providencia de apremio, Agencia Estatal de Administración Tributaria</v>
      </c>
      <c r="P8" t="str">
        <f>IFERROR(VLOOKUP(TEXT(VALUE(TRIM(G8)),"00000"),EXP!$A:$B,2,FALSE),"")</f>
        <v/>
      </c>
    </row>
    <row r="9" spans="1:16" ht="17.25" customHeight="1" x14ac:dyDescent="0.25">
      <c r="A9" s="10" t="s">
        <v>42</v>
      </c>
      <c r="B9" s="10" t="s">
        <v>43</v>
      </c>
      <c r="C9" s="11" t="s">
        <v>27</v>
      </c>
      <c r="D9" s="12">
        <v>46147.611041666663</v>
      </c>
      <c r="E9" s="11" t="s">
        <v>44</v>
      </c>
      <c r="F9">
        <v>14</v>
      </c>
      <c r="G9" s="10" t="s">
        <v>42</v>
      </c>
      <c r="H9" s="13">
        <v>3010</v>
      </c>
      <c r="I9" s="12">
        <v>46147.611041666663</v>
      </c>
      <c r="J9" s="11" t="s">
        <v>29</v>
      </c>
      <c r="K9">
        <v>3</v>
      </c>
      <c r="L9">
        <v>1</v>
      </c>
      <c r="M9" s="18">
        <f t="shared" si="0"/>
        <v>13</v>
      </c>
      <c r="N9" t="str">
        <f>IFERROR(VLOOKUP(TEXT(VALUE(TRIM(G9)),"00000"),EXP!$A:$B,2,FALSE),IFERROR(VLOOKUP(VALUE(TRIM(G9)),EXP!$A:$B,2,FALSE),""))</f>
        <v>01245-00405717</v>
      </c>
      <c r="O9" t="str">
        <f t="shared" si="1"/>
        <v>Aviso Notificacion, Levantamiento de embargo de créditos, Agencia Estatal de Administración Tributaria</v>
      </c>
      <c r="P9" t="str">
        <f>IFERROR(VLOOKUP(TEXT(VALUE(TRIM(G9)),"00000"),EXP!$A:$B,2,FALSE),"")</f>
        <v/>
      </c>
    </row>
    <row r="10" spans="1:16" ht="17.25" customHeight="1" x14ac:dyDescent="0.25">
      <c r="A10" s="10" t="s">
        <v>45</v>
      </c>
      <c r="B10" s="10" t="s">
        <v>46</v>
      </c>
      <c r="C10" s="11" t="s">
        <v>27</v>
      </c>
      <c r="D10" s="12">
        <v>46156.423310185186</v>
      </c>
      <c r="E10" s="11" t="s">
        <v>47</v>
      </c>
      <c r="F10">
        <v>14</v>
      </c>
      <c r="G10" s="10" t="s">
        <v>45</v>
      </c>
      <c r="H10" s="13">
        <v>3010</v>
      </c>
      <c r="I10" s="12">
        <v>46156.423310185186</v>
      </c>
      <c r="J10" s="11" t="s">
        <v>29</v>
      </c>
      <c r="K10">
        <v>3</v>
      </c>
      <c r="L10">
        <v>1</v>
      </c>
      <c r="M10" s="18">
        <f t="shared" si="0"/>
        <v>13</v>
      </c>
      <c r="N10" t="str">
        <f>IFERROR(VLOOKUP(TEXT(VALUE(TRIM(G10)),"00000"),EXP!$A:$B,2,FALSE),IFERROR(VLOOKUP(VALUE(TRIM(G10)),EXP!$A:$B,2,FALSE),""))</f>
        <v>01815-00416517</v>
      </c>
      <c r="O10" t="str">
        <f t="shared" si="1"/>
        <v>Aviso Notificacion, Reiteramiento de una diligencia de embargo de creditos, Agencia Estatal de Administración Tributaria</v>
      </c>
      <c r="P10" t="str">
        <f>IFERROR(VLOOKUP(TEXT(VALUE(TRIM(G10)),"00000"),EXP!$A:$B,2,FALSE),"")</f>
        <v/>
      </c>
    </row>
    <row r="11" spans="1:16" ht="17.25" customHeight="1" x14ac:dyDescent="0.25">
      <c r="A11" s="10" t="s">
        <v>48</v>
      </c>
      <c r="B11" s="10" t="s">
        <v>49</v>
      </c>
      <c r="C11" s="11" t="s">
        <v>27</v>
      </c>
      <c r="D11" s="12">
        <v>46154.617627314816</v>
      </c>
      <c r="E11" s="11" t="s">
        <v>41</v>
      </c>
      <c r="F11">
        <v>14</v>
      </c>
      <c r="G11" s="10" t="s">
        <v>48</v>
      </c>
      <c r="H11" s="13">
        <v>3010</v>
      </c>
      <c r="I11" s="12">
        <v>46154.617627314816</v>
      </c>
      <c r="J11" s="11" t="s">
        <v>29</v>
      </c>
      <c r="K11">
        <v>3</v>
      </c>
      <c r="L11">
        <v>1</v>
      </c>
      <c r="M11" s="18">
        <f t="shared" si="0"/>
        <v>13</v>
      </c>
      <c r="N11" t="str">
        <f>IFERROR(VLOOKUP(TEXT(VALUE(TRIM(G11)),"00000"),EXP!$A:$B,2,FALSE),IFERROR(VLOOKUP(VALUE(TRIM(G11)),EXP!$A:$B,2,FALSE),""))</f>
        <v>01960-00423717</v>
      </c>
      <c r="O11" t="str">
        <f t="shared" si="1"/>
        <v>Aviso Notificacion, Providencia de apremio, Agencia Estatal de Administración Tributaria</v>
      </c>
      <c r="P11" t="str">
        <f>IFERROR(VLOOKUP(TEXT(VALUE(TRIM(G11)),"00000"),EXP!$A:$B,2,FALSE),"")</f>
        <v/>
      </c>
    </row>
    <row r="12" spans="1:16" ht="17.25" customHeight="1" x14ac:dyDescent="0.25">
      <c r="A12" s="10" t="s">
        <v>50</v>
      </c>
      <c r="B12" s="10" t="s">
        <v>51</v>
      </c>
      <c r="C12" s="11" t="s">
        <v>27</v>
      </c>
      <c r="D12" s="12">
        <v>46133.359456018516</v>
      </c>
      <c r="E12" s="11" t="s">
        <v>52</v>
      </c>
      <c r="F12">
        <v>14</v>
      </c>
      <c r="G12" s="10" t="s">
        <v>50</v>
      </c>
      <c r="H12" s="13">
        <v>3010</v>
      </c>
      <c r="I12" s="12">
        <v>46133.359456018516</v>
      </c>
      <c r="J12" s="11" t="s">
        <v>29</v>
      </c>
      <c r="K12">
        <v>3</v>
      </c>
      <c r="L12">
        <v>1</v>
      </c>
      <c r="M12" s="18">
        <f t="shared" si="0"/>
        <v>13</v>
      </c>
      <c r="N12" t="str">
        <f>IFERROR(VLOOKUP(TEXT(VALUE(TRIM(G12)),"00000"),EXP!$A:$B,2,FALSE),IFERROR(VLOOKUP(VALUE(TRIM(G12)),EXP!$A:$B,2,FALSE),""))</f>
        <v>01985-00425817</v>
      </c>
      <c r="O12" t="str">
        <f t="shared" si="1"/>
        <v>Aviso Notificacion, Procedimiento sancionador Renta 2022, Agencia Estatal de Administración Tributaria</v>
      </c>
      <c r="P12" t="str">
        <f>IFERROR(VLOOKUP(TEXT(VALUE(TRIM(G12)),"00000"),EXP!$A:$B,2,FALSE),"")</f>
        <v/>
      </c>
    </row>
    <row r="13" spans="1:16" ht="17.25" customHeight="1" x14ac:dyDescent="0.25">
      <c r="A13" s="10" t="s">
        <v>53</v>
      </c>
      <c r="B13" s="10" t="s">
        <v>54</v>
      </c>
      <c r="C13" s="11" t="s">
        <v>27</v>
      </c>
      <c r="D13" s="12">
        <v>46139.531307870369</v>
      </c>
      <c r="E13" s="11" t="s">
        <v>55</v>
      </c>
      <c r="F13">
        <v>14</v>
      </c>
      <c r="G13" s="10" t="s">
        <v>53</v>
      </c>
      <c r="H13" s="13">
        <v>3010</v>
      </c>
      <c r="I13" s="12">
        <v>46139.531307870369</v>
      </c>
      <c r="J13" s="11" t="s">
        <v>29</v>
      </c>
      <c r="K13">
        <v>3</v>
      </c>
      <c r="L13">
        <v>1</v>
      </c>
      <c r="M13" s="18">
        <f t="shared" si="0"/>
        <v>13</v>
      </c>
      <c r="N13" t="str">
        <f>IFERROR(VLOOKUP(TEXT(VALUE(TRIM(G13)),"00000"),EXP!$A:$B,2,FALSE),IFERROR(VLOOKUP(VALUE(TRIM(G13)),EXP!$A:$B,2,FALSE),""))</f>
        <v>02149-00537226</v>
      </c>
      <c r="O13" t="str">
        <f t="shared" si="1"/>
        <v>Aviso Notificacion, Embargo de bienes muebles, Agencia Estatal de Administración Tributaria</v>
      </c>
      <c r="P13" t="str">
        <f>IFERROR(VLOOKUP(TEXT(VALUE(TRIM(G13)),"00000"),EXP!$A:$B,2,FALSE),"")</f>
        <v/>
      </c>
    </row>
    <row r="14" spans="1:16" ht="17.25" customHeight="1" x14ac:dyDescent="0.25">
      <c r="A14" s="10" t="s">
        <v>56</v>
      </c>
      <c r="B14" s="10" t="s">
        <v>57</v>
      </c>
      <c r="C14" s="11" t="s">
        <v>27</v>
      </c>
      <c r="D14" s="12">
        <v>46161.617939814816</v>
      </c>
      <c r="E14" s="11" t="s">
        <v>58</v>
      </c>
      <c r="F14">
        <v>14</v>
      </c>
      <c r="G14" s="10" t="s">
        <v>56</v>
      </c>
      <c r="H14" s="13">
        <v>3010</v>
      </c>
      <c r="I14" s="12">
        <v>46161.617939814816</v>
      </c>
      <c r="J14" s="11" t="s">
        <v>29</v>
      </c>
      <c r="K14">
        <v>3</v>
      </c>
      <c r="L14">
        <v>1</v>
      </c>
      <c r="M14" s="18">
        <f t="shared" si="0"/>
        <v>13</v>
      </c>
      <c r="N14" t="str">
        <f>IFERROR(VLOOKUP(TEXT(VALUE(TRIM(G14)),"00000"),EXP!$A:$B,2,FALSE),IFERROR(VLOOKUP(VALUE(TRIM(G14)),EXP!$A:$B,2,FALSE),""))</f>
        <v>02248-00492220</v>
      </c>
      <c r="O14" t="str">
        <f t="shared" si="1"/>
        <v>Aviso Notificacion, Compensacion de deuda, Agencia Estatal de Administración Tributaria</v>
      </c>
      <c r="P14" t="str">
        <f>IFERROR(VLOOKUP(TEXT(VALUE(TRIM(G14)),"00000"),EXP!$A:$B,2,FALSE),"")</f>
        <v/>
      </c>
    </row>
    <row r="15" spans="1:16" ht="17.25" customHeight="1" x14ac:dyDescent="0.25">
      <c r="A15" s="10" t="s">
        <v>56</v>
      </c>
      <c r="B15" s="10" t="s">
        <v>59</v>
      </c>
      <c r="C15" s="11" t="s">
        <v>27</v>
      </c>
      <c r="D15" s="12">
        <v>46156.610821759255</v>
      </c>
      <c r="E15" s="11" t="s">
        <v>60</v>
      </c>
      <c r="F15">
        <v>14</v>
      </c>
      <c r="G15" s="10" t="s">
        <v>56</v>
      </c>
      <c r="H15" s="13">
        <v>3010</v>
      </c>
      <c r="I15" s="12">
        <v>46156.610821759255</v>
      </c>
      <c r="J15" s="11" t="s">
        <v>29</v>
      </c>
      <c r="K15">
        <v>3</v>
      </c>
      <c r="L15">
        <v>1</v>
      </c>
      <c r="M15" s="18">
        <f t="shared" si="0"/>
        <v>13</v>
      </c>
      <c r="N15" t="str">
        <f>IFERROR(VLOOKUP(TEXT(VALUE(TRIM(G15)),"00000"),EXP!$A:$B,2,FALSE),IFERROR(VLOOKUP(VALUE(TRIM(G15)),EXP!$A:$B,2,FALSE),""))</f>
        <v>02248-00492220</v>
      </c>
      <c r="O15" t="str">
        <f t="shared" si="1"/>
        <v>Aviso Notificacion, Comunicacion pago de devolucion, Agencia Estatal de Administración Tributaria</v>
      </c>
      <c r="P15" t="str">
        <f>IFERROR(VLOOKUP(TEXT(VALUE(TRIM(G15)),"00000"),EXP!$A:$B,2,FALSE),"")</f>
        <v/>
      </c>
    </row>
    <row r="16" spans="1:16" ht="17.25" customHeight="1" x14ac:dyDescent="0.25">
      <c r="A16" s="10" t="s">
        <v>61</v>
      </c>
      <c r="B16" s="10" t="s">
        <v>62</v>
      </c>
      <c r="C16" s="11" t="s">
        <v>27</v>
      </c>
      <c r="D16" s="12">
        <v>46141.530821759254</v>
      </c>
      <c r="E16" s="11" t="s">
        <v>63</v>
      </c>
      <c r="F16">
        <v>14</v>
      </c>
      <c r="G16" s="10" t="s">
        <v>61</v>
      </c>
      <c r="H16" s="13">
        <v>3010</v>
      </c>
      <c r="I16" s="12">
        <v>46141.530821759254</v>
      </c>
      <c r="J16" s="11" t="s">
        <v>29</v>
      </c>
      <c r="K16">
        <v>3</v>
      </c>
      <c r="L16">
        <v>1</v>
      </c>
      <c r="M16" s="18">
        <f t="shared" si="0"/>
        <v>13</v>
      </c>
      <c r="N16" t="str">
        <f>IFERROR(VLOOKUP(TEXT(VALUE(TRIM(G16)),"00000"),EXP!$A:$B,2,FALSE),IFERROR(VLOOKUP(VALUE(TRIM(G16)),EXP!$A:$B,2,FALSE),""))</f>
        <v>02282-00495721</v>
      </c>
      <c r="O16" t="str">
        <f t="shared" si="1"/>
        <v>Aviso Notificacion, Notificación diligencia de embargo, Agencia Estatal de Administración Tributaria</v>
      </c>
      <c r="P16" t="str">
        <f>IFERROR(VLOOKUP(TEXT(VALUE(TRIM(G16)),"00000"),EXP!$A:$B,2,FALSE),"")</f>
        <v/>
      </c>
    </row>
    <row r="17" spans="1:16" ht="17.25" customHeight="1" x14ac:dyDescent="0.25">
      <c r="A17" s="10" t="s">
        <v>64</v>
      </c>
      <c r="B17" s="10" t="s">
        <v>65</v>
      </c>
      <c r="C17" s="11" t="s">
        <v>27</v>
      </c>
      <c r="D17" s="12">
        <v>46154.609270833331</v>
      </c>
      <c r="E17" s="11" t="s">
        <v>41</v>
      </c>
      <c r="F17">
        <v>14</v>
      </c>
      <c r="G17" s="10" t="s">
        <v>64</v>
      </c>
      <c r="H17" s="13">
        <v>3010</v>
      </c>
      <c r="I17" s="12">
        <v>46154.609270833331</v>
      </c>
      <c r="J17" s="11" t="s">
        <v>29</v>
      </c>
      <c r="K17">
        <v>3</v>
      </c>
      <c r="L17">
        <v>1</v>
      </c>
      <c r="M17" s="18">
        <f t="shared" si="0"/>
        <v>13</v>
      </c>
      <c r="N17" t="str">
        <f>IFERROR(VLOOKUP(TEXT(VALUE(TRIM(G17)),"00000"),EXP!$A:$B,2,FALSE),IFERROR(VLOOKUP(VALUE(TRIM(G17)),EXP!$A:$B,2,FALSE),""))</f>
        <v>02375-00505722</v>
      </c>
      <c r="O17" t="str">
        <f t="shared" si="1"/>
        <v>Aviso Notificacion, Providencia de apremio, Agencia Estatal de Administración Tributaria</v>
      </c>
      <c r="P17" t="str">
        <f>IFERROR(VLOOKUP(TEXT(VALUE(TRIM(G17)),"00000"),EXP!$A:$B,2,FALSE),"")</f>
        <v/>
      </c>
    </row>
    <row r="18" spans="1:16" ht="17.25" customHeight="1" x14ac:dyDescent="0.25">
      <c r="A18" s="10" t="s">
        <v>64</v>
      </c>
      <c r="B18" s="10" t="s">
        <v>65</v>
      </c>
      <c r="C18" s="11" t="s">
        <v>27</v>
      </c>
      <c r="D18" s="12">
        <v>46154.611516203702</v>
      </c>
      <c r="E18" s="11" t="s">
        <v>41</v>
      </c>
      <c r="F18">
        <v>14</v>
      </c>
      <c r="G18" s="10" t="s">
        <v>64</v>
      </c>
      <c r="H18" s="13">
        <v>3010</v>
      </c>
      <c r="I18" s="12">
        <v>46154.611516203702</v>
      </c>
      <c r="J18" s="11" t="s">
        <v>29</v>
      </c>
      <c r="K18">
        <v>3</v>
      </c>
      <c r="L18">
        <v>1</v>
      </c>
      <c r="M18" s="18">
        <f t="shared" si="0"/>
        <v>13</v>
      </c>
      <c r="N18" t="str">
        <f>IFERROR(VLOOKUP(TEXT(VALUE(TRIM(G18)),"00000"),EXP!$A:$B,2,FALSE),IFERROR(VLOOKUP(VALUE(TRIM(G18)),EXP!$A:$B,2,FALSE),""))</f>
        <v>02375-00505722</v>
      </c>
      <c r="O18" t="str">
        <f t="shared" si="1"/>
        <v>Aviso Notificacion, Providencia de apremio, Agencia Estatal de Administración Tributaria</v>
      </c>
    </row>
    <row r="19" spans="1:16" ht="17.25" customHeight="1" x14ac:dyDescent="0.25">
      <c r="A19" s="10" t="s">
        <v>66</v>
      </c>
      <c r="B19" s="10" t="s">
        <v>67</v>
      </c>
      <c r="C19" s="11" t="s">
        <v>27</v>
      </c>
      <c r="D19" s="12">
        <v>46156.611458333333</v>
      </c>
      <c r="E19" s="11" t="s">
        <v>68</v>
      </c>
      <c r="F19">
        <v>14</v>
      </c>
      <c r="G19" s="10" t="s">
        <v>66</v>
      </c>
      <c r="H19" s="13">
        <v>3010</v>
      </c>
      <c r="I19" s="12">
        <v>46156.611458333333</v>
      </c>
      <c r="J19" s="11" t="s">
        <v>29</v>
      </c>
      <c r="K19">
        <v>3</v>
      </c>
      <c r="L19">
        <v>1</v>
      </c>
      <c r="M19" s="18">
        <f t="shared" si="0"/>
        <v>13</v>
      </c>
      <c r="N19" t="str">
        <f>IFERROR(VLOOKUP(TEXT(VALUE(TRIM(G19)),"00000"),EXP!$A:$B,2,FALSE),IFERROR(VLOOKUP(VALUE(TRIM(G19)),EXP!$A:$B,2,FALSE),""))</f>
        <v>02383-00507222</v>
      </c>
      <c r="O19" t="str">
        <f t="shared" si="1"/>
        <v>Aviso Notificacion, Comunicación pago de devolucion, Agencia Estatal de Administración Tributaria</v>
      </c>
    </row>
    <row r="20" spans="1:16" ht="17.25" customHeight="1" x14ac:dyDescent="0.25">
      <c r="A20" s="10" t="s">
        <v>66</v>
      </c>
      <c r="B20" s="10" t="s">
        <v>67</v>
      </c>
      <c r="C20" s="11" t="s">
        <v>27</v>
      </c>
      <c r="D20" s="12">
        <v>46161.398715277777</v>
      </c>
      <c r="E20" s="11" t="s">
        <v>58</v>
      </c>
      <c r="F20">
        <v>14</v>
      </c>
      <c r="G20" s="10" t="s">
        <v>66</v>
      </c>
      <c r="H20" s="13">
        <v>3010</v>
      </c>
      <c r="I20" s="12">
        <v>46161.398715277777</v>
      </c>
      <c r="J20" s="11" t="s">
        <v>29</v>
      </c>
      <c r="K20">
        <v>3</v>
      </c>
      <c r="L20">
        <v>1</v>
      </c>
      <c r="M20" s="18">
        <f t="shared" si="0"/>
        <v>13</v>
      </c>
      <c r="N20" t="str">
        <f>IFERROR(VLOOKUP(TEXT(VALUE(TRIM(G20)),"00000"),EXP!$A:$B,2,FALSE),IFERROR(VLOOKUP(VALUE(TRIM(G20)),EXP!$A:$B,2,FALSE),""))</f>
        <v>02383-00507222</v>
      </c>
      <c r="O20" t="str">
        <f t="shared" si="1"/>
        <v>Aviso Notificacion, Compensacion de deuda, Agencia Estatal de Administración Tributaria</v>
      </c>
    </row>
    <row r="21" spans="1:16" ht="17.25" customHeight="1" x14ac:dyDescent="0.25">
      <c r="A21" s="10" t="s">
        <v>69</v>
      </c>
      <c r="B21" s="10" t="s">
        <v>70</v>
      </c>
      <c r="C21" s="11" t="s">
        <v>27</v>
      </c>
      <c r="D21" s="12">
        <v>46161.394270833334</v>
      </c>
      <c r="E21" s="11" t="s">
        <v>71</v>
      </c>
      <c r="F21">
        <v>14</v>
      </c>
      <c r="G21" s="10" t="s">
        <v>69</v>
      </c>
      <c r="H21" s="13">
        <v>3010</v>
      </c>
      <c r="I21" s="12">
        <v>46161.394270833334</v>
      </c>
      <c r="J21" s="11" t="s">
        <v>29</v>
      </c>
      <c r="K21">
        <v>3</v>
      </c>
      <c r="L21">
        <v>1</v>
      </c>
      <c r="M21" s="18">
        <f t="shared" si="0"/>
        <v>13</v>
      </c>
      <c r="N21" t="str">
        <f>IFERROR(VLOOKUP(TEXT(VALUE(TRIM(G21)),"00000"),EXP!$A:$B,2,FALSE),IFERROR(VLOOKUP(VALUE(TRIM(G21)),EXP!$A:$B,2,FALSE),""))</f>
        <v>02444-00519124</v>
      </c>
      <c r="O21" t="str">
        <f t="shared" si="1"/>
        <v>Aviso Notificacion, Certificado de estar al corriente AEAT-Negativo, Agencia Estatal de Administración Tributaria</v>
      </c>
    </row>
    <row r="22" spans="1:16" ht="17.25" customHeight="1" x14ac:dyDescent="0.25">
      <c r="A22" s="10" t="s">
        <v>69</v>
      </c>
      <c r="B22" s="10" t="s">
        <v>70</v>
      </c>
      <c r="C22" s="11" t="s">
        <v>27</v>
      </c>
      <c r="D22" s="12">
        <v>46133.437881944439</v>
      </c>
      <c r="E22" s="11" t="s">
        <v>72</v>
      </c>
      <c r="F22">
        <v>14</v>
      </c>
      <c r="G22" s="10" t="s">
        <v>69</v>
      </c>
      <c r="H22" s="13">
        <v>3010</v>
      </c>
      <c r="I22" s="12">
        <v>46133.437881944439</v>
      </c>
      <c r="J22" s="11" t="s">
        <v>29</v>
      </c>
      <c r="K22">
        <v>3</v>
      </c>
      <c r="L22">
        <v>1</v>
      </c>
      <c r="M22" s="18">
        <f t="shared" si="0"/>
        <v>13</v>
      </c>
      <c r="N22" t="str">
        <f>IFERROR(VLOOKUP(TEXT(VALUE(TRIM(G22)),"00000"),EXP!$A:$B,2,FALSE),IFERROR(VLOOKUP(VALUE(TRIM(G22)),EXP!$A:$B,2,FALSE),""))</f>
        <v>02444-00519124</v>
      </c>
      <c r="O22" t="str">
        <f t="shared" si="1"/>
        <v>Aviso Notificacion, Tramite de alegaciones, Agencia Estatal de Administración Tributaria</v>
      </c>
    </row>
    <row r="23" spans="1:16" ht="17.25" customHeight="1" x14ac:dyDescent="0.25">
      <c r="A23" s="10" t="s">
        <v>69</v>
      </c>
      <c r="B23" s="10" t="s">
        <v>70</v>
      </c>
      <c r="C23" s="11" t="s">
        <v>27</v>
      </c>
      <c r="D23" s="12">
        <v>46161.395567129628</v>
      </c>
      <c r="E23" s="11" t="s">
        <v>73</v>
      </c>
      <c r="F23">
        <v>14</v>
      </c>
      <c r="G23" s="10" t="s">
        <v>69</v>
      </c>
      <c r="H23" s="13">
        <v>3010</v>
      </c>
      <c r="I23" s="12">
        <v>46161.395567129628</v>
      </c>
      <c r="J23" s="11" t="s">
        <v>29</v>
      </c>
      <c r="K23">
        <v>3</v>
      </c>
      <c r="L23">
        <v>1</v>
      </c>
      <c r="M23" s="18">
        <f t="shared" si="0"/>
        <v>13</v>
      </c>
      <c r="N23" t="str">
        <f>IFERROR(VLOOKUP(TEXT(VALUE(TRIM(G23)),"00000"),EXP!$A:$B,2,FALSE),IFERROR(VLOOKUP(VALUE(TRIM(G23)),EXP!$A:$B,2,FALSE),""))</f>
        <v>02444-00519124</v>
      </c>
      <c r="O23" t="str">
        <f t="shared" si="1"/>
        <v>Aviso Notificacion, IRPF 2025, Agencia Estatal de Administración Tributaria</v>
      </c>
    </row>
    <row r="24" spans="1:16" ht="17.25" customHeight="1" x14ac:dyDescent="0.25">
      <c r="A24" s="10" t="s">
        <v>74</v>
      </c>
      <c r="B24" s="10" t="s">
        <v>75</v>
      </c>
      <c r="C24" s="11" t="s">
        <v>27</v>
      </c>
      <c r="D24" s="12">
        <v>46139.532847222217</v>
      </c>
      <c r="E24" s="11" t="s">
        <v>76</v>
      </c>
      <c r="F24">
        <v>14</v>
      </c>
      <c r="G24" s="10" t="s">
        <v>74</v>
      </c>
      <c r="H24" s="13">
        <v>3010</v>
      </c>
      <c r="I24" s="12">
        <v>46139.532847222217</v>
      </c>
      <c r="J24" s="11" t="s">
        <v>29</v>
      </c>
      <c r="K24">
        <v>3</v>
      </c>
      <c r="L24">
        <v>1</v>
      </c>
      <c r="M24" s="18">
        <f t="shared" si="0"/>
        <v>13</v>
      </c>
      <c r="N24" t="str">
        <f>IFERROR(VLOOKUP(TEXT(VALUE(TRIM(G24)),"00000"),EXP!$A:$B,2,FALSE),IFERROR(VLOOKUP(VALUE(TRIM(G24)),EXP!$A:$B,2,FALSE),""))</f>
        <v>02557-00532525</v>
      </c>
      <c r="O24" t="str">
        <f t="shared" si="1"/>
        <v>Aviso Notificacion, Comunicacion familia numerosa, Agencia Estatal de Administración Tributaria</v>
      </c>
    </row>
    <row r="25" spans="1:16" ht="17.25" customHeight="1" x14ac:dyDescent="0.25">
      <c r="A25" s="10" t="s">
        <v>77</v>
      </c>
      <c r="B25" s="10" t="s">
        <v>78</v>
      </c>
      <c r="C25" s="11" t="s">
        <v>27</v>
      </c>
      <c r="D25" s="12">
        <v>46149.606562499997</v>
      </c>
      <c r="E25" s="11" t="s">
        <v>79</v>
      </c>
      <c r="F25">
        <v>14</v>
      </c>
      <c r="G25" s="10" t="s">
        <v>77</v>
      </c>
      <c r="H25" s="13">
        <v>3010</v>
      </c>
      <c r="I25" s="12">
        <v>46149.606562499997</v>
      </c>
      <c r="J25" s="11" t="s">
        <v>29</v>
      </c>
      <c r="K25">
        <v>3</v>
      </c>
      <c r="L25">
        <v>1</v>
      </c>
      <c r="M25" s="18">
        <f t="shared" si="0"/>
        <v>13</v>
      </c>
      <c r="N25" t="str">
        <f>IFERROR(VLOOKUP(TEXT(VALUE(TRIM(G25)),"00000"),EXP!$A:$B,2,FALSE),IFERROR(VLOOKUP(VALUE(TRIM(G25)),EXP!$A:$B,2,FALSE),""))</f>
        <v>02580-00535825</v>
      </c>
      <c r="O25" t="str">
        <f t="shared" si="1"/>
        <v>Aviso Notificacion, Comunicación pago devolución, Agencia Estatal de Administración Tributaria</v>
      </c>
    </row>
    <row r="26" spans="1:16" ht="17.25" customHeight="1" x14ac:dyDescent="0.25">
      <c r="A26" s="10" t="s">
        <v>77</v>
      </c>
      <c r="B26" s="10" t="s">
        <v>78</v>
      </c>
      <c r="C26" s="11" t="s">
        <v>27</v>
      </c>
      <c r="D26" s="12">
        <v>46153.622974537036</v>
      </c>
      <c r="E26" s="11" t="s">
        <v>80</v>
      </c>
      <c r="F26">
        <v>14</v>
      </c>
      <c r="G26" s="10" t="s">
        <v>77</v>
      </c>
      <c r="H26" s="13">
        <v>3010</v>
      </c>
      <c r="I26" s="12">
        <v>46153.622974537036</v>
      </c>
      <c r="J26" s="11" t="s">
        <v>29</v>
      </c>
      <c r="K26">
        <v>3</v>
      </c>
      <c r="L26">
        <v>1</v>
      </c>
      <c r="M26" s="18">
        <f t="shared" si="0"/>
        <v>13</v>
      </c>
      <c r="N26" t="str">
        <f>IFERROR(VLOOKUP(TEXT(VALUE(TRIM(G26)),"00000"),EXP!$A:$B,2,FALSE),IFERROR(VLOOKUP(VALUE(TRIM(G26)),EXP!$A:$B,2,FALSE),""))</f>
        <v>02580-00535825</v>
      </c>
      <c r="O26" t="str">
        <f t="shared" si="1"/>
        <v>Aviso Notificacion, Acuerdo de compensación de deuda, Agencia Estatal de Administración Tributaria</v>
      </c>
    </row>
    <row r="27" spans="1:16" ht="17.25" customHeight="1" x14ac:dyDescent="0.25">
      <c r="A27" s="10" t="s">
        <v>81</v>
      </c>
      <c r="B27" s="10" t="s">
        <v>82</v>
      </c>
      <c r="C27" s="11" t="s">
        <v>27</v>
      </c>
      <c r="D27" s="12">
        <v>46161.400057870371</v>
      </c>
      <c r="E27" s="11" t="s">
        <v>83</v>
      </c>
      <c r="F27">
        <v>14</v>
      </c>
      <c r="G27" s="10" t="s">
        <v>81</v>
      </c>
      <c r="H27" s="13">
        <v>3010</v>
      </c>
      <c r="I27" s="12">
        <v>46161.400057870371</v>
      </c>
      <c r="J27" s="11" t="s">
        <v>29</v>
      </c>
      <c r="K27">
        <v>3</v>
      </c>
      <c r="L27">
        <v>1</v>
      </c>
      <c r="M27" s="18">
        <f t="shared" si="0"/>
        <v>13</v>
      </c>
      <c r="N27" t="str">
        <f>IFERROR(VLOOKUP(TEXT(VALUE(TRIM(G27)),"00000"),EXP!$A:$B,2,FALSE),IFERROR(VLOOKUP(VALUE(TRIM(G27)),EXP!$A:$B,2,FALSE),""))</f>
        <v>02587-00536626</v>
      </c>
      <c r="O27" t="str">
        <f t="shared" si="1"/>
        <v>Aviso Notificacion, Diligencia de embargo de sueldo, Agencia Estatal de Administración Tributaria</v>
      </c>
    </row>
    <row r="28" spans="1:16" ht="17.25" customHeight="1" x14ac:dyDescent="0.25">
      <c r="A28" s="10" t="s">
        <v>81</v>
      </c>
      <c r="B28" s="10" t="s">
        <v>82</v>
      </c>
      <c r="C28" s="11" t="s">
        <v>27</v>
      </c>
      <c r="D28" s="12">
        <v>46161.401145833333</v>
      </c>
      <c r="E28" s="11" t="s">
        <v>84</v>
      </c>
      <c r="F28">
        <v>14</v>
      </c>
      <c r="G28" s="10" t="s">
        <v>81</v>
      </c>
      <c r="H28" s="13">
        <v>3010</v>
      </c>
      <c r="I28" s="12">
        <v>46161.401145833333</v>
      </c>
      <c r="J28" s="11" t="s">
        <v>29</v>
      </c>
      <c r="K28">
        <v>3</v>
      </c>
      <c r="L28">
        <v>1</v>
      </c>
      <c r="M28" s="18">
        <f t="shared" si="0"/>
        <v>13</v>
      </c>
      <c r="N28" t="str">
        <f>IFERROR(VLOOKUP(TEXT(VALUE(TRIM(G28)),"00000"),EXP!$A:$B,2,FALSE),IFERROR(VLOOKUP(VALUE(TRIM(G28)),EXP!$A:$B,2,FALSE),""))</f>
        <v>02587-00536626</v>
      </c>
      <c r="O28" t="str">
        <f t="shared" si="1"/>
        <v>Aviso Notificacion, Diligencia de embargo de sueldos, Agencia Estatal de Administración Tributaria</v>
      </c>
    </row>
    <row r="29" spans="1:16" ht="17.25" customHeight="1" x14ac:dyDescent="0.25">
      <c r="A29" s="10" t="s">
        <v>85</v>
      </c>
      <c r="B29" s="10" t="s">
        <v>86</v>
      </c>
      <c r="C29" s="10" t="s">
        <v>27</v>
      </c>
      <c r="D29" s="14">
        <v>46161.397372685184</v>
      </c>
      <c r="E29" s="10" t="s">
        <v>83</v>
      </c>
      <c r="F29">
        <v>14</v>
      </c>
      <c r="G29" s="10" t="s">
        <v>85</v>
      </c>
      <c r="H29" s="13">
        <v>3010</v>
      </c>
      <c r="I29" s="14">
        <v>46161.397372685184</v>
      </c>
      <c r="J29" s="11" t="s">
        <v>29</v>
      </c>
      <c r="K29">
        <v>3</v>
      </c>
      <c r="L29">
        <v>1</v>
      </c>
      <c r="M29" s="18">
        <f t="shared" si="0"/>
        <v>13</v>
      </c>
      <c r="N29" t="str">
        <f>IFERROR(VLOOKUP(TEXT(VALUE(TRIM(G29)),"00000"),EXP!$A:$B,2,FALSE),IFERROR(VLOOKUP(VALUE(TRIM(G29)),EXP!$A:$B,2,FALSE),""))</f>
        <v>02593-00538926</v>
      </c>
      <c r="O29" t="str">
        <f t="shared" si="1"/>
        <v>Aviso Notificacion, Diligencia de embargo de sueldo, Agencia Estatal de Administración Tributaria</v>
      </c>
    </row>
    <row r="30" spans="1:16" ht="17.25" customHeight="1" x14ac:dyDescent="0.25">
      <c r="A30" s="10" t="s">
        <v>87</v>
      </c>
      <c r="B30" s="10" t="s">
        <v>88</v>
      </c>
      <c r="C30" s="11" t="s">
        <v>89</v>
      </c>
      <c r="D30" s="12">
        <v>46149.628576388888</v>
      </c>
      <c r="E30" s="11" t="s">
        <v>90</v>
      </c>
      <c r="F30">
        <v>14</v>
      </c>
      <c r="G30" s="10" t="s">
        <v>87</v>
      </c>
      <c r="H30" s="13">
        <v>3010</v>
      </c>
      <c r="I30" s="12">
        <v>46149.628576388888</v>
      </c>
      <c r="J30" s="11" t="s">
        <v>29</v>
      </c>
      <c r="K30">
        <v>3</v>
      </c>
      <c r="L30">
        <v>1</v>
      </c>
      <c r="M30" s="18">
        <f t="shared" si="0"/>
        <v>13</v>
      </c>
      <c r="N30" t="str">
        <f>IFERROR(VLOOKUP(TEXT(VALUE(TRIM(G30)),"00000"),EXP!$A:$B,2,FALSE),IFERROR(VLOOKUP(VALUE(TRIM(G30)),EXP!$A:$B,2,FALSE),""))</f>
        <v>00641-00432217</v>
      </c>
      <c r="O30" t="str">
        <f t="shared" si="1"/>
        <v>Aviso Notificacion, Carta informativa modelo 714, Agencia Tributaria Canaria</v>
      </c>
    </row>
    <row r="31" spans="1:16" ht="17.25" customHeight="1" x14ac:dyDescent="0.25">
      <c r="A31" s="10" t="s">
        <v>91</v>
      </c>
      <c r="B31" s="10" t="s">
        <v>92</v>
      </c>
      <c r="C31" s="11" t="s">
        <v>89</v>
      </c>
      <c r="D31" s="12">
        <v>46149.629247685181</v>
      </c>
      <c r="E31" s="11" t="s">
        <v>90</v>
      </c>
      <c r="F31">
        <v>14</v>
      </c>
      <c r="G31" s="10" t="s">
        <v>91</v>
      </c>
      <c r="H31" s="13">
        <v>3010</v>
      </c>
      <c r="I31" s="12">
        <v>46149.629247685181</v>
      </c>
      <c r="J31" s="11" t="s">
        <v>29</v>
      </c>
      <c r="K31">
        <v>3</v>
      </c>
      <c r="L31">
        <v>1</v>
      </c>
      <c r="M31" s="18">
        <f t="shared" si="0"/>
        <v>13</v>
      </c>
      <c r="N31" t="str">
        <f>IFERROR(VLOOKUP(TEXT(VALUE(TRIM(G31)),"00000"),EXP!$A:$B,2,FALSE),IFERROR(VLOOKUP(VALUE(TRIM(G31)),EXP!$A:$B,2,FALSE),""))</f>
        <v>01771-00414317</v>
      </c>
      <c r="O31" t="str">
        <f t="shared" si="1"/>
        <v>Aviso Notificacion, Carta informativa modelo 714, Agencia Tributaria Canaria</v>
      </c>
    </row>
    <row r="32" spans="1:16" ht="17.25" customHeight="1" x14ac:dyDescent="0.25">
      <c r="A32" s="10" t="s">
        <v>45</v>
      </c>
      <c r="B32" s="10" t="s">
        <v>93</v>
      </c>
      <c r="C32" s="11" t="s">
        <v>89</v>
      </c>
      <c r="D32" s="12">
        <v>46133.458923611106</v>
      </c>
      <c r="E32" s="11" t="s">
        <v>41</v>
      </c>
      <c r="F32">
        <v>14</v>
      </c>
      <c r="G32" s="10" t="s">
        <v>45</v>
      </c>
      <c r="H32" s="13">
        <v>3010</v>
      </c>
      <c r="I32" s="12">
        <v>46133.458923611106</v>
      </c>
      <c r="J32" s="11" t="s">
        <v>29</v>
      </c>
      <c r="K32">
        <v>3</v>
      </c>
      <c r="L32">
        <v>1</v>
      </c>
      <c r="M32" s="18">
        <f t="shared" si="0"/>
        <v>13</v>
      </c>
      <c r="N32" t="str">
        <f>IFERROR(VLOOKUP(TEXT(VALUE(TRIM(G32)),"00000"),EXP!$A:$B,2,FALSE),IFERROR(VLOOKUP(VALUE(TRIM(G32)),EXP!$A:$B,2,FALSE),""))</f>
        <v>01815-00416517</v>
      </c>
      <c r="O32" t="str">
        <f t="shared" si="1"/>
        <v>Aviso Notificacion, Providencia de apremio, Agencia Tributaria Canaria</v>
      </c>
    </row>
    <row r="33" spans="1:15" ht="17.25" customHeight="1" x14ac:dyDescent="0.25">
      <c r="A33" s="10" t="s">
        <v>94</v>
      </c>
      <c r="B33" s="10" t="s">
        <v>95</v>
      </c>
      <c r="C33" s="11" t="s">
        <v>89</v>
      </c>
      <c r="D33" s="12">
        <v>46133.460219907407</v>
      </c>
      <c r="E33" s="11" t="s">
        <v>41</v>
      </c>
      <c r="F33">
        <v>14</v>
      </c>
      <c r="G33" s="10" t="s">
        <v>94</v>
      </c>
      <c r="H33" s="13">
        <v>3010</v>
      </c>
      <c r="I33" s="12">
        <v>46133.460219907407</v>
      </c>
      <c r="J33" s="11" t="s">
        <v>29</v>
      </c>
      <c r="K33">
        <v>3</v>
      </c>
      <c r="L33">
        <v>1</v>
      </c>
      <c r="M33" s="18">
        <f t="shared" si="0"/>
        <v>13</v>
      </c>
      <c r="N33" t="str">
        <f>IFERROR(VLOOKUP(TEXT(VALUE(TRIM(G33)),"00000"),EXP!$A:$B,2,FALSE),IFERROR(VLOOKUP(VALUE(TRIM(G33)),EXP!$A:$B,2,FALSE),""))</f>
        <v>01841-00428517</v>
      </c>
      <c r="O33" t="str">
        <f t="shared" si="1"/>
        <v>Aviso Notificacion, Providencia de apremio, Agencia Tributaria Canaria</v>
      </c>
    </row>
    <row r="34" spans="1:15" ht="17.25" customHeight="1" x14ac:dyDescent="0.25">
      <c r="A34" s="10" t="s">
        <v>96</v>
      </c>
      <c r="B34" s="10" t="s">
        <v>97</v>
      </c>
      <c r="C34" s="11" t="s">
        <v>89</v>
      </c>
      <c r="D34" s="12">
        <v>46133.394421296296</v>
      </c>
      <c r="E34" s="11" t="s">
        <v>41</v>
      </c>
      <c r="F34">
        <v>14</v>
      </c>
      <c r="G34" s="10" t="s">
        <v>96</v>
      </c>
      <c r="H34" s="13">
        <v>3010</v>
      </c>
      <c r="I34" s="12">
        <v>46133.394421296296</v>
      </c>
      <c r="J34" s="11" t="s">
        <v>29</v>
      </c>
      <c r="K34">
        <v>3</v>
      </c>
      <c r="L34">
        <v>1</v>
      </c>
      <c r="M34" s="18">
        <f t="shared" si="0"/>
        <v>13</v>
      </c>
      <c r="N34" t="str">
        <f>IFERROR(VLOOKUP(TEXT(VALUE(TRIM(G34)),"00000"),EXP!$A:$B,2,FALSE),IFERROR(VLOOKUP(VALUE(TRIM(G34)),EXP!$A:$B,2,FALSE),""))</f>
        <v>02095-00468918</v>
      </c>
      <c r="O34" t="str">
        <f t="shared" si="1"/>
        <v>Aviso Notificacion, Providencia de apremio, Agencia Tributaria Canaria</v>
      </c>
    </row>
    <row r="35" spans="1:15" ht="17.25" customHeight="1" x14ac:dyDescent="0.25">
      <c r="A35" s="10" t="s">
        <v>96</v>
      </c>
      <c r="B35" s="10" t="s">
        <v>97</v>
      </c>
      <c r="C35" s="11" t="s">
        <v>89</v>
      </c>
      <c r="D35" s="12">
        <v>46133.395439814813</v>
      </c>
      <c r="E35" s="11" t="s">
        <v>41</v>
      </c>
      <c r="F35">
        <v>14</v>
      </c>
      <c r="G35" s="10" t="s">
        <v>96</v>
      </c>
      <c r="H35" s="13">
        <v>3010</v>
      </c>
      <c r="I35" s="12">
        <v>46133.395439814813</v>
      </c>
      <c r="J35" s="11" t="s">
        <v>29</v>
      </c>
      <c r="K35">
        <v>3</v>
      </c>
      <c r="L35">
        <v>1</v>
      </c>
      <c r="M35" s="18">
        <f t="shared" si="0"/>
        <v>13</v>
      </c>
      <c r="N35" t="str">
        <f>IFERROR(VLOOKUP(TEXT(VALUE(TRIM(G35)),"00000"),EXP!$A:$B,2,FALSE),IFERROR(VLOOKUP(VALUE(TRIM(G35)),EXP!$A:$B,2,FALSE),""))</f>
        <v>02095-00468918</v>
      </c>
      <c r="O35" t="str">
        <f t="shared" si="1"/>
        <v>Aviso Notificacion, Providencia de apremio, Agencia Tributaria Canaria</v>
      </c>
    </row>
    <row r="36" spans="1:15" ht="17.25" customHeight="1" x14ac:dyDescent="0.25">
      <c r="A36" s="10" t="s">
        <v>96</v>
      </c>
      <c r="B36" s="10" t="s">
        <v>97</v>
      </c>
      <c r="C36" s="11" t="s">
        <v>89</v>
      </c>
      <c r="D36" s="12">
        <v>46133.408414351848</v>
      </c>
      <c r="E36" s="11" t="s">
        <v>41</v>
      </c>
      <c r="F36">
        <v>14</v>
      </c>
      <c r="G36" s="10" t="s">
        <v>96</v>
      </c>
      <c r="H36" s="13">
        <v>3010</v>
      </c>
      <c r="I36" s="12">
        <v>46133.408414351848</v>
      </c>
      <c r="J36" s="11" t="s">
        <v>29</v>
      </c>
      <c r="K36">
        <v>3</v>
      </c>
      <c r="L36">
        <v>1</v>
      </c>
      <c r="M36" s="18">
        <f t="shared" si="0"/>
        <v>13</v>
      </c>
      <c r="N36" t="str">
        <f>IFERROR(VLOOKUP(TEXT(VALUE(TRIM(G36)),"00000"),EXP!$A:$B,2,FALSE),IFERROR(VLOOKUP(VALUE(TRIM(G36)),EXP!$A:$B,2,FALSE),""))</f>
        <v>02095-00468918</v>
      </c>
      <c r="O36" t="str">
        <f t="shared" si="1"/>
        <v>Aviso Notificacion, Providencia de apremio, Agencia Tributaria Canaria</v>
      </c>
    </row>
    <row r="37" spans="1:15" ht="17.25" customHeight="1" x14ac:dyDescent="0.25">
      <c r="A37" s="10" t="s">
        <v>96</v>
      </c>
      <c r="B37" s="10" t="s">
        <v>97</v>
      </c>
      <c r="C37" s="11" t="s">
        <v>89</v>
      </c>
      <c r="D37" s="12">
        <v>46133.397141203699</v>
      </c>
      <c r="E37" s="11" t="s">
        <v>41</v>
      </c>
      <c r="F37">
        <v>14</v>
      </c>
      <c r="G37" s="10" t="s">
        <v>96</v>
      </c>
      <c r="H37" s="13">
        <v>3010</v>
      </c>
      <c r="I37" s="12">
        <v>46133.397141203699</v>
      </c>
      <c r="J37" s="11" t="s">
        <v>29</v>
      </c>
      <c r="K37">
        <v>3</v>
      </c>
      <c r="L37">
        <v>1</v>
      </c>
      <c r="M37" s="18">
        <f t="shared" si="0"/>
        <v>13</v>
      </c>
      <c r="N37" t="str">
        <f>IFERROR(VLOOKUP(TEXT(VALUE(TRIM(G37)),"00000"),EXP!$A:$B,2,FALSE),IFERROR(VLOOKUP(VALUE(TRIM(G37)),EXP!$A:$B,2,FALSE),""))</f>
        <v>02095-00468918</v>
      </c>
      <c r="O37" t="str">
        <f t="shared" si="1"/>
        <v>Aviso Notificacion, Providencia de apremio, Agencia Tributaria Canaria</v>
      </c>
    </row>
    <row r="38" spans="1:15" ht="17.25" customHeight="1" x14ac:dyDescent="0.25">
      <c r="A38" s="10" t="s">
        <v>96</v>
      </c>
      <c r="B38" s="10" t="s">
        <v>97</v>
      </c>
      <c r="C38" s="11" t="s">
        <v>89</v>
      </c>
      <c r="D38" s="12">
        <v>46133.397974537038</v>
      </c>
      <c r="E38" s="11" t="s">
        <v>41</v>
      </c>
      <c r="F38">
        <v>14</v>
      </c>
      <c r="G38" s="10" t="s">
        <v>96</v>
      </c>
      <c r="H38" s="13">
        <v>3010</v>
      </c>
      <c r="I38" s="12">
        <v>46133.397974537038</v>
      </c>
      <c r="J38" s="11" t="s">
        <v>29</v>
      </c>
      <c r="K38">
        <v>3</v>
      </c>
      <c r="L38">
        <v>1</v>
      </c>
      <c r="M38" s="18">
        <f t="shared" si="0"/>
        <v>13</v>
      </c>
      <c r="N38" t="str">
        <f>IFERROR(VLOOKUP(TEXT(VALUE(TRIM(G38)),"00000"),EXP!$A:$B,2,FALSE),IFERROR(VLOOKUP(VALUE(TRIM(G38)),EXP!$A:$B,2,FALSE),""))</f>
        <v>02095-00468918</v>
      </c>
      <c r="O38" t="str">
        <f t="shared" si="1"/>
        <v>Aviso Notificacion, Providencia de apremio, Agencia Tributaria Canaria</v>
      </c>
    </row>
    <row r="39" spans="1:15" ht="17.25" customHeight="1" x14ac:dyDescent="0.25">
      <c r="A39" s="10" t="s">
        <v>96</v>
      </c>
      <c r="B39" s="10" t="s">
        <v>97</v>
      </c>
      <c r="C39" s="11" t="s">
        <v>89</v>
      </c>
      <c r="D39" s="12">
        <v>46133.398981481478</v>
      </c>
      <c r="E39" s="11" t="s">
        <v>41</v>
      </c>
      <c r="F39">
        <v>14</v>
      </c>
      <c r="G39" s="10" t="s">
        <v>96</v>
      </c>
      <c r="H39" s="13">
        <v>3010</v>
      </c>
      <c r="I39" s="12">
        <v>46133.398981481478</v>
      </c>
      <c r="J39" s="11" t="s">
        <v>29</v>
      </c>
      <c r="K39">
        <v>3</v>
      </c>
      <c r="L39">
        <v>1</v>
      </c>
      <c r="M39" s="18">
        <f t="shared" si="0"/>
        <v>13</v>
      </c>
      <c r="N39" t="str">
        <f>IFERROR(VLOOKUP(TEXT(VALUE(TRIM(G39)),"00000"),EXP!$A:$B,2,FALSE),IFERROR(VLOOKUP(VALUE(TRIM(G39)),EXP!$A:$B,2,FALSE),""))</f>
        <v>02095-00468918</v>
      </c>
      <c r="O39" t="str">
        <f t="shared" si="1"/>
        <v>Aviso Notificacion, Providencia de apremio, Agencia Tributaria Canaria</v>
      </c>
    </row>
    <row r="40" spans="1:15" ht="17.25" customHeight="1" x14ac:dyDescent="0.25">
      <c r="A40" s="10" t="s">
        <v>96</v>
      </c>
      <c r="B40" s="10" t="s">
        <v>97</v>
      </c>
      <c r="C40" s="11" t="s">
        <v>89</v>
      </c>
      <c r="D40" s="12">
        <v>46133.399988425925</v>
      </c>
      <c r="E40" s="11" t="s">
        <v>41</v>
      </c>
      <c r="F40">
        <v>14</v>
      </c>
      <c r="G40" s="10" t="s">
        <v>96</v>
      </c>
      <c r="H40" s="13">
        <v>3010</v>
      </c>
      <c r="I40" s="12">
        <v>46133.399988425925</v>
      </c>
      <c r="J40" s="11" t="s">
        <v>29</v>
      </c>
      <c r="K40">
        <v>3</v>
      </c>
      <c r="L40">
        <v>1</v>
      </c>
      <c r="M40" s="18">
        <f t="shared" si="0"/>
        <v>13</v>
      </c>
      <c r="N40" t="str">
        <f>IFERROR(VLOOKUP(TEXT(VALUE(TRIM(G40)),"00000"),EXP!$A:$B,2,FALSE),IFERROR(VLOOKUP(VALUE(TRIM(G40)),EXP!$A:$B,2,FALSE),""))</f>
        <v>02095-00468918</v>
      </c>
      <c r="O40" t="str">
        <f t="shared" si="1"/>
        <v>Aviso Notificacion, Providencia de apremio, Agencia Tributaria Canaria</v>
      </c>
    </row>
    <row r="41" spans="1:15" ht="17.25" customHeight="1" x14ac:dyDescent="0.25">
      <c r="A41" s="10" t="s">
        <v>96</v>
      </c>
      <c r="B41" s="10" t="s">
        <v>97</v>
      </c>
      <c r="C41" s="11" t="s">
        <v>89</v>
      </c>
      <c r="D41" s="12">
        <v>46133.400891203702</v>
      </c>
      <c r="E41" s="11" t="s">
        <v>41</v>
      </c>
      <c r="F41">
        <v>14</v>
      </c>
      <c r="G41" s="10" t="s">
        <v>96</v>
      </c>
      <c r="H41" s="13">
        <v>3010</v>
      </c>
      <c r="I41" s="12">
        <v>46133.400891203702</v>
      </c>
      <c r="J41" s="11" t="s">
        <v>29</v>
      </c>
      <c r="K41">
        <v>3</v>
      </c>
      <c r="L41">
        <v>1</v>
      </c>
      <c r="M41" s="18">
        <f t="shared" si="0"/>
        <v>13</v>
      </c>
      <c r="N41" t="str">
        <f>IFERROR(VLOOKUP(TEXT(VALUE(TRIM(G41)),"00000"),EXP!$A:$B,2,FALSE),IFERROR(VLOOKUP(VALUE(TRIM(G41)),EXP!$A:$B,2,FALSE),""))</f>
        <v>02095-00468918</v>
      </c>
      <c r="O41" t="str">
        <f t="shared" si="1"/>
        <v>Aviso Notificacion, Providencia de apremio, Agencia Tributaria Canaria</v>
      </c>
    </row>
    <row r="42" spans="1:15" ht="17.25" customHeight="1" x14ac:dyDescent="0.25">
      <c r="A42" s="10" t="s">
        <v>96</v>
      </c>
      <c r="B42" s="10" t="s">
        <v>97</v>
      </c>
      <c r="C42" s="11" t="s">
        <v>89</v>
      </c>
      <c r="D42" s="12">
        <v>46133.40174768518</v>
      </c>
      <c r="E42" s="11" t="s">
        <v>41</v>
      </c>
      <c r="F42">
        <v>14</v>
      </c>
      <c r="G42" s="10" t="s">
        <v>96</v>
      </c>
      <c r="H42" s="13">
        <v>3010</v>
      </c>
      <c r="I42" s="12">
        <v>46133.40174768518</v>
      </c>
      <c r="J42" s="11" t="s">
        <v>29</v>
      </c>
      <c r="K42">
        <v>3</v>
      </c>
      <c r="L42">
        <v>1</v>
      </c>
      <c r="M42" s="18">
        <f t="shared" si="0"/>
        <v>13</v>
      </c>
      <c r="N42" t="str">
        <f>IFERROR(VLOOKUP(TEXT(VALUE(TRIM(G42)),"00000"),EXP!$A:$B,2,FALSE),IFERROR(VLOOKUP(VALUE(TRIM(G42)),EXP!$A:$B,2,FALSE),""))</f>
        <v>02095-00468918</v>
      </c>
      <c r="O42" t="str">
        <f t="shared" si="1"/>
        <v>Aviso Notificacion, Providencia de apremio, Agencia Tributaria Canaria</v>
      </c>
    </row>
    <row r="43" spans="1:15" ht="17.25" customHeight="1" x14ac:dyDescent="0.25">
      <c r="A43" s="10" t="s">
        <v>96</v>
      </c>
      <c r="B43" s="10" t="s">
        <v>97</v>
      </c>
      <c r="C43" s="11" t="s">
        <v>89</v>
      </c>
      <c r="D43" s="12">
        <v>46133.402638888889</v>
      </c>
      <c r="E43" s="11" t="s">
        <v>41</v>
      </c>
      <c r="F43">
        <v>14</v>
      </c>
      <c r="G43" s="10" t="s">
        <v>96</v>
      </c>
      <c r="H43" s="13">
        <v>3010</v>
      </c>
      <c r="I43" s="12">
        <v>46133.402638888889</v>
      </c>
      <c r="J43" s="11" t="s">
        <v>29</v>
      </c>
      <c r="K43">
        <v>3</v>
      </c>
      <c r="L43">
        <v>1</v>
      </c>
      <c r="M43" s="18">
        <f t="shared" si="0"/>
        <v>13</v>
      </c>
      <c r="N43" t="str">
        <f>IFERROR(VLOOKUP(TEXT(VALUE(TRIM(G43)),"00000"),EXP!$A:$B,2,FALSE),IFERROR(VLOOKUP(VALUE(TRIM(G43)),EXP!$A:$B,2,FALSE),""))</f>
        <v>02095-00468918</v>
      </c>
      <c r="O43" t="str">
        <f t="shared" si="1"/>
        <v>Aviso Notificacion, Providencia de apremio, Agencia Tributaria Canaria</v>
      </c>
    </row>
    <row r="44" spans="1:15" ht="17.25" customHeight="1" x14ac:dyDescent="0.25">
      <c r="A44" s="10" t="s">
        <v>96</v>
      </c>
      <c r="B44" s="10" t="s">
        <v>97</v>
      </c>
      <c r="C44" s="11" t="s">
        <v>89</v>
      </c>
      <c r="D44" s="12">
        <v>46133.403402777774</v>
      </c>
      <c r="E44" s="11" t="s">
        <v>41</v>
      </c>
      <c r="F44">
        <v>14</v>
      </c>
      <c r="G44" s="10" t="s">
        <v>96</v>
      </c>
      <c r="H44" s="13">
        <v>3010</v>
      </c>
      <c r="I44" s="12">
        <v>46133.403402777774</v>
      </c>
      <c r="J44" s="11" t="s">
        <v>29</v>
      </c>
      <c r="K44">
        <v>3</v>
      </c>
      <c r="L44">
        <v>1</v>
      </c>
      <c r="M44" s="18">
        <f t="shared" si="0"/>
        <v>13</v>
      </c>
      <c r="N44" t="str">
        <f>IFERROR(VLOOKUP(TEXT(VALUE(TRIM(G44)),"00000"),EXP!$A:$B,2,FALSE),IFERROR(VLOOKUP(VALUE(TRIM(G44)),EXP!$A:$B,2,FALSE),""))</f>
        <v>02095-00468918</v>
      </c>
      <c r="O44" t="str">
        <f t="shared" si="1"/>
        <v>Aviso Notificacion, Providencia de apremio, Agencia Tributaria Canaria</v>
      </c>
    </row>
    <row r="45" spans="1:15" ht="17.25" customHeight="1" x14ac:dyDescent="0.25">
      <c r="A45" s="10" t="s">
        <v>96</v>
      </c>
      <c r="B45" s="10" t="s">
        <v>97</v>
      </c>
      <c r="C45" s="11" t="s">
        <v>89</v>
      </c>
      <c r="D45" s="12">
        <v>46133.404236111106</v>
      </c>
      <c r="E45" s="11" t="s">
        <v>41</v>
      </c>
      <c r="F45">
        <v>14</v>
      </c>
      <c r="G45" s="10" t="s">
        <v>96</v>
      </c>
      <c r="H45" s="13">
        <v>3010</v>
      </c>
      <c r="I45" s="12">
        <v>46133.404236111106</v>
      </c>
      <c r="J45" s="11" t="s">
        <v>29</v>
      </c>
      <c r="K45">
        <v>3</v>
      </c>
      <c r="L45">
        <v>1</v>
      </c>
      <c r="M45" s="18">
        <f t="shared" si="0"/>
        <v>13</v>
      </c>
      <c r="N45" t="str">
        <f>IFERROR(VLOOKUP(TEXT(VALUE(TRIM(G45)),"00000"),EXP!$A:$B,2,FALSE),IFERROR(VLOOKUP(VALUE(TRIM(G45)),EXP!$A:$B,2,FALSE),""))</f>
        <v>02095-00468918</v>
      </c>
      <c r="O45" t="str">
        <f t="shared" si="1"/>
        <v>Aviso Notificacion, Providencia de apremio, Agencia Tributaria Canaria</v>
      </c>
    </row>
    <row r="46" spans="1:15" ht="17.25" customHeight="1" x14ac:dyDescent="0.25">
      <c r="A46" s="10" t="s">
        <v>96</v>
      </c>
      <c r="B46" s="10" t="s">
        <v>97</v>
      </c>
      <c r="C46" s="11" t="s">
        <v>89</v>
      </c>
      <c r="D46" s="12">
        <v>46133.405150462961</v>
      </c>
      <c r="E46" s="11" t="s">
        <v>41</v>
      </c>
      <c r="F46">
        <v>14</v>
      </c>
      <c r="G46" s="10" t="s">
        <v>96</v>
      </c>
      <c r="H46" s="13">
        <v>3010</v>
      </c>
      <c r="I46" s="12">
        <v>46133.405150462961</v>
      </c>
      <c r="J46" s="11" t="s">
        <v>29</v>
      </c>
      <c r="K46">
        <v>3</v>
      </c>
      <c r="L46">
        <v>1</v>
      </c>
      <c r="M46" s="18">
        <f t="shared" si="0"/>
        <v>13</v>
      </c>
      <c r="N46" t="str">
        <f>IFERROR(VLOOKUP(TEXT(VALUE(TRIM(G46)),"00000"),EXP!$A:$B,2,FALSE),IFERROR(VLOOKUP(VALUE(TRIM(G46)),EXP!$A:$B,2,FALSE),""))</f>
        <v>02095-00468918</v>
      </c>
      <c r="O46" t="str">
        <f t="shared" si="1"/>
        <v>Aviso Notificacion, Providencia de apremio, Agencia Tributaria Canaria</v>
      </c>
    </row>
    <row r="47" spans="1:15" ht="17.25" customHeight="1" x14ac:dyDescent="0.25">
      <c r="A47" s="10" t="s">
        <v>98</v>
      </c>
      <c r="B47" s="10" t="s">
        <v>99</v>
      </c>
      <c r="C47" s="11" t="s">
        <v>89</v>
      </c>
      <c r="D47" s="12">
        <v>46149.627962962964</v>
      </c>
      <c r="E47" s="11" t="s">
        <v>90</v>
      </c>
      <c r="F47">
        <v>14</v>
      </c>
      <c r="G47" s="10" t="s">
        <v>98</v>
      </c>
      <c r="H47" s="13">
        <v>3010</v>
      </c>
      <c r="I47" s="12">
        <v>46149.627962962964</v>
      </c>
      <c r="J47" s="11" t="s">
        <v>29</v>
      </c>
      <c r="K47">
        <v>3</v>
      </c>
      <c r="L47">
        <v>1</v>
      </c>
      <c r="M47" s="18">
        <f t="shared" si="0"/>
        <v>13</v>
      </c>
      <c r="N47" t="str">
        <f>IFERROR(VLOOKUP(TEXT(VALUE(TRIM(G47)),"00000"),EXP!$A:$B,2,FALSE),IFERROR(VLOOKUP(VALUE(TRIM(G47)),EXP!$A:$B,2,FALSE),""))</f>
        <v>02290-00497521</v>
      </c>
      <c r="O47" t="str">
        <f t="shared" si="1"/>
        <v>Aviso Notificacion, Carta informativa modelo 714, Agencia Tributaria Canaria</v>
      </c>
    </row>
    <row r="48" spans="1:15" ht="17.25" customHeight="1" x14ac:dyDescent="0.25">
      <c r="A48" s="10" t="s">
        <v>98</v>
      </c>
      <c r="B48" s="10" t="s">
        <v>100</v>
      </c>
      <c r="C48" s="11" t="s">
        <v>89</v>
      </c>
      <c r="D48" s="12">
        <v>46134.569745370369</v>
      </c>
      <c r="E48" s="11" t="s">
        <v>101</v>
      </c>
      <c r="F48">
        <v>14</v>
      </c>
      <c r="G48" s="10" t="s">
        <v>98</v>
      </c>
      <c r="H48" s="13">
        <v>3010</v>
      </c>
      <c r="I48" s="12">
        <v>46134.569745370369</v>
      </c>
      <c r="J48" s="11" t="s">
        <v>29</v>
      </c>
      <c r="K48">
        <v>3</v>
      </c>
      <c r="L48">
        <v>1</v>
      </c>
      <c r="M48" s="18">
        <f t="shared" si="0"/>
        <v>13</v>
      </c>
      <c r="N48" t="str">
        <f>IFERROR(VLOOKUP(TEXT(VALUE(TRIM(G48)),"00000"),EXP!$A:$B,2,FALSE),IFERROR(VLOOKUP(VALUE(TRIM(G48)),EXP!$A:$B,2,FALSE),""))</f>
        <v>02290-00497521</v>
      </c>
      <c r="O48" t="str">
        <f t="shared" si="1"/>
        <v>Aviso Notificacion, Resolución de desistimiento de las peticiones de inscripción en el registro territorial CIM, Agencia Tributaria Canaria</v>
      </c>
    </row>
    <row r="49" spans="1:15" ht="17.25" customHeight="1" x14ac:dyDescent="0.25">
      <c r="A49" s="10" t="s">
        <v>98</v>
      </c>
      <c r="B49" s="10" t="s">
        <v>100</v>
      </c>
      <c r="C49" s="11" t="s">
        <v>89</v>
      </c>
      <c r="D49" s="12">
        <v>46135.553773148145</v>
      </c>
      <c r="E49" s="11" t="s">
        <v>101</v>
      </c>
      <c r="F49">
        <v>14</v>
      </c>
      <c r="G49" s="10" t="s">
        <v>98</v>
      </c>
      <c r="H49" s="13">
        <v>3010</v>
      </c>
      <c r="I49" s="12">
        <v>46135.553773148145</v>
      </c>
      <c r="J49" s="11" t="s">
        <v>29</v>
      </c>
      <c r="K49">
        <v>3</v>
      </c>
      <c r="L49">
        <v>1</v>
      </c>
      <c r="M49" s="18">
        <f t="shared" si="0"/>
        <v>13</v>
      </c>
      <c r="N49" t="str">
        <f>IFERROR(VLOOKUP(TEXT(VALUE(TRIM(G49)),"00000"),EXP!$A:$B,2,FALSE),IFERROR(VLOOKUP(VALUE(TRIM(G49)),EXP!$A:$B,2,FALSE),""))</f>
        <v>02290-00497521</v>
      </c>
      <c r="O49" t="str">
        <f t="shared" si="1"/>
        <v>Aviso Notificacion, Resolución de desistimiento de las peticiones de inscripción en el registro territorial CIM, Agencia Tributaria Canaria</v>
      </c>
    </row>
    <row r="50" spans="1:15" ht="17.25" customHeight="1" x14ac:dyDescent="0.25">
      <c r="A50" s="10" t="s">
        <v>98</v>
      </c>
      <c r="B50" s="10" t="s">
        <v>100</v>
      </c>
      <c r="C50" s="11" t="s">
        <v>89</v>
      </c>
      <c r="D50" s="12">
        <v>46133.462025462963</v>
      </c>
      <c r="E50" s="11" t="s">
        <v>102</v>
      </c>
      <c r="F50">
        <v>14</v>
      </c>
      <c r="G50" s="10" t="s">
        <v>98</v>
      </c>
      <c r="H50" s="13">
        <v>3010</v>
      </c>
      <c r="I50" s="12">
        <v>46133.462025462963</v>
      </c>
      <c r="J50" s="11" t="s">
        <v>29</v>
      </c>
      <c r="K50">
        <v>3</v>
      </c>
      <c r="L50">
        <v>1</v>
      </c>
      <c r="M50" s="18">
        <f t="shared" si="0"/>
        <v>13</v>
      </c>
      <c r="N50" t="str">
        <f>IFERROR(VLOOKUP(TEXT(VALUE(TRIM(G50)),"00000"),EXP!$A:$B,2,FALSE),IFERROR(VLOOKUP(VALUE(TRIM(G50)),EXP!$A:$B,2,FALSE),""))</f>
        <v>02290-00497521</v>
      </c>
      <c r="O50" t="str">
        <f t="shared" si="1"/>
        <v>Aviso Notificacion, Requerimiento de datos, Agencia Tributaria Canaria</v>
      </c>
    </row>
    <row r="51" spans="1:15" ht="17.25" customHeight="1" x14ac:dyDescent="0.25">
      <c r="A51" s="10" t="s">
        <v>98</v>
      </c>
      <c r="B51" s="10" t="s">
        <v>100</v>
      </c>
      <c r="C51" s="11" t="s">
        <v>89</v>
      </c>
      <c r="D51" s="12">
        <v>46135.554548611108</v>
      </c>
      <c r="E51" s="11" t="s">
        <v>101</v>
      </c>
      <c r="F51">
        <v>14</v>
      </c>
      <c r="G51" s="10" t="s">
        <v>98</v>
      </c>
      <c r="H51" s="13">
        <v>3010</v>
      </c>
      <c r="I51" s="12">
        <v>46135.554548611108</v>
      </c>
      <c r="J51" s="11" t="s">
        <v>29</v>
      </c>
      <c r="K51">
        <v>3</v>
      </c>
      <c r="L51">
        <v>1</v>
      </c>
      <c r="M51" s="18">
        <f t="shared" si="0"/>
        <v>13</v>
      </c>
      <c r="N51" t="str">
        <f>IFERROR(VLOOKUP(TEXT(VALUE(TRIM(G51)),"00000"),EXP!$A:$B,2,FALSE),IFERROR(VLOOKUP(VALUE(TRIM(G51)),EXP!$A:$B,2,FALSE),""))</f>
        <v>02290-00497521</v>
      </c>
      <c r="O51" t="str">
        <f t="shared" si="1"/>
        <v>Aviso Notificacion, Resolución de desistimiento de las peticiones de inscripción en el registro territorial CIM, Agencia Tributaria Canaria</v>
      </c>
    </row>
    <row r="52" spans="1:15" ht="17.25" customHeight="1" x14ac:dyDescent="0.25">
      <c r="A52" s="10" t="s">
        <v>91</v>
      </c>
      <c r="B52" s="10" t="s">
        <v>92</v>
      </c>
      <c r="C52" s="11" t="s">
        <v>103</v>
      </c>
      <c r="D52" s="12">
        <v>46142.655601851853</v>
      </c>
      <c r="E52" s="11" t="s">
        <v>41</v>
      </c>
      <c r="F52">
        <v>14</v>
      </c>
      <c r="G52" s="10" t="s">
        <v>91</v>
      </c>
      <c r="H52" s="13">
        <v>3010</v>
      </c>
      <c r="I52" s="12">
        <v>46142.655601851853</v>
      </c>
      <c r="J52" s="11" t="s">
        <v>29</v>
      </c>
      <c r="K52">
        <v>3</v>
      </c>
      <c r="L52">
        <v>1</v>
      </c>
      <c r="M52" s="18">
        <f t="shared" si="0"/>
        <v>13</v>
      </c>
      <c r="N52" t="str">
        <f>IFERROR(VLOOKUP(TEXT(VALUE(TRIM(G52)),"00000"),EXP!$A:$B,2,FALSE),IFERROR(VLOOKUP(VALUE(TRIM(G52)),EXP!$A:$B,2,FALSE),""))</f>
        <v>01771-00414317</v>
      </c>
      <c r="O52" t="str">
        <f t="shared" si="1"/>
        <v>Aviso Notificacion, Providencia de apremio, Ayuntamiento de Arona</v>
      </c>
    </row>
    <row r="53" spans="1:15" ht="17.25" customHeight="1" x14ac:dyDescent="0.25">
      <c r="A53" s="10" t="s">
        <v>104</v>
      </c>
      <c r="B53" s="10" t="s">
        <v>105</v>
      </c>
      <c r="C53" s="11" t="s">
        <v>103</v>
      </c>
      <c r="D53" s="12">
        <v>46147.621157407404</v>
      </c>
      <c r="E53" s="11" t="s">
        <v>106</v>
      </c>
      <c r="F53">
        <v>14</v>
      </c>
      <c r="G53" s="10" t="s">
        <v>104</v>
      </c>
      <c r="H53" s="13">
        <v>3010</v>
      </c>
      <c r="I53" s="12">
        <v>46147.621157407404</v>
      </c>
      <c r="J53" s="11" t="s">
        <v>29</v>
      </c>
      <c r="K53">
        <v>3</v>
      </c>
      <c r="L53">
        <v>1</v>
      </c>
      <c r="M53" s="18">
        <f t="shared" si="0"/>
        <v>13</v>
      </c>
      <c r="N53" t="str">
        <f>IFERROR(VLOOKUP(TEXT(VALUE(TRIM(G53)),"00000"),EXP!$A:$B,2,FALSE),IFERROR(VLOOKUP(VALUE(TRIM(G53)),EXP!$A:$B,2,FALSE),""))</f>
        <v>05000-00442117</v>
      </c>
      <c r="O53" t="str">
        <f t="shared" si="1"/>
        <v>Aviso Notificacion, Providencia de apremio - Basura, Ayuntamiento de Arona</v>
      </c>
    </row>
    <row r="54" spans="1:15" ht="17.25" customHeight="1" x14ac:dyDescent="0.25">
      <c r="A54" s="10" t="s">
        <v>98</v>
      </c>
      <c r="B54" s="10" t="s">
        <v>100</v>
      </c>
      <c r="C54" s="11" t="s">
        <v>107</v>
      </c>
      <c r="D54" s="12">
        <v>46147.619166666664</v>
      </c>
      <c r="E54" s="11" t="s">
        <v>108</v>
      </c>
      <c r="F54">
        <v>14</v>
      </c>
      <c r="G54" s="10" t="s">
        <v>98</v>
      </c>
      <c r="H54" s="13">
        <v>3010</v>
      </c>
      <c r="I54" s="12">
        <v>46147.619166666664</v>
      </c>
      <c r="J54" s="11" t="s">
        <v>29</v>
      </c>
      <c r="K54">
        <v>3</v>
      </c>
      <c r="L54">
        <v>1</v>
      </c>
      <c r="M54" s="18">
        <f t="shared" si="0"/>
        <v>13</v>
      </c>
      <c r="N54" t="str">
        <f>IFERROR(VLOOKUP(TEXT(VALUE(TRIM(G54)),"00000"),EXP!$A:$B,2,FALSE),IFERROR(VLOOKUP(VALUE(TRIM(G54)),EXP!$A:$B,2,FALSE),""))</f>
        <v>02290-00497521</v>
      </c>
      <c r="O54" t="str">
        <f t="shared" si="1"/>
        <v>Aviso Notificacion, Acceso a la Información Pública por los Ciudadanos - Gasolineras, Ayuntamiento de Arrecife</v>
      </c>
    </row>
    <row r="55" spans="1:15" ht="17.25" customHeight="1" x14ac:dyDescent="0.25">
      <c r="A55" s="10" t="s">
        <v>50</v>
      </c>
      <c r="B55" s="10" t="s">
        <v>109</v>
      </c>
      <c r="C55" s="11" t="s">
        <v>110</v>
      </c>
      <c r="D55" s="12">
        <v>46141.532395833332</v>
      </c>
      <c r="E55" s="11" t="s">
        <v>111</v>
      </c>
      <c r="F55">
        <v>14</v>
      </c>
      <c r="G55" s="10" t="s">
        <v>50</v>
      </c>
      <c r="H55" s="13">
        <v>3010</v>
      </c>
      <c r="I55" s="12">
        <v>46141.532395833332</v>
      </c>
      <c r="J55" s="11" t="s">
        <v>29</v>
      </c>
      <c r="K55">
        <v>3</v>
      </c>
      <c r="L55">
        <v>1</v>
      </c>
      <c r="M55" s="18">
        <f t="shared" si="0"/>
        <v>13</v>
      </c>
      <c r="N55" t="str">
        <f>IFERROR(VLOOKUP(TEXT(VALUE(TRIM(G55)),"00000"),EXP!$A:$B,2,FALSE),IFERROR(VLOOKUP(VALUE(TRIM(G55)),EXP!$A:$B,2,FALSE),""))</f>
        <v>01985-00425817</v>
      </c>
      <c r="O55" t="str">
        <f t="shared" si="1"/>
        <v>Aviso Notificacion, Sancionador de Tráfico y Transportes incoación procedimiento sancionador por no identificación del conductor, Ayuntamiento de Güímar</v>
      </c>
    </row>
    <row r="56" spans="1:15" ht="17.25" customHeight="1" x14ac:dyDescent="0.25">
      <c r="A56" s="10" t="s">
        <v>94</v>
      </c>
      <c r="B56" s="10" t="s">
        <v>95</v>
      </c>
      <c r="C56" s="11" t="s">
        <v>112</v>
      </c>
      <c r="D56" s="12">
        <v>46139.534490740742</v>
      </c>
      <c r="E56" s="11" t="s">
        <v>113</v>
      </c>
      <c r="F56">
        <v>14</v>
      </c>
      <c r="G56" s="10" t="s">
        <v>94</v>
      </c>
      <c r="H56" s="13">
        <v>3010</v>
      </c>
      <c r="I56" s="12">
        <v>46139.534490740742</v>
      </c>
      <c r="J56" s="11" t="s">
        <v>29</v>
      </c>
      <c r="K56">
        <v>3</v>
      </c>
      <c r="L56">
        <v>1</v>
      </c>
      <c r="M56" s="18">
        <f t="shared" si="0"/>
        <v>13</v>
      </c>
      <c r="N56" t="str">
        <f>IFERROR(VLOOKUP(TEXT(VALUE(TRIM(G56)),"00000"),EXP!$A:$B,2,FALSE),IFERROR(VLOOKUP(VALUE(TRIM(G56)),EXP!$A:$B,2,FALSE),""))</f>
        <v>01841-00428517</v>
      </c>
      <c r="O56" t="str">
        <f t="shared" si="1"/>
        <v>Aviso Notificacion, Planeamiento General CAMBIO DE SISTEMA DE EJECUCIÓN PÚBLICA POR COOPERACIÓN POR SISTEMA PRIVADO PLAN PARCI, Ayuntamiento de Orotava, La</v>
      </c>
    </row>
    <row r="57" spans="1:15" ht="17.25" customHeight="1" x14ac:dyDescent="0.25">
      <c r="A57" s="10" t="s">
        <v>114</v>
      </c>
      <c r="B57" s="10" t="s">
        <v>115</v>
      </c>
      <c r="C57" s="11" t="s">
        <v>116</v>
      </c>
      <c r="D57" s="12">
        <v>46161.654756944445</v>
      </c>
      <c r="E57" s="11" t="s">
        <v>117</v>
      </c>
      <c r="F57">
        <v>14</v>
      </c>
      <c r="G57" s="10" t="s">
        <v>114</v>
      </c>
      <c r="H57" s="13">
        <v>3010</v>
      </c>
      <c r="I57" s="12">
        <v>46161.654756944445</v>
      </c>
      <c r="J57" s="11" t="s">
        <v>29</v>
      </c>
      <c r="K57">
        <v>3</v>
      </c>
      <c r="L57">
        <v>1</v>
      </c>
      <c r="M57" s="18">
        <f t="shared" si="0"/>
        <v>13</v>
      </c>
      <c r="N57" t="str">
        <f>IFERROR(VLOOKUP(TEXT(VALUE(TRIM(G57)),"00000"),EXP!$A:$B,2,FALSE),IFERROR(VLOOKUP(VALUE(TRIM(G57)),EXP!$A:$B,2,FALSE),""))</f>
        <v>01694-00413217</v>
      </c>
      <c r="O57" t="str">
        <f t="shared" si="1"/>
        <v>Aviso Notificacion, Impuesto de incremento de valor de terrenos, Ayuntamiento de San Cristóbal de La Laguna</v>
      </c>
    </row>
    <row r="58" spans="1:15" ht="17.25" customHeight="1" x14ac:dyDescent="0.25">
      <c r="A58" s="10" t="s">
        <v>114</v>
      </c>
      <c r="B58" s="10" t="s">
        <v>115</v>
      </c>
      <c r="C58" s="11" t="s">
        <v>116</v>
      </c>
      <c r="D58" s="12">
        <v>46161.655659722222</v>
      </c>
      <c r="E58" s="11" t="s">
        <v>117</v>
      </c>
      <c r="F58">
        <v>14</v>
      </c>
      <c r="G58" s="10" t="s">
        <v>114</v>
      </c>
      <c r="H58" s="13">
        <v>3010</v>
      </c>
      <c r="I58" s="12">
        <v>46161.655659722222</v>
      </c>
      <c r="J58" s="11" t="s">
        <v>29</v>
      </c>
      <c r="K58">
        <v>3</v>
      </c>
      <c r="L58">
        <v>1</v>
      </c>
      <c r="M58" s="18">
        <f t="shared" si="0"/>
        <v>13</v>
      </c>
      <c r="N58" t="str">
        <f>IFERROR(VLOOKUP(TEXT(VALUE(TRIM(G58)),"00000"),EXP!$A:$B,2,FALSE),IFERROR(VLOOKUP(VALUE(TRIM(G58)),EXP!$A:$B,2,FALSE),""))</f>
        <v>01694-00413217</v>
      </c>
      <c r="O58" t="str">
        <f t="shared" si="1"/>
        <v>Aviso Notificacion, Impuesto de incremento de valor de terrenos, Ayuntamiento de San Cristóbal de La Laguna</v>
      </c>
    </row>
    <row r="59" spans="1:15" ht="17.25" customHeight="1" x14ac:dyDescent="0.25">
      <c r="A59" s="10" t="s">
        <v>114</v>
      </c>
      <c r="B59" s="10" t="s">
        <v>115</v>
      </c>
      <c r="C59" s="11" t="s">
        <v>116</v>
      </c>
      <c r="D59" s="12">
        <v>46161.656597222223</v>
      </c>
      <c r="E59" s="11" t="s">
        <v>117</v>
      </c>
      <c r="F59">
        <v>14</v>
      </c>
      <c r="G59" s="10" t="s">
        <v>114</v>
      </c>
      <c r="H59" s="13">
        <v>3010</v>
      </c>
      <c r="I59" s="12">
        <v>46161.656597222223</v>
      </c>
      <c r="J59" s="11" t="s">
        <v>29</v>
      </c>
      <c r="K59">
        <v>3</v>
      </c>
      <c r="L59">
        <v>1</v>
      </c>
      <c r="M59" s="18">
        <f t="shared" si="0"/>
        <v>13</v>
      </c>
      <c r="N59" t="str">
        <f>IFERROR(VLOOKUP(TEXT(VALUE(TRIM(G59)),"00000"),EXP!$A:$B,2,FALSE),IFERROR(VLOOKUP(VALUE(TRIM(G59)),EXP!$A:$B,2,FALSE),""))</f>
        <v>01694-00413217</v>
      </c>
      <c r="O59" t="str">
        <f t="shared" si="1"/>
        <v>Aviso Notificacion, Impuesto de incremento de valor de terrenos, Ayuntamiento de San Cristóbal de La Laguna</v>
      </c>
    </row>
    <row r="60" spans="1:15" ht="17.25" customHeight="1" x14ac:dyDescent="0.25">
      <c r="A60" s="10" t="s">
        <v>114</v>
      </c>
      <c r="B60" s="10" t="s">
        <v>118</v>
      </c>
      <c r="C60" s="11" t="s">
        <v>116</v>
      </c>
      <c r="D60" s="12">
        <v>46161.651238425926</v>
      </c>
      <c r="E60" s="11" t="s">
        <v>119</v>
      </c>
      <c r="F60">
        <v>14</v>
      </c>
      <c r="G60" s="10" t="s">
        <v>114</v>
      </c>
      <c r="H60" s="13">
        <v>3010</v>
      </c>
      <c r="I60" s="12">
        <v>46161.651238425926</v>
      </c>
      <c r="J60" s="11" t="s">
        <v>29</v>
      </c>
      <c r="K60">
        <v>3</v>
      </c>
      <c r="L60">
        <v>1</v>
      </c>
      <c r="M60" s="18">
        <f t="shared" si="0"/>
        <v>13</v>
      </c>
      <c r="N60" t="str">
        <f>IFERROR(VLOOKUP(TEXT(VALUE(TRIM(G60)),"00000"),EXP!$A:$B,2,FALSE),IFERROR(VLOOKUP(VALUE(TRIM(G60)),EXP!$A:$B,2,FALSE),""))</f>
        <v>01694-00413217</v>
      </c>
      <c r="O60" t="str">
        <f t="shared" si="1"/>
        <v>Aviso Notificacion, Impuesto incremento del valor de terrenos, Ayuntamiento de San Cristóbal de La Laguna</v>
      </c>
    </row>
    <row r="61" spans="1:15" ht="17.25" customHeight="1" x14ac:dyDescent="0.25">
      <c r="A61" s="10" t="s">
        <v>114</v>
      </c>
      <c r="B61" s="10" t="s">
        <v>118</v>
      </c>
      <c r="C61" s="11" t="s">
        <v>116</v>
      </c>
      <c r="D61" s="12">
        <v>46161.65221064815</v>
      </c>
      <c r="E61" s="11" t="s">
        <v>119</v>
      </c>
      <c r="F61">
        <v>14</v>
      </c>
      <c r="G61" s="10" t="s">
        <v>114</v>
      </c>
      <c r="H61" s="13">
        <v>3010</v>
      </c>
      <c r="I61" s="12">
        <v>46161.65221064815</v>
      </c>
      <c r="J61" s="11" t="s">
        <v>29</v>
      </c>
      <c r="K61">
        <v>3</v>
      </c>
      <c r="L61">
        <v>1</v>
      </c>
      <c r="M61" s="18">
        <f t="shared" si="0"/>
        <v>13</v>
      </c>
      <c r="N61" t="str">
        <f>IFERROR(VLOOKUP(TEXT(VALUE(TRIM(G61)),"00000"),EXP!$A:$B,2,FALSE),IFERROR(VLOOKUP(VALUE(TRIM(G61)),EXP!$A:$B,2,FALSE),""))</f>
        <v>01694-00413217</v>
      </c>
      <c r="O61" t="str">
        <f t="shared" si="1"/>
        <v>Aviso Notificacion, Impuesto incremento del valor de terrenos, Ayuntamiento de San Cristóbal de La Laguna</v>
      </c>
    </row>
    <row r="62" spans="1:15" ht="17.25" customHeight="1" x14ac:dyDescent="0.25">
      <c r="A62" s="10" t="s">
        <v>114</v>
      </c>
      <c r="B62" s="10" t="s">
        <v>118</v>
      </c>
      <c r="C62" s="11" t="s">
        <v>116</v>
      </c>
      <c r="D62" s="12">
        <v>46161.658680555556</v>
      </c>
      <c r="E62" s="11" t="s">
        <v>117</v>
      </c>
      <c r="F62">
        <v>14</v>
      </c>
      <c r="G62" s="10" t="s">
        <v>114</v>
      </c>
      <c r="H62" s="13">
        <v>3010</v>
      </c>
      <c r="I62" s="12">
        <v>46161.658680555556</v>
      </c>
      <c r="J62" s="11" t="s">
        <v>29</v>
      </c>
      <c r="K62">
        <v>3</v>
      </c>
      <c r="L62">
        <v>1</v>
      </c>
      <c r="M62" s="18">
        <f t="shared" si="0"/>
        <v>13</v>
      </c>
      <c r="N62" t="str">
        <f>IFERROR(VLOOKUP(TEXT(VALUE(TRIM(G62)),"00000"),EXP!$A:$B,2,FALSE),IFERROR(VLOOKUP(VALUE(TRIM(G62)),EXP!$A:$B,2,FALSE),""))</f>
        <v>01694-00413217</v>
      </c>
      <c r="O62" t="str">
        <f t="shared" si="1"/>
        <v>Aviso Notificacion, Impuesto de incremento de valor de terrenos, Ayuntamiento de San Cristóbal de La Laguna</v>
      </c>
    </row>
    <row r="63" spans="1:15" ht="17.25" customHeight="1" x14ac:dyDescent="0.25">
      <c r="A63" s="10" t="s">
        <v>120</v>
      </c>
      <c r="B63" s="10" t="s">
        <v>121</v>
      </c>
      <c r="C63" s="11" t="s">
        <v>116</v>
      </c>
      <c r="D63" s="12">
        <v>46161.657696759255</v>
      </c>
      <c r="E63" s="11" t="s">
        <v>122</v>
      </c>
      <c r="F63">
        <v>14</v>
      </c>
      <c r="G63" s="10" t="s">
        <v>120</v>
      </c>
      <c r="H63" s="13">
        <v>3010</v>
      </c>
      <c r="I63" s="12">
        <v>46161.657696759255</v>
      </c>
      <c r="J63" s="11" t="s">
        <v>29</v>
      </c>
      <c r="K63">
        <v>3</v>
      </c>
      <c r="L63">
        <v>1</v>
      </c>
      <c r="M63" s="18">
        <f t="shared" si="0"/>
        <v>13</v>
      </c>
      <c r="N63" t="str">
        <f>IFERROR(VLOOKUP(TEXT(VALUE(TRIM(G63)),"00000"),EXP!$A:$B,2,FALSE),IFERROR(VLOOKUP(VALUE(TRIM(G63)),EXP!$A:$B,2,FALSE),""))</f>
        <v>02423-00514623</v>
      </c>
      <c r="O63" t="str">
        <f t="shared" si="1"/>
        <v>Aviso Notificacion, Tasa de basuras, Ayuntamiento de San Cristóbal de La Laguna</v>
      </c>
    </row>
    <row r="64" spans="1:15" ht="17.25" customHeight="1" x14ac:dyDescent="0.25">
      <c r="A64" s="10" t="s">
        <v>123</v>
      </c>
      <c r="B64" s="10" t="s">
        <v>124</v>
      </c>
      <c r="C64" s="11" t="s">
        <v>116</v>
      </c>
      <c r="D64" s="12">
        <v>46135.562395833331</v>
      </c>
      <c r="E64" s="11" t="s">
        <v>125</v>
      </c>
      <c r="F64">
        <v>14</v>
      </c>
      <c r="G64" s="10" t="s">
        <v>123</v>
      </c>
      <c r="H64" s="13">
        <v>3010</v>
      </c>
      <c r="I64" s="12">
        <v>46135.562395833331</v>
      </c>
      <c r="J64" s="11" t="s">
        <v>29</v>
      </c>
      <c r="K64">
        <v>3</v>
      </c>
      <c r="L64">
        <v>1</v>
      </c>
      <c r="M64" s="18">
        <f t="shared" si="0"/>
        <v>13</v>
      </c>
      <c r="N64" t="str">
        <f>IFERROR(VLOOKUP(TEXT(VALUE(TRIM(G64)),"00000"),EXP!$A:$B,2,FALSE),IFERROR(VLOOKUP(VALUE(TRIM(G64)),EXP!$A:$B,2,FALSE),""))</f>
        <v>02545-00531725</v>
      </c>
      <c r="O64" t="str">
        <f t="shared" si="1"/>
        <v>Aviso Notificacion, Recibo IBIU, Ayuntamiento de San Cristóbal de La Laguna</v>
      </c>
    </row>
    <row r="65" spans="1:15" ht="17.25" customHeight="1" x14ac:dyDescent="0.25">
      <c r="A65" s="10" t="s">
        <v>123</v>
      </c>
      <c r="B65" s="10" t="s">
        <v>126</v>
      </c>
      <c r="C65" s="11" t="s">
        <v>116</v>
      </c>
      <c r="D65" s="12">
        <v>46161.653483796297</v>
      </c>
      <c r="E65" s="11" t="s">
        <v>127</v>
      </c>
      <c r="F65">
        <v>14</v>
      </c>
      <c r="G65" s="10" t="s">
        <v>123</v>
      </c>
      <c r="H65" s="13">
        <v>3010</v>
      </c>
      <c r="I65" s="12">
        <v>46161.653483796297</v>
      </c>
      <c r="J65" s="11" t="s">
        <v>29</v>
      </c>
      <c r="K65">
        <v>3</v>
      </c>
      <c r="L65">
        <v>1</v>
      </c>
      <c r="M65" s="18">
        <f t="shared" si="0"/>
        <v>13</v>
      </c>
      <c r="N65" t="str">
        <f>IFERROR(VLOOKUP(TEXT(VALUE(TRIM(G65)),"00000"),EXP!$A:$B,2,FALSE),IFERROR(VLOOKUP(VALUE(TRIM(G65)),EXP!$A:$B,2,FALSE),""))</f>
        <v>02545-00531725</v>
      </c>
      <c r="O65" t="str">
        <f t="shared" si="1"/>
        <v>Aviso Notificacion, Tasa de recogida de basuras, Ayuntamiento de San Cristóbal de La Laguna</v>
      </c>
    </row>
    <row r="66" spans="1:15" ht="17.25" customHeight="1" x14ac:dyDescent="0.25">
      <c r="A66" s="10" t="s">
        <v>128</v>
      </c>
      <c r="B66" s="10" t="s">
        <v>129</v>
      </c>
      <c r="C66" s="11" t="s">
        <v>130</v>
      </c>
      <c r="D66" s="12">
        <v>46153.628078703703</v>
      </c>
      <c r="E66" s="11" t="s">
        <v>131</v>
      </c>
      <c r="F66">
        <v>14</v>
      </c>
      <c r="G66" s="10" t="s">
        <v>128</v>
      </c>
      <c r="H66" s="13">
        <v>3010</v>
      </c>
      <c r="I66" s="12">
        <v>46153.628078703703</v>
      </c>
      <c r="J66" s="11" t="s">
        <v>29</v>
      </c>
      <c r="K66">
        <v>3</v>
      </c>
      <c r="L66">
        <v>1</v>
      </c>
      <c r="M66" s="18">
        <f t="shared" si="0"/>
        <v>13</v>
      </c>
      <c r="N66" t="str">
        <f>IFERROR(VLOOKUP(TEXT(VALUE(TRIM(G66)),"00000"),EXP!$A:$B,2,FALSE),IFERROR(VLOOKUP(VALUE(TRIM(G66)),EXP!$A:$B,2,FALSE),""))</f>
        <v>02421-00514923</v>
      </c>
      <c r="O66" t="str">
        <f t="shared" si="1"/>
        <v>Aviso Notificacion, Requerimiento de documentación, Ayuntamiento de Santa Cruz de Tenerife</v>
      </c>
    </row>
    <row r="67" spans="1:15" ht="17.25" customHeight="1" x14ac:dyDescent="0.25">
      <c r="A67" s="10" t="s">
        <v>132</v>
      </c>
      <c r="B67" s="10" t="s">
        <v>133</v>
      </c>
      <c r="C67" s="11" t="s">
        <v>134</v>
      </c>
      <c r="D67" s="12">
        <v>46156.62332175926</v>
      </c>
      <c r="E67" s="11" t="s">
        <v>135</v>
      </c>
      <c r="F67">
        <v>14</v>
      </c>
      <c r="G67" s="10" t="s">
        <v>132</v>
      </c>
      <c r="H67" s="13">
        <v>3010</v>
      </c>
      <c r="I67" s="12">
        <v>46156.62332175926</v>
      </c>
      <c r="J67" s="11" t="s">
        <v>29</v>
      </c>
      <c r="K67">
        <v>3</v>
      </c>
      <c r="L67">
        <v>1</v>
      </c>
      <c r="M67" s="18">
        <f t="shared" si="0"/>
        <v>13</v>
      </c>
      <c r="N67" t="str">
        <f>IFERROR(VLOOKUP(TEXT(VALUE(TRIM(G67)),"00000"),EXP!$A:$B,2,FALSE),IFERROR(VLOOKUP(VALUE(TRIM(G67)),EXP!$A:$B,2,FALSE),""))</f>
        <v>01303-00430917</v>
      </c>
      <c r="O67" t="str">
        <f t="shared" si="1"/>
        <v>Aviso Notificacion, Remisión de copia de expediente sancionador TF-2023-41959, Cabildo de Tenerife. Área de Movilidad</v>
      </c>
    </row>
    <row r="68" spans="1:15" ht="17.25" customHeight="1" x14ac:dyDescent="0.25">
      <c r="A68" s="10" t="s">
        <v>45</v>
      </c>
      <c r="B68" s="10" t="s">
        <v>46</v>
      </c>
      <c r="C68" s="11" t="s">
        <v>136</v>
      </c>
      <c r="D68" s="12">
        <v>46135</v>
      </c>
      <c r="E68" s="11" t="s">
        <v>137</v>
      </c>
      <c r="F68">
        <v>14</v>
      </c>
      <c r="G68" s="10" t="s">
        <v>45</v>
      </c>
      <c r="H68" s="13">
        <v>3010</v>
      </c>
      <c r="I68" s="12">
        <v>46135</v>
      </c>
      <c r="J68" s="11" t="s">
        <v>29</v>
      </c>
      <c r="K68">
        <v>3</v>
      </c>
      <c r="L68">
        <v>1</v>
      </c>
      <c r="M68" s="18">
        <f t="shared" ref="M68:M127" si="2">13*L68</f>
        <v>13</v>
      </c>
      <c r="N68" t="str">
        <f>IFERROR(VLOOKUP(TEXT(VALUE(TRIM(G68)),"00000"),EXP!$A:$B,2,FALSE),IFERROR(VLOOKUP(VALUE(TRIM(G68)),EXP!$A:$B,2,FALSE),""))</f>
        <v>01815-00416517</v>
      </c>
      <c r="O68" t="str">
        <f t="shared" ref="O68:O127" si="3">CONCATENATE(J68,", ",E68,", ",C68)</f>
        <v>Aviso Notificacion, LIQUIDACION 1T IMPTO.DEPOSITO DE RESIDUOS EN VERTEDEROS, Cabildo Insular de Fuerteventura</v>
      </c>
    </row>
    <row r="69" spans="1:15" ht="17.25" customHeight="1" x14ac:dyDescent="0.25">
      <c r="A69" s="10" t="s">
        <v>45</v>
      </c>
      <c r="B69" s="10" t="s">
        <v>46</v>
      </c>
      <c r="C69" s="11" t="s">
        <v>136</v>
      </c>
      <c r="D69" s="12">
        <v>46161</v>
      </c>
      <c r="E69" s="11" t="s">
        <v>138</v>
      </c>
      <c r="F69">
        <v>14</v>
      </c>
      <c r="G69" s="10" t="s">
        <v>45</v>
      </c>
      <c r="H69" s="13">
        <v>3010</v>
      </c>
      <c r="I69" s="12">
        <v>46161</v>
      </c>
      <c r="J69" s="11" t="s">
        <v>29</v>
      </c>
      <c r="K69">
        <v>3</v>
      </c>
      <c r="L69">
        <v>1</v>
      </c>
      <c r="M69" s="18">
        <f t="shared" si="2"/>
        <v>13</v>
      </c>
      <c r="N69" t="str">
        <f>IFERROR(VLOOKUP(TEXT(VALUE(TRIM(G69)),"00000"),EXP!$A:$B,2,FALSE),IFERROR(VLOOKUP(VALUE(TRIM(G69)),EXP!$A:$B,2,FALSE),""))</f>
        <v>01815-00416517</v>
      </c>
      <c r="O69" t="str">
        <f t="shared" si="3"/>
        <v>Aviso Notificacion, TASAS TRATAMIENTO Y ELIMINACION DE RESIDUOS EN EL COMPLEJO AMBIENTAL, Cabildo Insular de Fuerteventura</v>
      </c>
    </row>
    <row r="70" spans="1:15" ht="17.25" customHeight="1" x14ac:dyDescent="0.25">
      <c r="A70" s="10" t="s">
        <v>132</v>
      </c>
      <c r="B70" s="10" t="s">
        <v>133</v>
      </c>
      <c r="C70" s="11" t="s">
        <v>139</v>
      </c>
      <c r="D70" s="12">
        <v>46140.527199074073</v>
      </c>
      <c r="E70" s="11" t="s">
        <v>140</v>
      </c>
      <c r="F70">
        <v>14</v>
      </c>
      <c r="G70" s="10" t="s">
        <v>132</v>
      </c>
      <c r="H70" s="13">
        <v>3010</v>
      </c>
      <c r="I70" s="12">
        <v>46140.527199074073</v>
      </c>
      <c r="J70" s="11" t="s">
        <v>29</v>
      </c>
      <c r="K70">
        <v>3</v>
      </c>
      <c r="L70">
        <v>1</v>
      </c>
      <c r="M70" s="18">
        <f t="shared" si="2"/>
        <v>13</v>
      </c>
      <c r="N70" t="str">
        <f>IFERROR(VLOOKUP(TEXT(VALUE(TRIM(G70)),"00000"),EXP!$A:$B,2,FALSE),IFERROR(VLOOKUP(VALUE(TRIM(G70)),EXP!$A:$B,2,FALSE),""))</f>
        <v>01303-00430917</v>
      </c>
      <c r="O70" t="str">
        <f t="shared" si="3"/>
        <v>Aviso Notificacion, Sanción multa, Cabildo Insular de Tenerife</v>
      </c>
    </row>
    <row r="71" spans="1:15" ht="17.25" customHeight="1" x14ac:dyDescent="0.25">
      <c r="A71" s="10" t="s">
        <v>141</v>
      </c>
      <c r="B71" s="10" t="s">
        <v>142</v>
      </c>
      <c r="C71" s="11" t="s">
        <v>143</v>
      </c>
      <c r="D71" s="12">
        <v>46135</v>
      </c>
      <c r="E71" s="11" t="s">
        <v>144</v>
      </c>
      <c r="F71">
        <v>14</v>
      </c>
      <c r="G71" s="10" t="s">
        <v>141</v>
      </c>
      <c r="H71" s="13">
        <v>3010</v>
      </c>
      <c r="I71" s="12">
        <v>46135</v>
      </c>
      <c r="J71" s="11" t="s">
        <v>29</v>
      </c>
      <c r="K71">
        <v>3</v>
      </c>
      <c r="L71">
        <v>1</v>
      </c>
      <c r="M71" s="18">
        <f t="shared" si="2"/>
        <v>13</v>
      </c>
      <c r="N71" t="str">
        <f>IFERROR(VLOOKUP(TEXT(VALUE(TRIM(G71)),"00000"),EXP!$A:$B,2,FALSE),IFERROR(VLOOKUP(VALUE(TRIM(G71)),EXP!$A:$B,2,FALSE),""))</f>
        <v>00393-00430017</v>
      </c>
      <c r="O71" t="str">
        <f t="shared" si="3"/>
        <v>Aviso Notificacion, Impuesto Vehículos Tracción Mecánica, Consorcio de tributos de tenerife</v>
      </c>
    </row>
    <row r="72" spans="1:15" ht="17.25" customHeight="1" x14ac:dyDescent="0.25">
      <c r="A72" s="10" t="s">
        <v>141</v>
      </c>
      <c r="B72" s="10" t="s">
        <v>145</v>
      </c>
      <c r="C72" s="11" t="s">
        <v>143</v>
      </c>
      <c r="D72" s="12">
        <v>46150</v>
      </c>
      <c r="E72" s="11" t="s">
        <v>144</v>
      </c>
      <c r="F72">
        <v>14</v>
      </c>
      <c r="G72" s="10" t="s">
        <v>141</v>
      </c>
      <c r="H72" s="13">
        <v>3010</v>
      </c>
      <c r="I72" s="12">
        <v>46150</v>
      </c>
      <c r="J72" s="11" t="s">
        <v>29</v>
      </c>
      <c r="K72">
        <v>3</v>
      </c>
      <c r="L72">
        <v>1</v>
      </c>
      <c r="M72" s="18">
        <f t="shared" si="2"/>
        <v>13</v>
      </c>
      <c r="N72" t="str">
        <f>IFERROR(VLOOKUP(TEXT(VALUE(TRIM(G72)),"00000"),EXP!$A:$B,2,FALSE),IFERROR(VLOOKUP(VALUE(TRIM(G72)),EXP!$A:$B,2,FALSE),""))</f>
        <v>00393-00430017</v>
      </c>
      <c r="O72" t="str">
        <f t="shared" si="3"/>
        <v>Aviso Notificacion, Impuesto Vehículos Tracción Mecánica, Consorcio de tributos de tenerife</v>
      </c>
    </row>
    <row r="73" spans="1:15" ht="17.25" customHeight="1" x14ac:dyDescent="0.25">
      <c r="A73" s="10" t="s">
        <v>146</v>
      </c>
      <c r="B73" s="10" t="s">
        <v>147</v>
      </c>
      <c r="C73" s="11" t="s">
        <v>143</v>
      </c>
      <c r="D73" s="12">
        <v>46135</v>
      </c>
      <c r="E73" s="11" t="s">
        <v>144</v>
      </c>
      <c r="F73">
        <v>14</v>
      </c>
      <c r="G73" s="10" t="s">
        <v>146</v>
      </c>
      <c r="H73" s="13">
        <v>3010</v>
      </c>
      <c r="I73" s="12">
        <v>46135</v>
      </c>
      <c r="J73" s="11" t="s">
        <v>29</v>
      </c>
      <c r="K73">
        <v>3</v>
      </c>
      <c r="L73">
        <v>1</v>
      </c>
      <c r="M73" s="18">
        <f t="shared" si="2"/>
        <v>13</v>
      </c>
      <c r="N73" t="str">
        <f>IFERROR(VLOOKUP(TEXT(VALUE(TRIM(G73)),"00000"),EXP!$A:$B,2,FALSE),IFERROR(VLOOKUP(VALUE(TRIM(G73)),EXP!$A:$B,2,FALSE),""))</f>
        <v>00672-00496021</v>
      </c>
      <c r="O73" t="str">
        <f t="shared" si="3"/>
        <v>Aviso Notificacion, Impuesto Vehículos Tracción Mecánica, Consorcio de tributos de tenerife</v>
      </c>
    </row>
    <row r="74" spans="1:15" ht="17.25" customHeight="1" x14ac:dyDescent="0.25">
      <c r="A74" s="10" t="s">
        <v>148</v>
      </c>
      <c r="B74" s="10" t="s">
        <v>149</v>
      </c>
      <c r="C74" s="11" t="s">
        <v>143</v>
      </c>
      <c r="D74" s="12">
        <v>46135</v>
      </c>
      <c r="E74" s="11" t="s">
        <v>144</v>
      </c>
      <c r="F74">
        <v>14</v>
      </c>
      <c r="G74" s="10" t="s">
        <v>148</v>
      </c>
      <c r="H74" s="13">
        <v>3010</v>
      </c>
      <c r="I74" s="12">
        <v>46135</v>
      </c>
      <c r="J74" s="11" t="s">
        <v>29</v>
      </c>
      <c r="K74">
        <v>3</v>
      </c>
      <c r="L74">
        <v>1</v>
      </c>
      <c r="M74" s="18">
        <f t="shared" si="2"/>
        <v>13</v>
      </c>
      <c r="N74" t="str">
        <f>IFERROR(VLOOKUP(TEXT(VALUE(TRIM(G74)),"00000"),EXP!$A:$B,2,FALSE),IFERROR(VLOOKUP(VALUE(TRIM(G74)),EXP!$A:$B,2,FALSE),""))</f>
        <v>01031-00403417</v>
      </c>
      <c r="O74" t="str">
        <f t="shared" si="3"/>
        <v>Aviso Notificacion, Impuesto Vehículos Tracción Mecánica, Consorcio de tributos de tenerife</v>
      </c>
    </row>
    <row r="75" spans="1:15" ht="17.25" customHeight="1" x14ac:dyDescent="0.25">
      <c r="A75" s="10" t="s">
        <v>150</v>
      </c>
      <c r="B75" s="10" t="s">
        <v>151</v>
      </c>
      <c r="C75" s="11" t="s">
        <v>143</v>
      </c>
      <c r="D75" s="12">
        <v>46135</v>
      </c>
      <c r="E75" s="11" t="s">
        <v>152</v>
      </c>
      <c r="F75">
        <v>14</v>
      </c>
      <c r="G75" s="10" t="s">
        <v>150</v>
      </c>
      <c r="H75" s="13">
        <v>3010</v>
      </c>
      <c r="I75" s="12">
        <v>46135</v>
      </c>
      <c r="J75" s="11" t="s">
        <v>29</v>
      </c>
      <c r="K75">
        <v>3</v>
      </c>
      <c r="L75">
        <v>1</v>
      </c>
      <c r="M75" s="18">
        <f t="shared" si="2"/>
        <v>13</v>
      </c>
      <c r="N75" t="str">
        <f>IFERROR(VLOOKUP(TEXT(VALUE(TRIM(G75)),"00000"),EXP!$A:$B,2,FALSE),IFERROR(VLOOKUP(VALUE(TRIM(G75)),EXP!$A:$B,2,FALSE),""))</f>
        <v>01447-00476418</v>
      </c>
      <c r="O75" t="str">
        <f t="shared" si="3"/>
        <v>Aviso Notificacion, ENTRADA VEHIC.Y RESVA.APARCAM, Consorcio de tributos de tenerife</v>
      </c>
    </row>
    <row r="76" spans="1:15" ht="17.25" customHeight="1" x14ac:dyDescent="0.25">
      <c r="A76" s="10" t="s">
        <v>98</v>
      </c>
      <c r="B76" s="10" t="s">
        <v>100</v>
      </c>
      <c r="C76" s="11" t="s">
        <v>153</v>
      </c>
      <c r="D76" s="12">
        <v>46149.636435185181</v>
      </c>
      <c r="E76" s="11" t="s">
        <v>154</v>
      </c>
      <c r="F76">
        <v>14</v>
      </c>
      <c r="G76" s="10" t="s">
        <v>98</v>
      </c>
      <c r="H76" s="13">
        <v>3010</v>
      </c>
      <c r="I76" s="12">
        <v>46149.636435185181</v>
      </c>
      <c r="J76" s="11" t="s">
        <v>29</v>
      </c>
      <c r="K76">
        <v>3</v>
      </c>
      <c r="L76">
        <v>1</v>
      </c>
      <c r="M76" s="18">
        <f t="shared" si="2"/>
        <v>13</v>
      </c>
      <c r="N76" t="str">
        <f>IFERROR(VLOOKUP(TEXT(VALUE(TRIM(G76)),"00000"),EXP!$A:$B,2,FALSE),IFERROR(VLOOKUP(VALUE(TRIM(G76)),EXP!$A:$B,2,FALSE),""))</f>
        <v>02290-00497521</v>
      </c>
      <c r="O76" t="str">
        <f t="shared" si="3"/>
        <v>Aviso Notificacion, Resolucion consulta, Dirección General de Calidad Ambiental</v>
      </c>
    </row>
    <row r="77" spans="1:15" ht="17.25" customHeight="1" x14ac:dyDescent="0.25">
      <c r="A77" s="10" t="s">
        <v>77</v>
      </c>
      <c r="B77" s="10" t="s">
        <v>78</v>
      </c>
      <c r="C77" s="11" t="s">
        <v>153</v>
      </c>
      <c r="D77" s="12">
        <v>46140.312673611108</v>
      </c>
      <c r="E77" s="11" t="s">
        <v>155</v>
      </c>
      <c r="F77">
        <v>14</v>
      </c>
      <c r="G77" s="10" t="s">
        <v>77</v>
      </c>
      <c r="H77" s="13">
        <v>3010</v>
      </c>
      <c r="I77" s="12">
        <v>46140.312673611108</v>
      </c>
      <c r="J77" s="11" t="s">
        <v>29</v>
      </c>
      <c r="K77">
        <v>3</v>
      </c>
      <c r="L77">
        <v>1</v>
      </c>
      <c r="M77" s="18">
        <f t="shared" si="2"/>
        <v>13</v>
      </c>
      <c r="N77" t="str">
        <f>IFERROR(VLOOKUP(TEXT(VALUE(TRIM(G77)),"00000"),EXP!$A:$B,2,FALSE),IFERROR(VLOOKUP(VALUE(TRIM(G77)),EXP!$A:$B,2,FALSE),""))</f>
        <v>02580-00535825</v>
      </c>
      <c r="O77" t="str">
        <f t="shared" si="3"/>
        <v>Aviso Notificacion, Productor RP - Cambio titularidad, Dirección General de Calidad Ambiental</v>
      </c>
    </row>
    <row r="78" spans="1:15" ht="17.25" customHeight="1" x14ac:dyDescent="0.25">
      <c r="A78" s="10" t="s">
        <v>98</v>
      </c>
      <c r="B78" s="10" t="s">
        <v>100</v>
      </c>
      <c r="C78" s="11" t="s">
        <v>156</v>
      </c>
      <c r="D78" s="12">
        <v>46149.638854166667</v>
      </c>
      <c r="E78" s="11" t="s">
        <v>157</v>
      </c>
      <c r="F78">
        <v>14</v>
      </c>
      <c r="G78" s="10" t="s">
        <v>98</v>
      </c>
      <c r="H78" s="13">
        <v>3010</v>
      </c>
      <c r="I78" s="12">
        <v>46149.638854166667</v>
      </c>
      <c r="J78" s="11" t="s">
        <v>29</v>
      </c>
      <c r="K78">
        <v>3</v>
      </c>
      <c r="L78">
        <v>1</v>
      </c>
      <c r="M78" s="18">
        <f t="shared" si="2"/>
        <v>13</v>
      </c>
      <c r="N78" t="str">
        <f>IFERROR(VLOOKUP(TEXT(VALUE(TRIM(G78)),"00000"),EXP!$A:$B,2,FALSE),IFERROR(VLOOKUP(VALUE(TRIM(G78)),EXP!$A:$B,2,FALSE),""))</f>
        <v>02290-00497521</v>
      </c>
      <c r="O78" t="str">
        <f t="shared" si="3"/>
        <v>Aviso Notificacion, Comunicación de inscripción de estación de servicio, Dirección General de Energía</v>
      </c>
    </row>
    <row r="79" spans="1:15" ht="17.25" customHeight="1" x14ac:dyDescent="0.25">
      <c r="A79" s="10" t="s">
        <v>98</v>
      </c>
      <c r="B79" s="10" t="s">
        <v>100</v>
      </c>
      <c r="C79" s="11" t="s">
        <v>156</v>
      </c>
      <c r="D79" s="12">
        <v>46149.637256944443</v>
      </c>
      <c r="E79" s="11" t="s">
        <v>157</v>
      </c>
      <c r="F79">
        <v>14</v>
      </c>
      <c r="G79" s="10" t="s">
        <v>98</v>
      </c>
      <c r="H79" s="13">
        <v>3010</v>
      </c>
      <c r="I79" s="12">
        <v>46149.637256944443</v>
      </c>
      <c r="J79" s="11" t="s">
        <v>29</v>
      </c>
      <c r="K79">
        <v>3</v>
      </c>
      <c r="L79">
        <v>1</v>
      </c>
      <c r="M79" s="18">
        <f t="shared" si="2"/>
        <v>13</v>
      </c>
      <c r="N79" t="str">
        <f>IFERROR(VLOOKUP(TEXT(VALUE(TRIM(G79)),"00000"),EXP!$A:$B,2,FALSE),IFERROR(VLOOKUP(VALUE(TRIM(G79)),EXP!$A:$B,2,FALSE),""))</f>
        <v>02290-00497521</v>
      </c>
      <c r="O79" t="str">
        <f t="shared" si="3"/>
        <v>Aviso Notificacion, Comunicación de inscripción de estación de servicio, Dirección General de Energía</v>
      </c>
    </row>
    <row r="80" spans="1:15" ht="17.25" customHeight="1" x14ac:dyDescent="0.25">
      <c r="A80" s="10" t="s">
        <v>98</v>
      </c>
      <c r="B80" s="10" t="s">
        <v>100</v>
      </c>
      <c r="C80" s="11" t="s">
        <v>156</v>
      </c>
      <c r="D80" s="12">
        <v>46149.638078703705</v>
      </c>
      <c r="E80" s="11" t="s">
        <v>157</v>
      </c>
      <c r="F80">
        <v>14</v>
      </c>
      <c r="G80" s="10" t="s">
        <v>98</v>
      </c>
      <c r="H80" s="13">
        <v>3010</v>
      </c>
      <c r="I80" s="12">
        <v>46149.638078703705</v>
      </c>
      <c r="J80" s="11" t="s">
        <v>29</v>
      </c>
      <c r="K80">
        <v>3</v>
      </c>
      <c r="L80">
        <v>1</v>
      </c>
      <c r="M80" s="18">
        <f t="shared" si="2"/>
        <v>13</v>
      </c>
      <c r="N80" t="str">
        <f>IFERROR(VLOOKUP(TEXT(VALUE(TRIM(G80)),"00000"),EXP!$A:$B,2,FALSE),IFERROR(VLOOKUP(VALUE(TRIM(G80)),EXP!$A:$B,2,FALSE),""))</f>
        <v>02290-00497521</v>
      </c>
      <c r="O80" t="str">
        <f t="shared" si="3"/>
        <v>Aviso Notificacion, Comunicación de inscripción de estación de servicio, Dirección General de Energía</v>
      </c>
    </row>
    <row r="81" spans="1:15" ht="17.25" customHeight="1" x14ac:dyDescent="0.25">
      <c r="A81" s="10" t="s">
        <v>50</v>
      </c>
      <c r="B81" s="10" t="s">
        <v>109</v>
      </c>
      <c r="C81" s="11" t="s">
        <v>158</v>
      </c>
      <c r="D81" s="12">
        <v>46149.650648148148</v>
      </c>
      <c r="E81" s="11" t="s">
        <v>159</v>
      </c>
      <c r="F81">
        <v>14</v>
      </c>
      <c r="G81" s="10" t="s">
        <v>50</v>
      </c>
      <c r="H81" s="13">
        <v>3010</v>
      </c>
      <c r="I81" s="12">
        <v>46149.650648148148</v>
      </c>
      <c r="J81" s="11" t="s">
        <v>29</v>
      </c>
      <c r="K81">
        <v>3</v>
      </c>
      <c r="L81">
        <v>1</v>
      </c>
      <c r="M81" s="18">
        <f t="shared" si="2"/>
        <v>13</v>
      </c>
      <c r="N81" t="str">
        <f>IFERROR(VLOOKUP(TEXT(VALUE(TRIM(G81)),"00000"),EXP!$A:$B,2,FALSE),IFERROR(VLOOKUP(VALUE(TRIM(G81)),EXP!$A:$B,2,FALSE),""))</f>
        <v>01985-00425817</v>
      </c>
      <c r="O81" t="str">
        <f t="shared" si="3"/>
        <v>Aviso Notificacion, Resolución relativa a vigilancia de mercado., Dirección General de Industria</v>
      </c>
    </row>
    <row r="82" spans="1:15" ht="17.25" customHeight="1" x14ac:dyDescent="0.25">
      <c r="A82" s="10" t="s">
        <v>56</v>
      </c>
      <c r="B82" s="10" t="s">
        <v>59</v>
      </c>
      <c r="C82" s="11" t="s">
        <v>160</v>
      </c>
      <c r="D82" s="12">
        <v>46141.533784722218</v>
      </c>
      <c r="E82" s="11" t="s">
        <v>161</v>
      </c>
      <c r="F82">
        <v>14</v>
      </c>
      <c r="G82" s="10" t="s">
        <v>56</v>
      </c>
      <c r="H82" s="13">
        <v>3010</v>
      </c>
      <c r="I82" s="12">
        <v>46141.533784722218</v>
      </c>
      <c r="J82" s="11" t="s">
        <v>29</v>
      </c>
      <c r="K82">
        <v>3</v>
      </c>
      <c r="L82">
        <v>1</v>
      </c>
      <c r="M82" s="18">
        <f t="shared" si="2"/>
        <v>13</v>
      </c>
      <c r="N82" t="str">
        <f>IFERROR(VLOOKUP(TEXT(VALUE(TRIM(G82)),"00000"),EXP!$A:$B,2,FALSE),IFERROR(VLOOKUP(VALUE(TRIM(G82)),EXP!$A:$B,2,FALSE),""))</f>
        <v>02248-00492220</v>
      </c>
      <c r="O82" t="str">
        <f t="shared" si="3"/>
        <v>Aviso Notificacion, Notificación de Resolución Estimatoria Reconocimiento/Renovación del Título de Familia Numerosa, Dirección General de Protección a la Infancia y la Familia</v>
      </c>
    </row>
    <row r="83" spans="1:15" ht="17.25" customHeight="1" x14ac:dyDescent="0.25">
      <c r="A83" s="10" t="s">
        <v>56</v>
      </c>
      <c r="B83" s="10" t="s">
        <v>162</v>
      </c>
      <c r="C83" s="11" t="s">
        <v>163</v>
      </c>
      <c r="D83" s="12">
        <v>46155.672060185185</v>
      </c>
      <c r="E83" s="11" t="s">
        <v>164</v>
      </c>
      <c r="F83">
        <v>14</v>
      </c>
      <c r="G83" s="10" t="s">
        <v>56</v>
      </c>
      <c r="H83" s="13">
        <v>3010</v>
      </c>
      <c r="I83" s="12">
        <v>46155.672060185185</v>
      </c>
      <c r="J83" s="11" t="s">
        <v>29</v>
      </c>
      <c r="K83">
        <v>3</v>
      </c>
      <c r="L83">
        <v>1</v>
      </c>
      <c r="M83" s="18">
        <f t="shared" si="2"/>
        <v>13</v>
      </c>
      <c r="N83" t="str">
        <f>IFERROR(VLOOKUP(TEXT(VALUE(TRIM(G83)),"00000"),EXP!$A:$B,2,FALSE),IFERROR(VLOOKUP(VALUE(TRIM(G83)),EXP!$A:$B,2,FALSE),""))</f>
        <v>02248-00492220</v>
      </c>
      <c r="O83" t="str">
        <f t="shared" si="3"/>
        <v>Aviso Notificacion, Notificación del juzgado Plaza No 6 del Tribunal de Instancia (Sección Social) (Santa Cruz de Tenerife), Dirección General de Relaciones con la Administración de Justicia</v>
      </c>
    </row>
    <row r="84" spans="1:15" ht="17.25" customHeight="1" x14ac:dyDescent="0.25">
      <c r="A84" s="10" t="s">
        <v>39</v>
      </c>
      <c r="B84" s="10" t="s">
        <v>40</v>
      </c>
      <c r="C84" s="11" t="s">
        <v>165</v>
      </c>
      <c r="D84" s="12">
        <v>46154.538055555553</v>
      </c>
      <c r="E84" s="11" t="s">
        <v>166</v>
      </c>
      <c r="F84">
        <v>14</v>
      </c>
      <c r="G84" s="10" t="s">
        <v>39</v>
      </c>
      <c r="H84" s="13">
        <v>3010</v>
      </c>
      <c r="I84" s="12">
        <v>46154.538055555553</v>
      </c>
      <c r="J84" s="11" t="s">
        <v>29</v>
      </c>
      <c r="K84">
        <v>3</v>
      </c>
      <c r="L84">
        <v>1</v>
      </c>
      <c r="M84" s="18">
        <f t="shared" si="2"/>
        <v>13</v>
      </c>
      <c r="N84" t="str">
        <f>IFERROR(VLOOKUP(TEXT(VALUE(TRIM(G84)),"00000"),EXP!$A:$B,2,FALSE),IFERROR(VLOOKUP(VALUE(TRIM(G84)),EXP!$A:$B,2,FALSE),""))</f>
        <v>01104-00404417</v>
      </c>
      <c r="O84" t="str">
        <f t="shared" si="3"/>
        <v>Aviso Notificacion, NOTIFICACION / FIN EXP SANCIONADOR, Dirección General de Trabajo</v>
      </c>
    </row>
    <row r="85" spans="1:15" ht="17.25" customHeight="1" x14ac:dyDescent="0.25">
      <c r="A85" s="10" t="s">
        <v>39</v>
      </c>
      <c r="B85" s="10" t="s">
        <v>40</v>
      </c>
      <c r="C85" s="11" t="s">
        <v>165</v>
      </c>
      <c r="D85" s="12">
        <v>46135.4758912037</v>
      </c>
      <c r="E85" s="11" t="s">
        <v>167</v>
      </c>
      <c r="F85">
        <v>14</v>
      </c>
      <c r="G85" s="10" t="s">
        <v>39</v>
      </c>
      <c r="H85" s="13">
        <v>3010</v>
      </c>
      <c r="I85" s="12">
        <v>46135.4758912037</v>
      </c>
      <c r="J85" s="11" t="s">
        <v>29</v>
      </c>
      <c r="K85">
        <v>3</v>
      </c>
      <c r="L85">
        <v>1</v>
      </c>
      <c r="M85" s="18">
        <f t="shared" si="2"/>
        <v>13</v>
      </c>
      <c r="N85" t="str">
        <f>IFERROR(VLOOKUP(TEXT(VALUE(TRIM(G85)),"00000"),EXP!$A:$B,2,FALSE),IFERROR(VLOOKUP(VALUE(TRIM(G85)),EXP!$A:$B,2,FALSE),""))</f>
        <v>01104-00404417</v>
      </c>
      <c r="O85" t="str">
        <f t="shared" si="3"/>
        <v>Aviso Notificacion, NOTIFICACION / ACTO SEMAC 05/05/26 ROBERTO GARCIA PACHECO, Dirección General de Trabajo</v>
      </c>
    </row>
    <row r="86" spans="1:15" ht="17.25" customHeight="1" x14ac:dyDescent="0.25">
      <c r="A86" s="10" t="s">
        <v>56</v>
      </c>
      <c r="B86" s="10" t="s">
        <v>162</v>
      </c>
      <c r="C86" s="11" t="s">
        <v>165</v>
      </c>
      <c r="D86" s="12">
        <v>46140.478356481479</v>
      </c>
      <c r="E86" s="11" t="s">
        <v>168</v>
      </c>
      <c r="F86">
        <v>14</v>
      </c>
      <c r="G86" s="10" t="s">
        <v>56</v>
      </c>
      <c r="H86" s="13">
        <v>3010</v>
      </c>
      <c r="I86" s="12">
        <v>46140.478356481479</v>
      </c>
      <c r="J86" s="11" t="s">
        <v>29</v>
      </c>
      <c r="K86">
        <v>3</v>
      </c>
      <c r="L86">
        <v>1</v>
      </c>
      <c r="M86" s="18">
        <f t="shared" si="2"/>
        <v>13</v>
      </c>
      <c r="N86" t="str">
        <f>IFERROR(VLOOKUP(TEXT(VALUE(TRIM(G86)),"00000"),EXP!$A:$B,2,FALSE),IFERROR(VLOOKUP(VALUE(TRIM(G86)),EXP!$A:$B,2,FALSE),""))</f>
        <v>02248-00492220</v>
      </c>
      <c r="O86" t="str">
        <f t="shared" si="3"/>
        <v>Aviso Notificacion, NOTIFICACION, Dirección General de Trabajo</v>
      </c>
    </row>
    <row r="87" spans="1:15" ht="17.25" customHeight="1" x14ac:dyDescent="0.25">
      <c r="A87" s="10" t="s">
        <v>98</v>
      </c>
      <c r="B87" s="10" t="s">
        <v>100</v>
      </c>
      <c r="C87" s="11" t="s">
        <v>165</v>
      </c>
      <c r="D87" s="12">
        <v>46139.415902777779</v>
      </c>
      <c r="E87" s="11" t="s">
        <v>169</v>
      </c>
      <c r="F87">
        <v>14</v>
      </c>
      <c r="G87" s="10" t="s">
        <v>98</v>
      </c>
      <c r="H87" s="13">
        <v>3010</v>
      </c>
      <c r="I87" s="12">
        <v>46139.415902777779</v>
      </c>
      <c r="J87" s="11" t="s">
        <v>29</v>
      </c>
      <c r="K87">
        <v>3</v>
      </c>
      <c r="L87">
        <v>1</v>
      </c>
      <c r="M87" s="18">
        <f t="shared" si="2"/>
        <v>13</v>
      </c>
      <c r="N87" t="str">
        <f>IFERROR(VLOOKUP(TEXT(VALUE(TRIM(G87)),"00000"),EXP!$A:$B,2,FALSE),IFERROR(VLOOKUP(VALUE(TRIM(G87)),EXP!$A:$B,2,FALSE),""))</f>
        <v>02290-00497521</v>
      </c>
      <c r="O87" t="str">
        <f t="shared" si="3"/>
        <v>Aviso Notificacion, NUEVA CITACIÓN PARA ARBITRAJE TRAS SUSPENSIÓN , Dirección General de Trabajo</v>
      </c>
    </row>
    <row r="88" spans="1:15" ht="17.25" customHeight="1" x14ac:dyDescent="0.25">
      <c r="A88" s="10" t="s">
        <v>98</v>
      </c>
      <c r="B88" s="10" t="s">
        <v>100</v>
      </c>
      <c r="C88" s="11" t="s">
        <v>165</v>
      </c>
      <c r="D88" s="12">
        <v>46154.533819444441</v>
      </c>
      <c r="E88" s="11" t="s">
        <v>168</v>
      </c>
      <c r="F88">
        <v>14</v>
      </c>
      <c r="G88" s="10" t="s">
        <v>98</v>
      </c>
      <c r="H88" s="13">
        <v>3010</v>
      </c>
      <c r="I88" s="12">
        <v>46154.533819444441</v>
      </c>
      <c r="J88" s="11" t="s">
        <v>29</v>
      </c>
      <c r="K88">
        <v>3</v>
      </c>
      <c r="L88">
        <v>1</v>
      </c>
      <c r="M88" s="18">
        <f t="shared" si="2"/>
        <v>13</v>
      </c>
      <c r="N88" t="str">
        <f>IFERROR(VLOOKUP(TEXT(VALUE(TRIM(G88)),"00000"),EXP!$A:$B,2,FALSE),IFERROR(VLOOKUP(VALUE(TRIM(G88)),EXP!$A:$B,2,FALSE),""))</f>
        <v>02290-00497521</v>
      </c>
      <c r="O88" t="str">
        <f t="shared" si="3"/>
        <v>Aviso Notificacion, NOTIFICACION, Dirección General de Trabajo</v>
      </c>
    </row>
    <row r="89" spans="1:15" ht="17.25" customHeight="1" x14ac:dyDescent="0.25">
      <c r="A89" s="10" t="s">
        <v>98</v>
      </c>
      <c r="B89" s="10" t="s">
        <v>100</v>
      </c>
      <c r="C89" s="11" t="s">
        <v>165</v>
      </c>
      <c r="D89" s="12">
        <v>46161.513252314813</v>
      </c>
      <c r="E89" s="11" t="s">
        <v>170</v>
      </c>
      <c r="F89">
        <v>14</v>
      </c>
      <c r="G89" s="10" t="s">
        <v>98</v>
      </c>
      <c r="H89" s="13">
        <v>3010</v>
      </c>
      <c r="I89" s="12">
        <v>46161.513252314813</v>
      </c>
      <c r="J89" s="11" t="s">
        <v>29</v>
      </c>
      <c r="K89">
        <v>3</v>
      </c>
      <c r="L89">
        <v>1</v>
      </c>
      <c r="M89" s="18">
        <f t="shared" si="2"/>
        <v>13</v>
      </c>
      <c r="N89" t="str">
        <f>IFERROR(VLOOKUP(TEXT(VALUE(TRIM(G89)),"00000"),EXP!$A:$B,2,FALSE),IFERROR(VLOOKUP(VALUE(TRIM(G89)),EXP!$A:$B,2,FALSE),""))</f>
        <v>02290-00497521</v>
      </c>
      <c r="O89" t="str">
        <f t="shared" si="3"/>
        <v>Aviso Notificacion, NOTIFICACION SEMAC PATRICIA ALZOLA, Dirección General de Trabajo</v>
      </c>
    </row>
    <row r="90" spans="1:15" ht="17.25" customHeight="1" x14ac:dyDescent="0.25">
      <c r="A90" s="10" t="s">
        <v>98</v>
      </c>
      <c r="B90" s="10" t="s">
        <v>100</v>
      </c>
      <c r="C90" s="11" t="s">
        <v>165</v>
      </c>
      <c r="D90" s="12">
        <v>46154.533020833333</v>
      </c>
      <c r="E90" s="11" t="s">
        <v>168</v>
      </c>
      <c r="F90">
        <v>14</v>
      </c>
      <c r="G90" s="10" t="s">
        <v>98</v>
      </c>
      <c r="H90" s="13">
        <v>3010</v>
      </c>
      <c r="I90" s="12">
        <v>46154.533020833333</v>
      </c>
      <c r="J90" s="11" t="s">
        <v>29</v>
      </c>
      <c r="K90">
        <v>3</v>
      </c>
      <c r="L90">
        <v>1</v>
      </c>
      <c r="M90" s="18">
        <f t="shared" si="2"/>
        <v>13</v>
      </c>
      <c r="N90" t="str">
        <f>IFERROR(VLOOKUP(TEXT(VALUE(TRIM(G90)),"00000"),EXP!$A:$B,2,FALSE),IFERROR(VLOOKUP(VALUE(TRIM(G90)),EXP!$A:$B,2,FALSE),""))</f>
        <v>02290-00497521</v>
      </c>
      <c r="O90" t="str">
        <f t="shared" si="3"/>
        <v>Aviso Notificacion, NOTIFICACION, Dirección General de Trabajo</v>
      </c>
    </row>
    <row r="91" spans="1:15" ht="17.25" customHeight="1" x14ac:dyDescent="0.25">
      <c r="A91" s="10" t="s">
        <v>98</v>
      </c>
      <c r="B91" s="10" t="s">
        <v>100</v>
      </c>
      <c r="C91" s="11" t="s">
        <v>165</v>
      </c>
      <c r="D91" s="12">
        <v>46133.464374999996</v>
      </c>
      <c r="E91" s="11" t="s">
        <v>171</v>
      </c>
      <c r="F91">
        <v>14</v>
      </c>
      <c r="G91" s="10" t="s">
        <v>98</v>
      </c>
      <c r="H91" s="13">
        <v>3010</v>
      </c>
      <c r="I91" s="12">
        <v>46133.464374999996</v>
      </c>
      <c r="J91" s="11" t="s">
        <v>29</v>
      </c>
      <c r="K91">
        <v>3</v>
      </c>
      <c r="L91">
        <v>1</v>
      </c>
      <c r="M91" s="18">
        <f t="shared" si="2"/>
        <v>13</v>
      </c>
      <c r="N91" t="str">
        <f>IFERROR(VLOOKUP(TEXT(VALUE(TRIM(G91)),"00000"),EXP!$A:$B,2,FALSE),IFERROR(VLOOKUP(VALUE(TRIM(G91)),EXP!$A:$B,2,FALSE),""))</f>
        <v>02290-00497521</v>
      </c>
      <c r="O91" t="str">
        <f t="shared" si="3"/>
        <v>Aviso Notificacion, NOTIFICACION SEMAC 05/05/26 / JOSE RAFAEL PEREZ GONZALEZ, Dirección General de Trabajo</v>
      </c>
    </row>
    <row r="92" spans="1:15" ht="17.25" customHeight="1" x14ac:dyDescent="0.25">
      <c r="A92" s="10" t="s">
        <v>172</v>
      </c>
      <c r="B92" s="10" t="s">
        <v>173</v>
      </c>
      <c r="C92" s="11" t="s">
        <v>174</v>
      </c>
      <c r="D92" s="12">
        <v>46147.632245370369</v>
      </c>
      <c r="E92" s="11" t="s">
        <v>175</v>
      </c>
      <c r="F92">
        <v>14</v>
      </c>
      <c r="G92" s="10" t="s">
        <v>172</v>
      </c>
      <c r="H92" s="13">
        <v>3010</v>
      </c>
      <c r="I92" s="12">
        <v>46147.632245370369</v>
      </c>
      <c r="J92" s="11" t="s">
        <v>29</v>
      </c>
      <c r="K92">
        <v>3</v>
      </c>
      <c r="L92">
        <v>1</v>
      </c>
      <c r="M92" s="18">
        <f t="shared" si="2"/>
        <v>13</v>
      </c>
      <c r="N92" t="str">
        <f>IFERROR(VLOOKUP(TEXT(VALUE(TRIM(G92)),"00000"),EXP!$A:$B,2,FALSE),IFERROR(VLOOKUP(VALUE(TRIM(G92)),EXP!$A:$B,2,FALSE),""))</f>
        <v/>
      </c>
      <c r="O92" t="str">
        <f t="shared" si="3"/>
        <v>Aviso Notificacion, Tercera resolución provisional becas universitarias con puesta a disposición en sede anexo unidad familiar, Dirección General de Universidades e Investigación</v>
      </c>
    </row>
    <row r="93" spans="1:15" ht="17.25" customHeight="1" x14ac:dyDescent="0.25">
      <c r="A93" s="10" t="s">
        <v>176</v>
      </c>
      <c r="B93" s="10" t="s">
        <v>177</v>
      </c>
      <c r="C93" s="11" t="s">
        <v>178</v>
      </c>
      <c r="D93" s="12">
        <v>46133.43167824074</v>
      </c>
      <c r="E93" s="11" t="s">
        <v>179</v>
      </c>
      <c r="F93">
        <v>14</v>
      </c>
      <c r="G93" s="10" t="s">
        <v>176</v>
      </c>
      <c r="H93" s="13">
        <v>3010</v>
      </c>
      <c r="I93" s="12">
        <v>46133.43167824074</v>
      </c>
      <c r="J93" s="11" t="s">
        <v>29</v>
      </c>
      <c r="K93">
        <v>3</v>
      </c>
      <c r="L93">
        <v>1</v>
      </c>
      <c r="M93" s="18">
        <f t="shared" si="2"/>
        <v>13</v>
      </c>
      <c r="N93" t="str">
        <f>IFERROR(VLOOKUP(TEXT(VALUE(TRIM(G93)),"00000"),EXP!$A:$B,2,FALSE),IFERROR(VLOOKUP(VALUE(TRIM(G93)),EXP!$A:$B,2,FALSE),""))</f>
        <v/>
      </c>
      <c r="O93" t="str">
        <f t="shared" si="3"/>
        <v>Aviso Notificacion, ACUERDO DE BAJA DE TITULARIDAD, Dirección General del Catastro</v>
      </c>
    </row>
    <row r="94" spans="1:15" ht="17.25" customHeight="1" x14ac:dyDescent="0.25">
      <c r="A94" s="10" t="s">
        <v>87</v>
      </c>
      <c r="B94" s="10" t="s">
        <v>180</v>
      </c>
      <c r="C94" s="11" t="s">
        <v>178</v>
      </c>
      <c r="D94" s="12">
        <v>46147.633275462962</v>
      </c>
      <c r="E94" s="11" t="s">
        <v>181</v>
      </c>
      <c r="F94">
        <v>14</v>
      </c>
      <c r="G94" s="10" t="s">
        <v>87</v>
      </c>
      <c r="H94" s="13">
        <v>3010</v>
      </c>
      <c r="I94" s="12">
        <v>46147.633275462962</v>
      </c>
      <c r="J94" s="11" t="s">
        <v>29</v>
      </c>
      <c r="K94">
        <v>3</v>
      </c>
      <c r="L94">
        <v>1</v>
      </c>
      <c r="M94" s="18">
        <f t="shared" si="2"/>
        <v>13</v>
      </c>
      <c r="N94" t="str">
        <f>IFERROR(VLOOKUP(TEXT(VALUE(TRIM(G94)),"00000"),EXP!$A:$B,2,FALSE),IFERROR(VLOOKUP(VALUE(TRIM(G94)),EXP!$A:$B,2,FALSE),""))</f>
        <v>00641-00432217</v>
      </c>
      <c r="O94" t="str">
        <f t="shared" si="3"/>
        <v>Aviso Notificacion, Acuerdo de rectificación datos de titularidad, Dirección General del Catastro</v>
      </c>
    </row>
    <row r="95" spans="1:15" ht="17.25" customHeight="1" x14ac:dyDescent="0.25">
      <c r="A95" s="10" t="s">
        <v>182</v>
      </c>
      <c r="B95" s="10" t="s">
        <v>183</v>
      </c>
      <c r="C95" s="11" t="s">
        <v>184</v>
      </c>
      <c r="D95" s="12">
        <v>46156.628472222219</v>
      </c>
      <c r="E95" s="11" t="s">
        <v>185</v>
      </c>
      <c r="F95">
        <v>14</v>
      </c>
      <c r="G95" s="10" t="s">
        <v>182</v>
      </c>
      <c r="H95" s="13">
        <v>3010</v>
      </c>
      <c r="I95" s="12">
        <v>46156.628472222219</v>
      </c>
      <c r="J95" s="11" t="s">
        <v>29</v>
      </c>
      <c r="K95">
        <v>3</v>
      </c>
      <c r="L95">
        <v>1</v>
      </c>
      <c r="M95" s="18">
        <f t="shared" si="2"/>
        <v>13</v>
      </c>
      <c r="N95" t="str">
        <f>IFERROR(VLOOKUP(TEXT(VALUE(TRIM(G95)),"00000"),EXP!$A:$B,2,FALSE),IFERROR(VLOOKUP(VALUE(TRIM(G95)),EXP!$A:$B,2,FALSE),""))</f>
        <v>01390-00449917</v>
      </c>
      <c r="O95" t="str">
        <f t="shared" si="3"/>
        <v>Aviso Notificacion, Licencia de legalización, Gerencia Municipal de Urbanismo de la Laguna</v>
      </c>
    </row>
    <row r="96" spans="1:15" ht="17.25" customHeight="1" x14ac:dyDescent="0.25">
      <c r="A96" s="10" t="s">
        <v>98</v>
      </c>
      <c r="B96" s="10" t="s">
        <v>100</v>
      </c>
      <c r="C96" s="11" t="s">
        <v>186</v>
      </c>
      <c r="D96" s="12">
        <v>46148.585740740738</v>
      </c>
      <c r="E96" s="11" t="s">
        <v>187</v>
      </c>
      <c r="F96">
        <v>14</v>
      </c>
      <c r="G96" s="10" t="s">
        <v>98</v>
      </c>
      <c r="H96" s="13">
        <v>3010</v>
      </c>
      <c r="I96" s="12">
        <v>46148.585740740738</v>
      </c>
      <c r="J96" s="11" t="s">
        <v>29</v>
      </c>
      <c r="K96">
        <v>3</v>
      </c>
      <c r="L96">
        <v>1</v>
      </c>
      <c r="M96" s="18">
        <f t="shared" si="2"/>
        <v>13</v>
      </c>
      <c r="N96" t="str">
        <f>IFERROR(VLOOKUP(TEXT(VALUE(TRIM(G96)),"00000"),EXP!$A:$B,2,FALSE),IFERROR(VLOOKUP(VALUE(TRIM(G96)),EXP!$A:$B,2,FALSE),""))</f>
        <v>02290-00497521</v>
      </c>
      <c r="O96" t="str">
        <f t="shared" si="3"/>
        <v>Aviso Notificacion, Acta de infracción I382026000065038, Organismo Estatal Inspección de Trabajo y Seguridad Social</v>
      </c>
    </row>
    <row r="97" spans="1:15" ht="17.25" customHeight="1" x14ac:dyDescent="0.25">
      <c r="A97" s="10" t="s">
        <v>188</v>
      </c>
      <c r="B97" s="10" t="s">
        <v>189</v>
      </c>
      <c r="C97" s="11" t="s">
        <v>190</v>
      </c>
      <c r="D97" s="12">
        <v>46150.635370370372</v>
      </c>
      <c r="E97" s="11" t="s">
        <v>191</v>
      </c>
      <c r="F97">
        <v>14</v>
      </c>
      <c r="G97" s="10" t="s">
        <v>188</v>
      </c>
      <c r="H97" s="13">
        <v>3010</v>
      </c>
      <c r="I97" s="12">
        <v>46150.635370370372</v>
      </c>
      <c r="J97" s="11" t="s">
        <v>29</v>
      </c>
      <c r="K97">
        <v>3</v>
      </c>
      <c r="L97">
        <v>1</v>
      </c>
      <c r="M97" s="18">
        <f t="shared" si="2"/>
        <v>13</v>
      </c>
      <c r="N97" t="str">
        <f>IFERROR(VLOOKUP(TEXT(VALUE(TRIM(G97)),"00000"),EXP!$A:$B,2,FALSE),IFERROR(VLOOKUP(VALUE(TRIM(G97)),EXP!$A:$B,2,FALSE),""))</f>
        <v>00419-00400017</v>
      </c>
      <c r="O97" t="str">
        <f t="shared" si="3"/>
        <v>Aviso Notificacion, REGIMENES SEG. SOCIAL - Resolucion cambio base cotizacion Domingo 010526, Seguridad Social</v>
      </c>
    </row>
    <row r="98" spans="1:15" ht="17.25" customHeight="1" x14ac:dyDescent="0.25">
      <c r="A98" s="10" t="s">
        <v>39</v>
      </c>
      <c r="B98" s="10" t="s">
        <v>192</v>
      </c>
      <c r="C98" s="11" t="s">
        <v>190</v>
      </c>
      <c r="D98" s="12">
        <v>46160.556250000001</v>
      </c>
      <c r="E98" s="11" t="s">
        <v>193</v>
      </c>
      <c r="F98">
        <v>14</v>
      </c>
      <c r="G98" s="10" t="s">
        <v>39</v>
      </c>
      <c r="H98" s="13">
        <v>3010</v>
      </c>
      <c r="I98" s="12">
        <v>46160.556250000001</v>
      </c>
      <c r="J98" s="11" t="s">
        <v>29</v>
      </c>
      <c r="K98">
        <v>3</v>
      </c>
      <c r="L98">
        <v>1</v>
      </c>
      <c r="M98" s="18">
        <f t="shared" si="2"/>
        <v>13</v>
      </c>
      <c r="N98" t="str">
        <f>IFERROR(VLOOKUP(TEXT(VALUE(TRIM(G98)),"00000"),EXP!$A:$B,2,FALSE),IFERROR(VLOOKUP(VALUE(TRIM(G98)),EXP!$A:$B,2,FALSE),""))</f>
        <v>01104-00404417</v>
      </c>
      <c r="O98" t="str">
        <f t="shared" si="3"/>
        <v>Aviso Notificacion, REGIMENES SEG. SOCIAL OBLIGADOS A RED / REQUERIMIENTO DE BIENES, Seguridad Social</v>
      </c>
    </row>
    <row r="99" spans="1:15" ht="17.25" customHeight="1" x14ac:dyDescent="0.25">
      <c r="A99" s="10" t="s">
        <v>194</v>
      </c>
      <c r="B99" s="10" t="s">
        <v>195</v>
      </c>
      <c r="C99" s="11" t="s">
        <v>190</v>
      </c>
      <c r="D99" s="12">
        <v>46134.454166666663</v>
      </c>
      <c r="E99" s="11" t="s">
        <v>196</v>
      </c>
      <c r="F99">
        <v>14</v>
      </c>
      <c r="G99" s="10" t="s">
        <v>194</v>
      </c>
      <c r="H99" s="13">
        <v>3010</v>
      </c>
      <c r="I99" s="12">
        <v>46134.454166666663</v>
      </c>
      <c r="J99" s="11" t="s">
        <v>29</v>
      </c>
      <c r="K99">
        <v>3</v>
      </c>
      <c r="L99">
        <v>1</v>
      </c>
      <c r="M99" s="18">
        <f t="shared" si="2"/>
        <v>13</v>
      </c>
      <c r="N99" t="str">
        <f>IFERROR(VLOOKUP(TEXT(VALUE(TRIM(G99)),"00000"),EXP!$A:$B,2,FALSE),IFERROR(VLOOKUP(VALUE(TRIM(G99)),EXP!$A:$B,2,FALSE),""))</f>
        <v>01481-00494720</v>
      </c>
      <c r="O99" t="str">
        <f t="shared" si="3"/>
        <v>Aviso Notificacion, REGIMENES SEG. SOCIAL OBLIGADOS A RED / CREDITOS Y DERECHOS , Seguridad Social</v>
      </c>
    </row>
    <row r="100" spans="1:15" ht="17.25" customHeight="1" x14ac:dyDescent="0.25">
      <c r="A100" s="10" t="s">
        <v>61</v>
      </c>
      <c r="B100" s="10" t="s">
        <v>197</v>
      </c>
      <c r="C100" s="11" t="s">
        <v>190</v>
      </c>
      <c r="D100" s="12">
        <v>46160.568055555552</v>
      </c>
      <c r="E100" s="11" t="s">
        <v>193</v>
      </c>
      <c r="F100">
        <v>14</v>
      </c>
      <c r="G100" s="10" t="s">
        <v>61</v>
      </c>
      <c r="H100" s="13">
        <v>3010</v>
      </c>
      <c r="I100" s="12">
        <v>46160.568055555552</v>
      </c>
      <c r="J100" s="11" t="s">
        <v>29</v>
      </c>
      <c r="K100">
        <v>3</v>
      </c>
      <c r="L100">
        <v>1</v>
      </c>
      <c r="M100" s="18">
        <f t="shared" si="2"/>
        <v>13</v>
      </c>
      <c r="N100" t="str">
        <f>IFERROR(VLOOKUP(TEXT(VALUE(TRIM(G100)),"00000"),EXP!$A:$B,2,FALSE),IFERROR(VLOOKUP(VALUE(TRIM(G100)),EXP!$A:$B,2,FALSE),""))</f>
        <v>02282-00495721</v>
      </c>
      <c r="O100" t="str">
        <f t="shared" si="3"/>
        <v>Aviso Notificacion, REGIMENES SEG. SOCIAL OBLIGADOS A RED / REQUERIMIENTO DE BIENES, Seguridad Social</v>
      </c>
    </row>
    <row r="101" spans="1:15" ht="17.25" customHeight="1" x14ac:dyDescent="0.25">
      <c r="A101" s="10" t="s">
        <v>198</v>
      </c>
      <c r="B101" s="10" t="s">
        <v>199</v>
      </c>
      <c r="C101" s="11" t="s">
        <v>190</v>
      </c>
      <c r="D101" s="12">
        <v>46139.459027777775</v>
      </c>
      <c r="E101" s="11" t="s">
        <v>200</v>
      </c>
      <c r="F101">
        <v>14</v>
      </c>
      <c r="G101" s="10" t="s">
        <v>198</v>
      </c>
      <c r="H101" s="13">
        <v>3010</v>
      </c>
      <c r="I101" s="12">
        <v>46139.459027777775</v>
      </c>
      <c r="J101" s="11" t="s">
        <v>29</v>
      </c>
      <c r="K101">
        <v>3</v>
      </c>
      <c r="L101">
        <v>1</v>
      </c>
      <c r="M101" s="18">
        <f t="shared" si="2"/>
        <v>13</v>
      </c>
      <c r="N101" t="str">
        <f>IFERROR(VLOOKUP(TEXT(VALUE(TRIM(G101)),"00000"),EXP!$A:$B,2,FALSE),IFERROR(VLOOKUP(VALUE(TRIM(G101)),EXP!$A:$B,2,FALSE),""))</f>
        <v>02562-00533425</v>
      </c>
      <c r="O101" t="str">
        <f t="shared" si="3"/>
        <v>Aviso Notificacion, REGIMENES SEG. SOCIAL OBLIGADOS A RED / RESOL. DEVOL. INGRESOS INDEBIDOS EN EXP DE APREMIO, Seguridad Social</v>
      </c>
    </row>
    <row r="102" spans="1:15" ht="17.25" customHeight="1" x14ac:dyDescent="0.25">
      <c r="A102" s="10" t="s">
        <v>42</v>
      </c>
      <c r="B102" s="10" t="s">
        <v>43</v>
      </c>
      <c r="C102" s="11" t="s">
        <v>201</v>
      </c>
      <c r="D102" s="12">
        <v>46160.520543981482</v>
      </c>
      <c r="E102" s="11" t="s">
        <v>202</v>
      </c>
      <c r="F102">
        <v>14</v>
      </c>
      <c r="G102" s="10" t="s">
        <v>42</v>
      </c>
      <c r="H102" s="13">
        <v>3010</v>
      </c>
      <c r="I102" s="12">
        <v>46160.520543981482</v>
      </c>
      <c r="J102" s="11" t="s">
        <v>29</v>
      </c>
      <c r="K102">
        <v>3</v>
      </c>
      <c r="L102">
        <v>1</v>
      </c>
      <c r="M102" s="18">
        <f t="shared" si="2"/>
        <v>13</v>
      </c>
      <c r="N102" t="str">
        <f>IFERROR(VLOOKUP(TEXT(VALUE(TRIM(G102)),"00000"),EXP!$A:$B,2,FALSE),IFERROR(VLOOKUP(VALUE(TRIM(G102)),EXP!$A:$B,2,FALSE),""))</f>
        <v>01245-00405717</v>
      </c>
      <c r="O102" t="str">
        <f t="shared" si="3"/>
        <v>Aviso Notificacion, REGIMENES SEG. SOCIAL OBLIGADOS A RED / NOT. DIL.LEV.EMB. PERS. O ENTID. PAGAD., Tesoreria General de la Seguridad Social</v>
      </c>
    </row>
    <row r="103" spans="1:15" ht="17.25" customHeight="1" x14ac:dyDescent="0.25">
      <c r="A103" s="10" t="s">
        <v>182</v>
      </c>
      <c r="B103" s="10" t="s">
        <v>183</v>
      </c>
      <c r="C103" s="11" t="s">
        <v>201</v>
      </c>
      <c r="D103" s="12">
        <v>46154.517719907402</v>
      </c>
      <c r="E103" s="11" t="s">
        <v>203</v>
      </c>
      <c r="F103">
        <v>14</v>
      </c>
      <c r="G103" s="10" t="s">
        <v>182</v>
      </c>
      <c r="H103" s="13">
        <v>3010</v>
      </c>
      <c r="I103" s="12">
        <v>46154.517719907402</v>
      </c>
      <c r="J103" s="11" t="s">
        <v>29</v>
      </c>
      <c r="K103">
        <v>3</v>
      </c>
      <c r="L103">
        <v>1</v>
      </c>
      <c r="M103" s="18">
        <f t="shared" si="2"/>
        <v>13</v>
      </c>
      <c r="N103" t="str">
        <f>IFERROR(VLOOKUP(TEXT(VALUE(TRIM(G103)),"00000"),EXP!$A:$B,2,FALSE),IFERROR(VLOOKUP(VALUE(TRIM(G103)),EXP!$A:$B,2,FALSE),""))</f>
        <v>01390-00449917</v>
      </c>
      <c r="O103" t="str">
        <f t="shared" si="3"/>
        <v>Aviso Notificacion, REGIMENES SEG. SOCIAL OBLIGADOS A RED / PROVIDENCIA DE APREMIO, Tesoreria General de la Seguridad Social</v>
      </c>
    </row>
    <row r="104" spans="1:15" ht="17.25" customHeight="1" x14ac:dyDescent="0.25">
      <c r="A104" s="10" t="s">
        <v>182</v>
      </c>
      <c r="B104" s="10" t="s">
        <v>183</v>
      </c>
      <c r="C104" s="11" t="s">
        <v>201</v>
      </c>
      <c r="D104" s="12">
        <v>46154.519432870366</v>
      </c>
      <c r="E104" s="11" t="s">
        <v>203</v>
      </c>
      <c r="F104">
        <v>14</v>
      </c>
      <c r="G104" s="10" t="s">
        <v>182</v>
      </c>
      <c r="H104" s="13">
        <v>3010</v>
      </c>
      <c r="I104" s="12">
        <v>46154.519432870366</v>
      </c>
      <c r="J104" s="11" t="s">
        <v>29</v>
      </c>
      <c r="K104">
        <v>3</v>
      </c>
      <c r="L104">
        <v>1</v>
      </c>
      <c r="M104" s="18">
        <f t="shared" si="2"/>
        <v>13</v>
      </c>
      <c r="N104" t="str">
        <f>IFERROR(VLOOKUP(TEXT(VALUE(TRIM(G104)),"00000"),EXP!$A:$B,2,FALSE),IFERROR(VLOOKUP(VALUE(TRIM(G104)),EXP!$A:$B,2,FALSE),""))</f>
        <v>01390-00449917</v>
      </c>
      <c r="O104" t="str">
        <f t="shared" si="3"/>
        <v>Aviso Notificacion, REGIMENES SEG. SOCIAL OBLIGADOS A RED / PROVIDENCIA DE APREMIO, Tesoreria General de la Seguridad Social</v>
      </c>
    </row>
    <row r="105" spans="1:15" ht="17.25" customHeight="1" x14ac:dyDescent="0.25">
      <c r="A105" s="10" t="s">
        <v>182</v>
      </c>
      <c r="B105" s="10" t="s">
        <v>183</v>
      </c>
      <c r="C105" s="11" t="s">
        <v>201</v>
      </c>
      <c r="D105" s="12">
        <v>46154.52103009259</v>
      </c>
      <c r="E105" s="11" t="s">
        <v>203</v>
      </c>
      <c r="F105">
        <v>14</v>
      </c>
      <c r="G105" s="10" t="s">
        <v>182</v>
      </c>
      <c r="H105" s="13">
        <v>3010</v>
      </c>
      <c r="I105" s="12">
        <v>46154.52103009259</v>
      </c>
      <c r="J105" s="11" t="s">
        <v>29</v>
      </c>
      <c r="K105">
        <v>3</v>
      </c>
      <c r="L105">
        <v>1</v>
      </c>
      <c r="M105" s="18">
        <f t="shared" si="2"/>
        <v>13</v>
      </c>
      <c r="N105" t="str">
        <f>IFERROR(VLOOKUP(TEXT(VALUE(TRIM(G105)),"00000"),EXP!$A:$B,2,FALSE),IFERROR(VLOOKUP(VALUE(TRIM(G105)),EXP!$A:$B,2,FALSE),""))</f>
        <v>01390-00449917</v>
      </c>
      <c r="O105" t="str">
        <f t="shared" si="3"/>
        <v>Aviso Notificacion, REGIMENES SEG. SOCIAL OBLIGADOS A RED / PROVIDENCIA DE APREMIO, Tesoreria General de la Seguridad Social</v>
      </c>
    </row>
    <row r="106" spans="1:15" ht="17.25" customHeight="1" x14ac:dyDescent="0.25">
      <c r="A106" s="10" t="s">
        <v>204</v>
      </c>
      <c r="B106" s="10" t="s">
        <v>205</v>
      </c>
      <c r="C106" s="11" t="s">
        <v>201</v>
      </c>
      <c r="D106" s="12">
        <v>46142.438437500001</v>
      </c>
      <c r="E106" s="11" t="s">
        <v>206</v>
      </c>
      <c r="F106">
        <v>14</v>
      </c>
      <c r="G106" s="10" t="s">
        <v>204</v>
      </c>
      <c r="H106" s="13">
        <v>3010</v>
      </c>
      <c r="I106" s="12">
        <v>46142.438437500001</v>
      </c>
      <c r="J106" s="11" t="s">
        <v>29</v>
      </c>
      <c r="K106">
        <v>3</v>
      </c>
      <c r="L106">
        <v>1</v>
      </c>
      <c r="M106" s="18">
        <f t="shared" si="2"/>
        <v>13</v>
      </c>
      <c r="N106" t="str">
        <f>IFERROR(VLOOKUP(TEXT(VALUE(TRIM(G106)),"00000"),EXP!$A:$B,2,FALSE),IFERROR(VLOOKUP(VALUE(TRIM(G106)),EXP!$A:$B,2,FALSE),""))</f>
        <v>01544-00529725</v>
      </c>
      <c r="O106" t="str">
        <f t="shared" si="3"/>
        <v>Aviso Notificacion, REGIMENES SEG. SOCIAL - NOT. EMBARGO CUENTAS CORRIENTES Y AHORRO, Tesoreria General de la Seguridad Social</v>
      </c>
    </row>
    <row r="107" spans="1:15" ht="17.25" customHeight="1" x14ac:dyDescent="0.25">
      <c r="A107" s="10" t="s">
        <v>207</v>
      </c>
      <c r="B107" s="10" t="s">
        <v>208</v>
      </c>
      <c r="C107" s="11" t="s">
        <v>201</v>
      </c>
      <c r="D107" s="12">
        <v>46148.435023148144</v>
      </c>
      <c r="E107" s="11" t="s">
        <v>209</v>
      </c>
      <c r="F107">
        <v>14</v>
      </c>
      <c r="G107" s="10" t="s">
        <v>207</v>
      </c>
      <c r="H107" s="13">
        <v>3010</v>
      </c>
      <c r="I107" s="12">
        <v>46148.435023148144</v>
      </c>
      <c r="J107" s="11" t="s">
        <v>29</v>
      </c>
      <c r="K107">
        <v>3</v>
      </c>
      <c r="L107">
        <v>1</v>
      </c>
      <c r="M107" s="18">
        <f t="shared" si="2"/>
        <v>13</v>
      </c>
      <c r="N107" t="str">
        <f>IFERROR(VLOOKUP(TEXT(VALUE(TRIM(G107)),"00000"),EXP!$A:$B,2,FALSE),IFERROR(VLOOKUP(VALUE(TRIM(G107)),EXP!$A:$B,2,FALSE),""))</f>
        <v>01836-00417417</v>
      </c>
      <c r="O107" t="str">
        <f t="shared" si="3"/>
        <v>Aviso Notificacion, REGIMENES SEG. SOCIAL - COMUNICACIÓN SALDO ACREEDOR, Tesoreria General de la Seguridad Social</v>
      </c>
    </row>
    <row r="108" spans="1:15" ht="17.25" customHeight="1" x14ac:dyDescent="0.25">
      <c r="A108" s="10" t="s">
        <v>61</v>
      </c>
      <c r="B108" s="10" t="s">
        <v>197</v>
      </c>
      <c r="C108" s="11" t="s">
        <v>201</v>
      </c>
      <c r="D108" s="12">
        <v>46154.52202546296</v>
      </c>
      <c r="E108" s="11" t="s">
        <v>203</v>
      </c>
      <c r="F108">
        <v>14</v>
      </c>
      <c r="G108" s="10" t="s">
        <v>61</v>
      </c>
      <c r="H108" s="13">
        <v>3010</v>
      </c>
      <c r="I108" s="12">
        <v>46154.52202546296</v>
      </c>
      <c r="J108" s="11" t="s">
        <v>29</v>
      </c>
      <c r="K108">
        <v>3</v>
      </c>
      <c r="L108">
        <v>1</v>
      </c>
      <c r="M108" s="18">
        <f t="shared" si="2"/>
        <v>13</v>
      </c>
      <c r="N108" t="str">
        <f>IFERROR(VLOOKUP(TEXT(VALUE(TRIM(G108)),"00000"),EXP!$A:$B,2,FALSE),IFERROR(VLOOKUP(VALUE(TRIM(G108)),EXP!$A:$B,2,FALSE),""))</f>
        <v>02282-00495721</v>
      </c>
      <c r="O108" t="str">
        <f t="shared" si="3"/>
        <v>Aviso Notificacion, REGIMENES SEG. SOCIAL OBLIGADOS A RED / PROVIDENCIA DE APREMIO, Tesoreria General de la Seguridad Social</v>
      </c>
    </row>
    <row r="109" spans="1:15" ht="17.25" customHeight="1" x14ac:dyDescent="0.25">
      <c r="A109" s="10" t="s">
        <v>64</v>
      </c>
      <c r="B109" s="10" t="s">
        <v>65</v>
      </c>
      <c r="C109" s="11" t="s">
        <v>201</v>
      </c>
      <c r="D109" s="12">
        <v>46154.463599537034</v>
      </c>
      <c r="E109" s="11" t="s">
        <v>210</v>
      </c>
      <c r="F109">
        <v>14</v>
      </c>
      <c r="G109" s="10" t="s">
        <v>64</v>
      </c>
      <c r="H109" s="13">
        <v>3010</v>
      </c>
      <c r="I109" s="12">
        <v>46154.463599537034</v>
      </c>
      <c r="J109" s="11" t="s">
        <v>29</v>
      </c>
      <c r="K109">
        <v>3</v>
      </c>
      <c r="L109">
        <v>1</v>
      </c>
      <c r="M109" s="18">
        <f t="shared" si="2"/>
        <v>13</v>
      </c>
      <c r="N109" t="str">
        <f>IFERROR(VLOOKUP(TEXT(VALUE(TRIM(G109)),"00000"),EXP!$A:$B,2,FALSE),IFERROR(VLOOKUP(VALUE(TRIM(G109)),EXP!$A:$B,2,FALSE),""))</f>
        <v>02375-00505722</v>
      </c>
      <c r="O109" t="str">
        <f t="shared" si="3"/>
        <v>Aviso Notificacion, REGIMENES SEG. SOCIAL OBLIGADOS A RED / 3802V0326044361302 / PROVIDENCIA DE APREMIO, Tesoreria General de la Seguridad Social</v>
      </c>
    </row>
    <row r="110" spans="1:15" ht="17.25" customHeight="1" x14ac:dyDescent="0.25">
      <c r="A110" s="10" t="s">
        <v>64</v>
      </c>
      <c r="B110" s="10" t="s">
        <v>65</v>
      </c>
      <c r="C110" s="11" t="s">
        <v>201</v>
      </c>
      <c r="D110" s="12">
        <v>46154.464398148149</v>
      </c>
      <c r="E110" s="11" t="s">
        <v>211</v>
      </c>
      <c r="F110">
        <v>14</v>
      </c>
      <c r="G110" s="10" t="s">
        <v>64</v>
      </c>
      <c r="H110" s="13">
        <v>3010</v>
      </c>
      <c r="I110" s="12">
        <v>46154.464398148149</v>
      </c>
      <c r="J110" s="11" t="s">
        <v>29</v>
      </c>
      <c r="K110">
        <v>3</v>
      </c>
      <c r="L110">
        <v>1</v>
      </c>
      <c r="M110" s="18">
        <f t="shared" si="2"/>
        <v>13</v>
      </c>
      <c r="N110" t="str">
        <f>IFERROR(VLOOKUP(TEXT(VALUE(TRIM(G110)),"00000"),EXP!$A:$B,2,FALSE),IFERROR(VLOOKUP(VALUE(TRIM(G110)),EXP!$A:$B,2,FALSE),""))</f>
        <v>02375-00505722</v>
      </c>
      <c r="O110" t="str">
        <f t="shared" si="3"/>
        <v>Aviso Notificacion, REGIMENES SEG. SOCIAL OBLIGADOS A RED / 3802V0326044361706 / PROVIDENCIA DE APREMIO, Tesoreria General de la Seguridad Social</v>
      </c>
    </row>
    <row r="111" spans="1:15" ht="17.25" customHeight="1" x14ac:dyDescent="0.25">
      <c r="A111" s="10" t="s">
        <v>64</v>
      </c>
      <c r="B111" s="10" t="s">
        <v>65</v>
      </c>
      <c r="C111" s="11" t="s">
        <v>201</v>
      </c>
      <c r="D111" s="12">
        <v>46154.465243055551</v>
      </c>
      <c r="E111" s="11" t="s">
        <v>212</v>
      </c>
      <c r="F111">
        <v>14</v>
      </c>
      <c r="G111" s="10" t="s">
        <v>64</v>
      </c>
      <c r="H111" s="13">
        <v>3010</v>
      </c>
      <c r="I111" s="12">
        <v>46154.465243055551</v>
      </c>
      <c r="J111" s="11" t="s">
        <v>29</v>
      </c>
      <c r="K111">
        <v>3</v>
      </c>
      <c r="L111">
        <v>1</v>
      </c>
      <c r="M111" s="18">
        <f t="shared" si="2"/>
        <v>13</v>
      </c>
      <c r="N111" t="str">
        <f>IFERROR(VLOOKUP(TEXT(VALUE(TRIM(G111)),"00000"),EXP!$A:$B,2,FALSE),IFERROR(VLOOKUP(VALUE(TRIM(G111)),EXP!$A:$B,2,FALSE),""))</f>
        <v>02375-00505722</v>
      </c>
      <c r="O111" t="str">
        <f t="shared" si="3"/>
        <v>Aviso Notificacion, REGIMENES SEG. SOCIAL OBLIGADOS A RED / 3802V0326044361504 / PROVIDENCIA DE APREMIO, Tesoreria General de la Seguridad Social</v>
      </c>
    </row>
    <row r="112" spans="1:15" ht="17.25" customHeight="1" x14ac:dyDescent="0.25">
      <c r="A112" s="10" t="s">
        <v>64</v>
      </c>
      <c r="B112" s="10" t="s">
        <v>65</v>
      </c>
      <c r="C112" s="11" t="s">
        <v>201</v>
      </c>
      <c r="D112" s="12">
        <v>46154.466099537036</v>
      </c>
      <c r="E112" s="11" t="s">
        <v>213</v>
      </c>
      <c r="F112">
        <v>14</v>
      </c>
      <c r="G112" s="10" t="s">
        <v>64</v>
      </c>
      <c r="H112" s="13">
        <v>3010</v>
      </c>
      <c r="I112" s="12">
        <v>46154.466099537036</v>
      </c>
      <c r="J112" s="11" t="s">
        <v>29</v>
      </c>
      <c r="K112">
        <v>3</v>
      </c>
      <c r="L112">
        <v>1</v>
      </c>
      <c r="M112" s="18">
        <f t="shared" si="2"/>
        <v>13</v>
      </c>
      <c r="N112" t="str">
        <f>IFERROR(VLOOKUP(TEXT(VALUE(TRIM(G112)),"00000"),EXP!$A:$B,2,FALSE),IFERROR(VLOOKUP(VALUE(TRIM(G112)),EXP!$A:$B,2,FALSE),""))</f>
        <v>02375-00505722</v>
      </c>
      <c r="O112" t="str">
        <f t="shared" si="3"/>
        <v>Aviso Notificacion, REGIMENES SEG. SOCIAL OBLIGADOS A RED / 3802V0326044361403 / PROVIDENCIA DE APREMIO, Tesoreria General de la Seguridad Social</v>
      </c>
    </row>
    <row r="113" spans="1:15" ht="17.25" customHeight="1" x14ac:dyDescent="0.25">
      <c r="A113" s="10" t="s">
        <v>64</v>
      </c>
      <c r="B113" s="10" t="s">
        <v>65</v>
      </c>
      <c r="C113" s="11" t="s">
        <v>201</v>
      </c>
      <c r="D113" s="12">
        <v>46154.466921296291</v>
      </c>
      <c r="E113" s="11" t="s">
        <v>214</v>
      </c>
      <c r="F113">
        <v>14</v>
      </c>
      <c r="G113" s="10" t="s">
        <v>64</v>
      </c>
      <c r="H113" s="13">
        <v>3010</v>
      </c>
      <c r="I113" s="12">
        <v>46154.466921296291</v>
      </c>
      <c r="J113" s="11" t="s">
        <v>29</v>
      </c>
      <c r="K113">
        <v>3</v>
      </c>
      <c r="L113">
        <v>1</v>
      </c>
      <c r="M113" s="18">
        <f t="shared" si="2"/>
        <v>13</v>
      </c>
      <c r="N113" t="str">
        <f>IFERROR(VLOOKUP(TEXT(VALUE(TRIM(G113)),"00000"),EXP!$A:$B,2,FALSE),IFERROR(VLOOKUP(VALUE(TRIM(G113)),EXP!$A:$B,2,FALSE),""))</f>
        <v>02375-00505722</v>
      </c>
      <c r="O113" t="str">
        <f t="shared" si="3"/>
        <v>Aviso Notificacion, REGIMENES SEG. SOCIAL OBLIGADOS A RED / 3802V0326044362211 / PROVIDENCIA DE APREMIO, Tesoreria General de la Seguridad Social</v>
      </c>
    </row>
    <row r="114" spans="1:15" ht="17.25" customHeight="1" x14ac:dyDescent="0.25">
      <c r="A114" s="10" t="s">
        <v>64</v>
      </c>
      <c r="B114" s="10" t="s">
        <v>65</v>
      </c>
      <c r="C114" s="11" t="s">
        <v>201</v>
      </c>
      <c r="D114" s="12">
        <v>46154.467685185184</v>
      </c>
      <c r="E114" s="11" t="s">
        <v>215</v>
      </c>
      <c r="F114">
        <v>14</v>
      </c>
      <c r="G114" s="10" t="s">
        <v>64</v>
      </c>
      <c r="H114" s="13">
        <v>3010</v>
      </c>
      <c r="I114" s="12">
        <v>46154.467685185184</v>
      </c>
      <c r="J114" s="11" t="s">
        <v>29</v>
      </c>
      <c r="K114">
        <v>3</v>
      </c>
      <c r="L114">
        <v>1</v>
      </c>
      <c r="M114" s="18">
        <f t="shared" si="2"/>
        <v>13</v>
      </c>
      <c r="N114" t="str">
        <f>IFERROR(VLOOKUP(TEXT(VALUE(TRIM(G114)),"00000"),EXP!$A:$B,2,FALSE),IFERROR(VLOOKUP(VALUE(TRIM(G114)),EXP!$A:$B,2,FALSE),""))</f>
        <v>02375-00505722</v>
      </c>
      <c r="O114" t="str">
        <f t="shared" si="3"/>
        <v>Aviso Notificacion, REGIMENES SEG. SOCIAL OBLIGADOS A RED / 3802V0326044361605 / PROVIDENCIA DE APREMIO, Tesoreria General de la Seguridad Social</v>
      </c>
    </row>
    <row r="115" spans="1:15" ht="17.25" customHeight="1" x14ac:dyDescent="0.25">
      <c r="A115" s="10" t="s">
        <v>64</v>
      </c>
      <c r="B115" s="10" t="s">
        <v>65</v>
      </c>
      <c r="C115" s="11" t="s">
        <v>201</v>
      </c>
      <c r="D115" s="12">
        <v>46154.468483796292</v>
      </c>
      <c r="E115" s="11" t="s">
        <v>216</v>
      </c>
      <c r="F115">
        <v>14</v>
      </c>
      <c r="G115" s="10" t="s">
        <v>64</v>
      </c>
      <c r="H115" s="13">
        <v>3010</v>
      </c>
      <c r="I115" s="12">
        <v>46154.468483796292</v>
      </c>
      <c r="J115" s="11" t="s">
        <v>29</v>
      </c>
      <c r="K115">
        <v>3</v>
      </c>
      <c r="L115">
        <v>1</v>
      </c>
      <c r="M115" s="18">
        <f t="shared" si="2"/>
        <v>13</v>
      </c>
      <c r="N115" t="str">
        <f>IFERROR(VLOOKUP(TEXT(VALUE(TRIM(G115)),"00000"),EXP!$A:$B,2,FALSE),IFERROR(VLOOKUP(VALUE(TRIM(G115)),EXP!$A:$B,2,FALSE),""))</f>
        <v>02375-00505722</v>
      </c>
      <c r="O115" t="str">
        <f t="shared" si="3"/>
        <v>Aviso Notificacion, REGIMENES SEG. SOCIAL OBLIGADOS A RED / 3802V0326044362009 / PROVIDENCIA DE APREMIO, Tesoreria General de la Seguridad Social</v>
      </c>
    </row>
    <row r="116" spans="1:15" ht="17.25" customHeight="1" x14ac:dyDescent="0.25">
      <c r="A116" s="10" t="s">
        <v>64</v>
      </c>
      <c r="B116" s="10" t="s">
        <v>65</v>
      </c>
      <c r="C116" s="11" t="s">
        <v>201</v>
      </c>
      <c r="D116" s="12">
        <v>46154.469328703701</v>
      </c>
      <c r="E116" s="11" t="s">
        <v>217</v>
      </c>
      <c r="F116">
        <v>14</v>
      </c>
      <c r="G116" s="10" t="s">
        <v>64</v>
      </c>
      <c r="H116" s="13">
        <v>3010</v>
      </c>
      <c r="I116" s="12">
        <v>46154.469328703701</v>
      </c>
      <c r="J116" s="11" t="s">
        <v>29</v>
      </c>
      <c r="K116">
        <v>3</v>
      </c>
      <c r="L116">
        <v>1</v>
      </c>
      <c r="M116" s="18">
        <f t="shared" si="2"/>
        <v>13</v>
      </c>
      <c r="N116" t="str">
        <f>IFERROR(VLOOKUP(TEXT(VALUE(TRIM(G116)),"00000"),EXP!$A:$B,2,FALSE),IFERROR(VLOOKUP(VALUE(TRIM(G116)),EXP!$A:$B,2,FALSE),""))</f>
        <v>02375-00505722</v>
      </c>
      <c r="O116" t="str">
        <f t="shared" si="3"/>
        <v>Aviso Notificacion, REGIMENES SEG. SOCIAL OBLIGADOS A RED / 3802V0326044361807 / PROVIDENCIA DE APREMIO, Tesoreria General de la Seguridad Social</v>
      </c>
    </row>
    <row r="117" spans="1:15" ht="17.25" customHeight="1" x14ac:dyDescent="0.25">
      <c r="A117" s="10" t="s">
        <v>64</v>
      </c>
      <c r="B117" s="10" t="s">
        <v>65</v>
      </c>
      <c r="C117" s="11" t="s">
        <v>201</v>
      </c>
      <c r="D117" s="12">
        <v>46154.470138888886</v>
      </c>
      <c r="E117" s="11" t="s">
        <v>218</v>
      </c>
      <c r="F117">
        <v>14</v>
      </c>
      <c r="G117" s="10" t="s">
        <v>64</v>
      </c>
      <c r="H117" s="13">
        <v>3010</v>
      </c>
      <c r="I117" s="12">
        <v>46154.470138888886</v>
      </c>
      <c r="J117" s="11" t="s">
        <v>29</v>
      </c>
      <c r="K117">
        <v>3</v>
      </c>
      <c r="L117">
        <v>1</v>
      </c>
      <c r="M117" s="18">
        <f t="shared" si="2"/>
        <v>13</v>
      </c>
      <c r="N117" t="str">
        <f>IFERROR(VLOOKUP(TEXT(VALUE(TRIM(G117)),"00000"),EXP!$A:$B,2,FALSE),IFERROR(VLOOKUP(VALUE(TRIM(G117)),EXP!$A:$B,2,FALSE),""))</f>
        <v>02375-00505722</v>
      </c>
      <c r="O117" t="str">
        <f t="shared" si="3"/>
        <v>Aviso Notificacion, REGIMENES SEG. SOCIAL OBLIGADOS A RED / 3802V0326044362413 / PROVIDENCIA DE APREMIO, Tesoreria General de la Seguridad Social</v>
      </c>
    </row>
    <row r="118" spans="1:15" ht="17.25" customHeight="1" x14ac:dyDescent="0.25">
      <c r="A118" s="10" t="s">
        <v>64</v>
      </c>
      <c r="B118" s="10" t="s">
        <v>65</v>
      </c>
      <c r="C118" s="11" t="s">
        <v>201</v>
      </c>
      <c r="D118" s="12">
        <v>46154.470914351848</v>
      </c>
      <c r="E118" s="11" t="s">
        <v>219</v>
      </c>
      <c r="F118">
        <v>14</v>
      </c>
      <c r="G118" s="10" t="s">
        <v>64</v>
      </c>
      <c r="H118" s="13">
        <v>3010</v>
      </c>
      <c r="I118" s="12">
        <v>46154.470914351848</v>
      </c>
      <c r="J118" s="11" t="s">
        <v>29</v>
      </c>
      <c r="K118">
        <v>3</v>
      </c>
      <c r="L118">
        <v>1</v>
      </c>
      <c r="M118" s="18">
        <f t="shared" si="2"/>
        <v>13</v>
      </c>
      <c r="N118" t="str">
        <f>IFERROR(VLOOKUP(TEXT(VALUE(TRIM(G118)),"00000"),EXP!$A:$B,2,FALSE),IFERROR(VLOOKUP(VALUE(TRIM(G118)),EXP!$A:$B,2,FALSE),""))</f>
        <v>02375-00505722</v>
      </c>
      <c r="O118" t="str">
        <f t="shared" si="3"/>
        <v>Aviso Notificacion, REGIMENES SEG. SOCIAL OBLIGADOS A RED / 3802V0326044361908 / PROVIDENCIA DE APREMIO, Tesoreria General de la Seguridad Social</v>
      </c>
    </row>
    <row r="119" spans="1:15" ht="17.25" customHeight="1" x14ac:dyDescent="0.25">
      <c r="A119" s="10" t="s">
        <v>64</v>
      </c>
      <c r="B119" s="10" t="s">
        <v>65</v>
      </c>
      <c r="C119" s="11" t="s">
        <v>201</v>
      </c>
      <c r="D119" s="12">
        <v>46154.471666666665</v>
      </c>
      <c r="E119" s="11" t="s">
        <v>220</v>
      </c>
      <c r="F119">
        <v>14</v>
      </c>
      <c r="G119" s="10" t="s">
        <v>64</v>
      </c>
      <c r="H119" s="13">
        <v>3010</v>
      </c>
      <c r="I119" s="12">
        <v>46154.471666666665</v>
      </c>
      <c r="J119" s="11" t="s">
        <v>29</v>
      </c>
      <c r="K119">
        <v>3</v>
      </c>
      <c r="L119">
        <v>1</v>
      </c>
      <c r="M119" s="18">
        <f t="shared" si="2"/>
        <v>13</v>
      </c>
      <c r="N119" t="str">
        <f>IFERROR(VLOOKUP(TEXT(VALUE(TRIM(G119)),"00000"),EXP!$A:$B,2,FALSE),IFERROR(VLOOKUP(VALUE(TRIM(G119)),EXP!$A:$B,2,FALSE),""))</f>
        <v>02375-00505722</v>
      </c>
      <c r="O119" t="str">
        <f t="shared" si="3"/>
        <v>Aviso Notificacion, REGIMENES SEG. SOCIAL OBLIGADOS A RED / 3802V0326044362312 / PROVIDENCIA DE APREMIO, Tesoreria General de la Seguridad Social</v>
      </c>
    </row>
    <row r="120" spans="1:15" ht="17.25" customHeight="1" x14ac:dyDescent="0.25">
      <c r="A120" s="10" t="s">
        <v>64</v>
      </c>
      <c r="B120" s="10" t="s">
        <v>65</v>
      </c>
      <c r="C120" s="11" t="s">
        <v>201</v>
      </c>
      <c r="D120" s="12">
        <v>46154.472442129627</v>
      </c>
      <c r="E120" s="11" t="s">
        <v>221</v>
      </c>
      <c r="F120">
        <v>14</v>
      </c>
      <c r="G120" s="10" t="s">
        <v>64</v>
      </c>
      <c r="H120" s="13">
        <v>3010</v>
      </c>
      <c r="I120" s="12">
        <v>46154.472442129627</v>
      </c>
      <c r="J120" s="11" t="s">
        <v>29</v>
      </c>
      <c r="K120">
        <v>3</v>
      </c>
      <c r="L120">
        <v>1</v>
      </c>
      <c r="M120" s="18">
        <f t="shared" si="2"/>
        <v>13</v>
      </c>
      <c r="N120" t="str">
        <f>IFERROR(VLOOKUP(TEXT(VALUE(TRIM(G120)),"00000"),EXP!$A:$B,2,FALSE),IFERROR(VLOOKUP(VALUE(TRIM(G120)),EXP!$A:$B,2,FALSE),""))</f>
        <v>02375-00505722</v>
      </c>
      <c r="O120" t="str">
        <f t="shared" si="3"/>
        <v>Aviso Notificacion, REGIMENES SEG. SOCIAL OBLIGADOS A RED / 3802V0326044362110 / PROVIDENCIA DE APREMIO, Tesoreria General de la Seguridad Social</v>
      </c>
    </row>
    <row r="121" spans="1:15" ht="17.25" customHeight="1" x14ac:dyDescent="0.25">
      <c r="A121" s="10" t="s">
        <v>128</v>
      </c>
      <c r="B121" s="10" t="s">
        <v>129</v>
      </c>
      <c r="C121" s="11" t="s">
        <v>201</v>
      </c>
      <c r="D121" s="12">
        <v>46154.590694444443</v>
      </c>
      <c r="E121" s="11" t="s">
        <v>222</v>
      </c>
      <c r="F121">
        <v>14</v>
      </c>
      <c r="G121" s="10" t="s">
        <v>128</v>
      </c>
      <c r="H121" s="13">
        <v>3010</v>
      </c>
      <c r="I121" s="12">
        <v>46154.590694444443</v>
      </c>
      <c r="J121" s="11" t="s">
        <v>29</v>
      </c>
      <c r="K121">
        <v>3</v>
      </c>
      <c r="L121">
        <v>1</v>
      </c>
      <c r="M121" s="18">
        <f t="shared" si="2"/>
        <v>13</v>
      </c>
      <c r="N121" t="str">
        <f>IFERROR(VLOOKUP(TEXT(VALUE(TRIM(G121)),"00000"),EXP!$A:$B,2,FALSE),IFERROR(VLOOKUP(VALUE(TRIM(G121)),EXP!$A:$B,2,FALSE),""))</f>
        <v>02421-00514923</v>
      </c>
      <c r="O121" t="str">
        <f t="shared" si="3"/>
        <v>Aviso Notificacion, REGIMENES SEG. SOCIAL OBLIGADOS A RED / RECLAMACIÓN DE DEUDA DIFERENCIA BASES 2023, Tesoreria General de la Seguridad Social</v>
      </c>
    </row>
    <row r="122" spans="1:15" ht="17.25" customHeight="1" x14ac:dyDescent="0.25">
      <c r="A122" s="10" t="s">
        <v>223</v>
      </c>
      <c r="B122" s="10" t="s">
        <v>224</v>
      </c>
      <c r="C122" s="11" t="s">
        <v>201</v>
      </c>
      <c r="D122" s="12">
        <v>46154.522986111107</v>
      </c>
      <c r="E122" s="11" t="s">
        <v>203</v>
      </c>
      <c r="F122">
        <v>14</v>
      </c>
      <c r="G122" s="10" t="s">
        <v>223</v>
      </c>
      <c r="H122" s="13">
        <v>3010</v>
      </c>
      <c r="I122" s="12">
        <v>46154.522986111107</v>
      </c>
      <c r="J122" s="11" t="s">
        <v>29</v>
      </c>
      <c r="K122">
        <v>3</v>
      </c>
      <c r="L122">
        <v>1</v>
      </c>
      <c r="M122" s="18">
        <f t="shared" si="2"/>
        <v>13</v>
      </c>
      <c r="N122" t="str">
        <f>IFERROR(VLOOKUP(TEXT(VALUE(TRIM(G122)),"00000"),EXP!$A:$B,2,FALSE),IFERROR(VLOOKUP(VALUE(TRIM(G122)),EXP!$A:$B,2,FALSE),""))</f>
        <v>02461-00518924</v>
      </c>
      <c r="O122" t="str">
        <f t="shared" si="3"/>
        <v>Aviso Notificacion, REGIMENES SEG. SOCIAL OBLIGADOS A RED / PROVIDENCIA DE APREMIO, Tesoreria General de la Seguridad Social</v>
      </c>
    </row>
    <row r="123" spans="1:15" ht="17.25" customHeight="1" x14ac:dyDescent="0.25">
      <c r="A123" s="10" t="s">
        <v>225</v>
      </c>
      <c r="B123" s="10" t="s">
        <v>226</v>
      </c>
      <c r="C123" s="11" t="s">
        <v>201</v>
      </c>
      <c r="D123" s="12">
        <v>46140.475069444445</v>
      </c>
      <c r="E123" s="11" t="s">
        <v>227</v>
      </c>
      <c r="F123">
        <v>14</v>
      </c>
      <c r="G123" s="10" t="s">
        <v>225</v>
      </c>
      <c r="H123" s="13">
        <v>3010</v>
      </c>
      <c r="I123" s="12">
        <v>46140.475069444445</v>
      </c>
      <c r="J123" s="11" t="s">
        <v>29</v>
      </c>
      <c r="K123">
        <v>3</v>
      </c>
      <c r="L123">
        <v>1</v>
      </c>
      <c r="M123" s="18">
        <f t="shared" si="2"/>
        <v>13</v>
      </c>
      <c r="N123" t="str">
        <f>IFERROR(VLOOKUP(TEXT(VALUE(TRIM(G123)),"00000"),EXP!$A:$B,2,FALSE),IFERROR(VLOOKUP(VALUE(TRIM(G123)),EXP!$A:$B,2,FALSE),""))</f>
        <v>02517-00526224</v>
      </c>
      <c r="O123" t="str">
        <f t="shared" si="3"/>
        <v>Aviso Notificacion, REGIMENES SEG. SOCIAL NO OBLIGADOS A RED / 3801V0126038743281 / RECLAMACIÓN DE DEUDA, Tesoreria General de la Seguridad Social</v>
      </c>
    </row>
    <row r="124" spans="1:15" ht="17.25" customHeight="1" x14ac:dyDescent="0.25">
      <c r="A124" s="10" t="s">
        <v>225</v>
      </c>
      <c r="B124" s="10" t="s">
        <v>226</v>
      </c>
      <c r="C124" s="11" t="s">
        <v>201</v>
      </c>
      <c r="D124" s="12">
        <v>46140.476053240738</v>
      </c>
      <c r="E124" s="11" t="s">
        <v>228</v>
      </c>
      <c r="F124">
        <v>14</v>
      </c>
      <c r="G124" s="10" t="s">
        <v>225</v>
      </c>
      <c r="H124" s="13">
        <v>3010</v>
      </c>
      <c r="I124" s="12">
        <v>46140.476053240738</v>
      </c>
      <c r="J124" s="11" t="s">
        <v>29</v>
      </c>
      <c r="K124">
        <v>3</v>
      </c>
      <c r="L124">
        <v>1</v>
      </c>
      <c r="M124" s="18">
        <f t="shared" si="2"/>
        <v>13</v>
      </c>
      <c r="N124" t="str">
        <f>IFERROR(VLOOKUP(TEXT(VALUE(TRIM(G124)),"00000"),EXP!$A:$B,2,FALSE),IFERROR(VLOOKUP(VALUE(TRIM(G124)),EXP!$A:$B,2,FALSE),""))</f>
        <v>02517-00526224</v>
      </c>
      <c r="O124" t="str">
        <f t="shared" si="3"/>
        <v>Aviso Notificacion, REGIMENES SEG. SOCIAL NO OBLIGADOS A RED / 3801V0126038743079 / RECLAMACIÓN DE DEUDA, Tesoreria General de la Seguridad Social</v>
      </c>
    </row>
    <row r="125" spans="1:15" ht="17.25" customHeight="1" x14ac:dyDescent="0.25">
      <c r="A125" s="10" t="s">
        <v>229</v>
      </c>
      <c r="B125" s="10" t="s">
        <v>230</v>
      </c>
      <c r="C125" s="11" t="s">
        <v>201</v>
      </c>
      <c r="D125" s="12">
        <v>46148.533136574071</v>
      </c>
      <c r="E125" s="11" t="s">
        <v>231</v>
      </c>
      <c r="F125">
        <v>14</v>
      </c>
      <c r="G125" s="10" t="s">
        <v>229</v>
      </c>
      <c r="H125" s="13">
        <v>3010</v>
      </c>
      <c r="I125" s="12">
        <v>46148.533136574071</v>
      </c>
      <c r="J125" s="11" t="s">
        <v>29</v>
      </c>
      <c r="K125">
        <v>3</v>
      </c>
      <c r="L125">
        <v>1</v>
      </c>
      <c r="M125" s="18">
        <f t="shared" si="2"/>
        <v>13</v>
      </c>
      <c r="N125" t="str">
        <f>IFERROR(VLOOKUP(TEXT(VALUE(TRIM(G125)),"00000"),EXP!$A:$B,2,FALSE),IFERROR(VLOOKUP(VALUE(TRIM(G125)),EXP!$A:$B,2,FALSE),""))</f>
        <v>02519-00526924</v>
      </c>
      <c r="O125" t="str">
        <f t="shared" si="3"/>
        <v>Aviso Notificacion, REGIMENES SEG. PROVIDENCIA DE APREMIO, Tesoreria General de la Seguridad Social</v>
      </c>
    </row>
    <row r="126" spans="1:15" ht="17.25" customHeight="1" x14ac:dyDescent="0.25">
      <c r="A126" s="10" t="s">
        <v>229</v>
      </c>
      <c r="B126" s="10" t="s">
        <v>230</v>
      </c>
      <c r="C126" s="11" t="s">
        <v>201</v>
      </c>
      <c r="D126" s="12">
        <v>46154.518703703703</v>
      </c>
      <c r="E126" s="11" t="s">
        <v>203</v>
      </c>
      <c r="F126">
        <v>14</v>
      </c>
      <c r="G126" s="10" t="s">
        <v>229</v>
      </c>
      <c r="H126" s="13">
        <v>3010</v>
      </c>
      <c r="I126" s="12">
        <v>46154.518703703703</v>
      </c>
      <c r="J126" s="11" t="s">
        <v>29</v>
      </c>
      <c r="K126">
        <v>3</v>
      </c>
      <c r="L126">
        <v>1</v>
      </c>
      <c r="M126" s="18">
        <f t="shared" si="2"/>
        <v>13</v>
      </c>
      <c r="N126" t="str">
        <f>IFERROR(VLOOKUP(TEXT(VALUE(TRIM(G126)),"00000"),EXP!$A:$B,2,FALSE),IFERROR(VLOOKUP(VALUE(TRIM(G126)),EXP!$A:$B,2,FALSE),""))</f>
        <v>02519-00526924</v>
      </c>
      <c r="O126" t="str">
        <f t="shared" si="3"/>
        <v>Aviso Notificacion, REGIMENES SEG. SOCIAL OBLIGADOS A RED / PROVIDENCIA DE APREMIO, Tesoreria General de la Seguridad Social</v>
      </c>
    </row>
    <row r="127" spans="1:15" ht="17.25" customHeight="1" x14ac:dyDescent="0.25">
      <c r="A127" s="10" t="s">
        <v>229</v>
      </c>
      <c r="B127" s="10" t="s">
        <v>230</v>
      </c>
      <c r="C127" s="11" t="s">
        <v>201</v>
      </c>
      <c r="D127" s="12">
        <v>46154.520243055551</v>
      </c>
      <c r="E127" s="11" t="s">
        <v>203</v>
      </c>
      <c r="F127">
        <v>14</v>
      </c>
      <c r="G127" s="10" t="s">
        <v>229</v>
      </c>
      <c r="H127" s="13">
        <v>3010</v>
      </c>
      <c r="I127" s="12">
        <v>46154.520243055551</v>
      </c>
      <c r="J127" s="11" t="s">
        <v>29</v>
      </c>
      <c r="K127">
        <v>3</v>
      </c>
      <c r="L127">
        <v>1</v>
      </c>
      <c r="M127" s="18">
        <f t="shared" si="2"/>
        <v>13</v>
      </c>
      <c r="N127" t="str">
        <f>IFERROR(VLOOKUP(TEXT(VALUE(TRIM(G127)),"00000"),EXP!$A:$B,2,FALSE),IFERROR(VLOOKUP(VALUE(TRIM(G127)),EXP!$A:$B,2,FALSE),""))</f>
        <v>02519-00526924</v>
      </c>
      <c r="O127" t="str">
        <f t="shared" si="3"/>
        <v>Aviso Notificacion, REGIMENES SEG. SOCIAL OBLIGADOS A RED / PROVIDENCIA DE APREMIO, Tesoreria General de la Seguridad Social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28B8-47F5-4B3E-9AD9-627219BE97EF}">
  <dimension ref="A1:B854"/>
  <sheetViews>
    <sheetView workbookViewId="0">
      <selection activeCell="B1" sqref="B1"/>
    </sheetView>
  </sheetViews>
  <sheetFormatPr baseColWidth="10" defaultRowHeight="15" x14ac:dyDescent="0.25"/>
  <cols>
    <col min="2" max="2" width="12.7109375" bestFit="1" customWidth="1"/>
  </cols>
  <sheetData>
    <row r="1" spans="1:2" x14ac:dyDescent="0.25">
      <c r="A1" s="15" t="s">
        <v>232</v>
      </c>
      <c r="B1" s="15" t="s">
        <v>233</v>
      </c>
    </row>
    <row r="2" spans="1:2" x14ac:dyDescent="0.25">
      <c r="A2" s="16">
        <v>5</v>
      </c>
      <c r="B2" s="17" t="s">
        <v>234</v>
      </c>
    </row>
    <row r="3" spans="1:2" x14ac:dyDescent="0.25">
      <c r="A3" s="16">
        <v>8</v>
      </c>
      <c r="B3" s="17" t="s">
        <v>235</v>
      </c>
    </row>
    <row r="4" spans="1:2" x14ac:dyDescent="0.25">
      <c r="A4" s="16">
        <v>22</v>
      </c>
      <c r="B4" s="17" t="s">
        <v>236</v>
      </c>
    </row>
    <row r="5" spans="1:2" x14ac:dyDescent="0.25">
      <c r="A5" s="16">
        <v>28</v>
      </c>
      <c r="B5" s="17" t="s">
        <v>237</v>
      </c>
    </row>
    <row r="6" spans="1:2" x14ac:dyDescent="0.25">
      <c r="A6" s="16">
        <v>43</v>
      </c>
      <c r="B6" s="17" t="s">
        <v>238</v>
      </c>
    </row>
    <row r="7" spans="1:2" x14ac:dyDescent="0.25">
      <c r="A7" s="16">
        <v>45</v>
      </c>
      <c r="B7" s="17" t="s">
        <v>239</v>
      </c>
    </row>
    <row r="8" spans="1:2" x14ac:dyDescent="0.25">
      <c r="A8" s="16">
        <v>59</v>
      </c>
      <c r="B8" s="17" t="s">
        <v>240</v>
      </c>
    </row>
    <row r="9" spans="1:2" x14ac:dyDescent="0.25">
      <c r="A9" s="16">
        <v>61</v>
      </c>
      <c r="B9" s="17" t="s">
        <v>241</v>
      </c>
    </row>
    <row r="10" spans="1:2" x14ac:dyDescent="0.25">
      <c r="A10" s="16">
        <v>68</v>
      </c>
      <c r="B10" s="17" t="s">
        <v>242</v>
      </c>
    </row>
    <row r="11" spans="1:2" x14ac:dyDescent="0.25">
      <c r="A11" s="16">
        <v>70</v>
      </c>
      <c r="B11" s="17" t="s">
        <v>243</v>
      </c>
    </row>
    <row r="12" spans="1:2" x14ac:dyDescent="0.25">
      <c r="A12" s="16">
        <v>99</v>
      </c>
      <c r="B12" s="17" t="s">
        <v>244</v>
      </c>
    </row>
    <row r="13" spans="1:2" x14ac:dyDescent="0.25">
      <c r="A13" s="16">
        <v>104</v>
      </c>
      <c r="B13" s="17" t="s">
        <v>245</v>
      </c>
    </row>
    <row r="14" spans="1:2" x14ac:dyDescent="0.25">
      <c r="A14" s="16">
        <v>127</v>
      </c>
      <c r="B14" s="17" t="s">
        <v>246</v>
      </c>
    </row>
    <row r="15" spans="1:2" x14ac:dyDescent="0.25">
      <c r="A15" s="16">
        <v>131</v>
      </c>
      <c r="B15" s="17" t="s">
        <v>247</v>
      </c>
    </row>
    <row r="16" spans="1:2" x14ac:dyDescent="0.25">
      <c r="A16" s="16">
        <v>134</v>
      </c>
      <c r="B16" s="17" t="s">
        <v>248</v>
      </c>
    </row>
    <row r="17" spans="1:2" x14ac:dyDescent="0.25">
      <c r="A17" s="16">
        <v>147</v>
      </c>
      <c r="B17" s="17" t="s">
        <v>249</v>
      </c>
    </row>
    <row r="18" spans="1:2" x14ac:dyDescent="0.25">
      <c r="A18" s="16">
        <v>164</v>
      </c>
      <c r="B18" s="17" t="s">
        <v>250</v>
      </c>
    </row>
    <row r="19" spans="1:2" x14ac:dyDescent="0.25">
      <c r="A19" s="16">
        <v>171</v>
      </c>
      <c r="B19" s="17" t="s">
        <v>251</v>
      </c>
    </row>
    <row r="20" spans="1:2" x14ac:dyDescent="0.25">
      <c r="A20" s="16">
        <v>172</v>
      </c>
      <c r="B20" s="17" t="s">
        <v>252</v>
      </c>
    </row>
    <row r="21" spans="1:2" x14ac:dyDescent="0.25">
      <c r="A21" s="16">
        <v>174</v>
      </c>
      <c r="B21" s="17" t="s">
        <v>253</v>
      </c>
    </row>
    <row r="22" spans="1:2" x14ac:dyDescent="0.25">
      <c r="A22" s="16">
        <v>205</v>
      </c>
      <c r="B22" s="17" t="s">
        <v>254</v>
      </c>
    </row>
    <row r="23" spans="1:2" x14ac:dyDescent="0.25">
      <c r="A23" s="16">
        <v>208</v>
      </c>
      <c r="B23" s="17" t="s">
        <v>255</v>
      </c>
    </row>
    <row r="24" spans="1:2" x14ac:dyDescent="0.25">
      <c r="A24" s="16">
        <v>228</v>
      </c>
      <c r="B24" s="17" t="s">
        <v>256</v>
      </c>
    </row>
    <row r="25" spans="1:2" x14ac:dyDescent="0.25">
      <c r="A25" s="16">
        <v>233</v>
      </c>
      <c r="B25" s="17" t="s">
        <v>257</v>
      </c>
    </row>
    <row r="26" spans="1:2" x14ac:dyDescent="0.25">
      <c r="A26" s="16">
        <v>241</v>
      </c>
      <c r="B26" s="17" t="s">
        <v>258</v>
      </c>
    </row>
    <row r="27" spans="1:2" x14ac:dyDescent="0.25">
      <c r="A27" s="16">
        <v>242</v>
      </c>
      <c r="B27" s="17" t="s">
        <v>259</v>
      </c>
    </row>
    <row r="28" spans="1:2" x14ac:dyDescent="0.25">
      <c r="A28" s="16">
        <v>276</v>
      </c>
      <c r="B28" s="17" t="s">
        <v>260</v>
      </c>
    </row>
    <row r="29" spans="1:2" x14ac:dyDescent="0.25">
      <c r="A29" s="16">
        <v>316</v>
      </c>
      <c r="B29" s="17" t="s">
        <v>261</v>
      </c>
    </row>
    <row r="30" spans="1:2" x14ac:dyDescent="0.25">
      <c r="A30" s="16">
        <v>333</v>
      </c>
      <c r="B30" s="17" t="s">
        <v>262</v>
      </c>
    </row>
    <row r="31" spans="1:2" x14ac:dyDescent="0.25">
      <c r="A31" s="16">
        <v>334</v>
      </c>
      <c r="B31" s="17" t="s">
        <v>263</v>
      </c>
    </row>
    <row r="32" spans="1:2" x14ac:dyDescent="0.25">
      <c r="A32" s="16">
        <v>347</v>
      </c>
      <c r="B32" s="17" t="s">
        <v>264</v>
      </c>
    </row>
    <row r="33" spans="1:2" x14ac:dyDescent="0.25">
      <c r="A33" s="16">
        <v>352</v>
      </c>
      <c r="B33" s="17" t="s">
        <v>265</v>
      </c>
    </row>
    <row r="34" spans="1:2" x14ac:dyDescent="0.25">
      <c r="A34" s="16">
        <v>377</v>
      </c>
      <c r="B34" s="17" t="s">
        <v>266</v>
      </c>
    </row>
    <row r="35" spans="1:2" x14ac:dyDescent="0.25">
      <c r="A35" s="16">
        <v>393</v>
      </c>
      <c r="B35" s="17" t="s">
        <v>267</v>
      </c>
    </row>
    <row r="36" spans="1:2" x14ac:dyDescent="0.25">
      <c r="A36" s="16">
        <v>396</v>
      </c>
      <c r="B36" s="17" t="s">
        <v>268</v>
      </c>
    </row>
    <row r="37" spans="1:2" x14ac:dyDescent="0.25">
      <c r="A37" s="16">
        <v>419</v>
      </c>
      <c r="B37" s="17" t="s">
        <v>269</v>
      </c>
    </row>
    <row r="38" spans="1:2" x14ac:dyDescent="0.25">
      <c r="A38" s="16">
        <v>430</v>
      </c>
      <c r="B38" s="17" t="s">
        <v>270</v>
      </c>
    </row>
    <row r="39" spans="1:2" x14ac:dyDescent="0.25">
      <c r="A39" s="16">
        <v>438</v>
      </c>
      <c r="B39" s="17" t="s">
        <v>271</v>
      </c>
    </row>
    <row r="40" spans="1:2" x14ac:dyDescent="0.25">
      <c r="A40" s="16">
        <v>444</v>
      </c>
      <c r="B40" s="17" t="s">
        <v>272</v>
      </c>
    </row>
    <row r="41" spans="1:2" x14ac:dyDescent="0.25">
      <c r="A41" s="16">
        <v>448</v>
      </c>
      <c r="B41" s="17" t="s">
        <v>273</v>
      </c>
    </row>
    <row r="42" spans="1:2" x14ac:dyDescent="0.25">
      <c r="A42" s="16">
        <v>449</v>
      </c>
      <c r="B42" s="17" t="s">
        <v>274</v>
      </c>
    </row>
    <row r="43" spans="1:2" x14ac:dyDescent="0.25">
      <c r="A43" s="16">
        <v>458</v>
      </c>
      <c r="B43" s="17" t="s">
        <v>275</v>
      </c>
    </row>
    <row r="44" spans="1:2" x14ac:dyDescent="0.25">
      <c r="A44" s="16">
        <v>466</v>
      </c>
      <c r="B44" s="17" t="s">
        <v>276</v>
      </c>
    </row>
    <row r="45" spans="1:2" x14ac:dyDescent="0.25">
      <c r="A45" s="16">
        <v>486</v>
      </c>
      <c r="B45" s="17" t="s">
        <v>277</v>
      </c>
    </row>
    <row r="46" spans="1:2" x14ac:dyDescent="0.25">
      <c r="A46" s="16">
        <v>500</v>
      </c>
      <c r="B46" s="17" t="s">
        <v>278</v>
      </c>
    </row>
    <row r="47" spans="1:2" x14ac:dyDescent="0.25">
      <c r="A47" s="16">
        <v>524</v>
      </c>
      <c r="B47" s="17" t="s">
        <v>279</v>
      </c>
    </row>
    <row r="48" spans="1:2" x14ac:dyDescent="0.25">
      <c r="A48" s="16">
        <v>530</v>
      </c>
      <c r="B48" s="17" t="s">
        <v>280</v>
      </c>
    </row>
    <row r="49" spans="1:2" x14ac:dyDescent="0.25">
      <c r="A49" s="16">
        <v>546</v>
      </c>
      <c r="B49" s="17" t="s">
        <v>281</v>
      </c>
    </row>
    <row r="50" spans="1:2" x14ac:dyDescent="0.25">
      <c r="A50" s="16">
        <v>558</v>
      </c>
      <c r="B50" s="17" t="s">
        <v>282</v>
      </c>
    </row>
    <row r="51" spans="1:2" x14ac:dyDescent="0.25">
      <c r="A51" s="16">
        <v>559</v>
      </c>
      <c r="B51" s="17" t="s">
        <v>283</v>
      </c>
    </row>
    <row r="52" spans="1:2" x14ac:dyDescent="0.25">
      <c r="A52" s="16">
        <v>566</v>
      </c>
      <c r="B52" s="17" t="s">
        <v>284</v>
      </c>
    </row>
    <row r="53" spans="1:2" x14ac:dyDescent="0.25">
      <c r="A53" s="16">
        <v>585</v>
      </c>
      <c r="B53" s="17" t="s">
        <v>285</v>
      </c>
    </row>
    <row r="54" spans="1:2" x14ac:dyDescent="0.25">
      <c r="A54" s="16">
        <v>594</v>
      </c>
      <c r="B54" s="17" t="s">
        <v>286</v>
      </c>
    </row>
    <row r="55" spans="1:2" x14ac:dyDescent="0.25">
      <c r="A55" s="16">
        <v>596</v>
      </c>
      <c r="B55" s="17" t="s">
        <v>287</v>
      </c>
    </row>
    <row r="56" spans="1:2" x14ac:dyDescent="0.25">
      <c r="A56" s="16">
        <v>614</v>
      </c>
      <c r="B56" s="17" t="s">
        <v>288</v>
      </c>
    </row>
    <row r="57" spans="1:2" x14ac:dyDescent="0.25">
      <c r="A57" s="16">
        <v>615</v>
      </c>
      <c r="B57" s="17" t="s">
        <v>289</v>
      </c>
    </row>
    <row r="58" spans="1:2" x14ac:dyDescent="0.25">
      <c r="A58" s="16">
        <v>621</v>
      </c>
      <c r="B58" s="17" t="s">
        <v>290</v>
      </c>
    </row>
    <row r="59" spans="1:2" x14ac:dyDescent="0.25">
      <c r="A59" s="16">
        <v>636</v>
      </c>
      <c r="B59" s="17" t="s">
        <v>291</v>
      </c>
    </row>
    <row r="60" spans="1:2" x14ac:dyDescent="0.25">
      <c r="A60" s="16">
        <v>641</v>
      </c>
      <c r="B60" s="17" t="s">
        <v>292</v>
      </c>
    </row>
    <row r="61" spans="1:2" x14ac:dyDescent="0.25">
      <c r="A61" s="16">
        <v>654</v>
      </c>
      <c r="B61" s="17" t="s">
        <v>293</v>
      </c>
    </row>
    <row r="62" spans="1:2" x14ac:dyDescent="0.25">
      <c r="A62" s="16">
        <v>658</v>
      </c>
      <c r="B62" s="17" t="s">
        <v>294</v>
      </c>
    </row>
    <row r="63" spans="1:2" x14ac:dyDescent="0.25">
      <c r="A63" s="16">
        <v>659</v>
      </c>
      <c r="B63" s="17" t="s">
        <v>295</v>
      </c>
    </row>
    <row r="64" spans="1:2" x14ac:dyDescent="0.25">
      <c r="A64" s="16">
        <v>663</v>
      </c>
      <c r="B64" s="17" t="s">
        <v>296</v>
      </c>
    </row>
    <row r="65" spans="1:2" x14ac:dyDescent="0.25">
      <c r="A65" s="16">
        <v>672</v>
      </c>
      <c r="B65" s="17" t="s">
        <v>297</v>
      </c>
    </row>
    <row r="66" spans="1:2" x14ac:dyDescent="0.25">
      <c r="A66" s="16">
        <v>680</v>
      </c>
      <c r="B66" s="17" t="s">
        <v>298</v>
      </c>
    </row>
    <row r="67" spans="1:2" x14ac:dyDescent="0.25">
      <c r="A67" s="16">
        <v>681</v>
      </c>
      <c r="B67" s="17" t="s">
        <v>299</v>
      </c>
    </row>
    <row r="68" spans="1:2" x14ac:dyDescent="0.25">
      <c r="A68" s="16">
        <v>699</v>
      </c>
      <c r="B68" s="17" t="s">
        <v>300</v>
      </c>
    </row>
    <row r="69" spans="1:2" x14ac:dyDescent="0.25">
      <c r="A69" s="16">
        <v>707</v>
      </c>
      <c r="B69" s="17" t="s">
        <v>301</v>
      </c>
    </row>
    <row r="70" spans="1:2" x14ac:dyDescent="0.25">
      <c r="A70" s="16">
        <v>717</v>
      </c>
      <c r="B70" s="17" t="s">
        <v>302</v>
      </c>
    </row>
    <row r="71" spans="1:2" x14ac:dyDescent="0.25">
      <c r="A71" s="16">
        <v>722</v>
      </c>
      <c r="B71" s="17" t="s">
        <v>303</v>
      </c>
    </row>
    <row r="72" spans="1:2" x14ac:dyDescent="0.25">
      <c r="A72" s="16">
        <v>731</v>
      </c>
      <c r="B72" s="17" t="s">
        <v>304</v>
      </c>
    </row>
    <row r="73" spans="1:2" x14ac:dyDescent="0.25">
      <c r="A73" s="16">
        <v>750</v>
      </c>
      <c r="B73" s="17" t="s">
        <v>305</v>
      </c>
    </row>
    <row r="74" spans="1:2" x14ac:dyDescent="0.25">
      <c r="A74" s="16">
        <v>761</v>
      </c>
      <c r="B74" s="17" t="s">
        <v>306</v>
      </c>
    </row>
    <row r="75" spans="1:2" x14ac:dyDescent="0.25">
      <c r="A75" s="16">
        <v>770</v>
      </c>
      <c r="B75" s="17" t="s">
        <v>307</v>
      </c>
    </row>
    <row r="76" spans="1:2" x14ac:dyDescent="0.25">
      <c r="A76" s="16">
        <v>773</v>
      </c>
      <c r="B76" s="17" t="s">
        <v>308</v>
      </c>
    </row>
    <row r="77" spans="1:2" x14ac:dyDescent="0.25">
      <c r="A77" s="16">
        <v>802</v>
      </c>
      <c r="B77" s="17" t="s">
        <v>309</v>
      </c>
    </row>
    <row r="78" spans="1:2" x14ac:dyDescent="0.25">
      <c r="A78" s="16">
        <v>858</v>
      </c>
      <c r="B78" s="17" t="s">
        <v>310</v>
      </c>
    </row>
    <row r="79" spans="1:2" x14ac:dyDescent="0.25">
      <c r="A79" s="16">
        <v>869</v>
      </c>
      <c r="B79" s="17" t="s">
        <v>311</v>
      </c>
    </row>
    <row r="80" spans="1:2" x14ac:dyDescent="0.25">
      <c r="A80" s="16">
        <v>879</v>
      </c>
      <c r="B80" s="17" t="s">
        <v>312</v>
      </c>
    </row>
    <row r="81" spans="1:2" x14ac:dyDescent="0.25">
      <c r="A81" s="16">
        <v>882</v>
      </c>
      <c r="B81" s="17" t="s">
        <v>313</v>
      </c>
    </row>
    <row r="82" spans="1:2" x14ac:dyDescent="0.25">
      <c r="A82" s="16">
        <v>885</v>
      </c>
      <c r="B82" s="17" t="s">
        <v>314</v>
      </c>
    </row>
    <row r="83" spans="1:2" x14ac:dyDescent="0.25">
      <c r="A83" s="16">
        <v>920</v>
      </c>
      <c r="B83" s="17" t="s">
        <v>315</v>
      </c>
    </row>
    <row r="84" spans="1:2" x14ac:dyDescent="0.25">
      <c r="A84" s="16">
        <v>921</v>
      </c>
      <c r="B84" s="17" t="s">
        <v>316</v>
      </c>
    </row>
    <row r="85" spans="1:2" x14ac:dyDescent="0.25">
      <c r="A85" s="16">
        <v>924</v>
      </c>
      <c r="B85" s="17" t="s">
        <v>317</v>
      </c>
    </row>
    <row r="86" spans="1:2" x14ac:dyDescent="0.25">
      <c r="A86" s="16">
        <v>945</v>
      </c>
      <c r="B86" s="17" t="s">
        <v>318</v>
      </c>
    </row>
    <row r="87" spans="1:2" x14ac:dyDescent="0.25">
      <c r="A87" s="16">
        <v>962</v>
      </c>
      <c r="B87" s="17" t="s">
        <v>319</v>
      </c>
    </row>
    <row r="88" spans="1:2" x14ac:dyDescent="0.25">
      <c r="A88" s="16">
        <v>969</v>
      </c>
      <c r="B88" s="17" t="s">
        <v>320</v>
      </c>
    </row>
    <row r="89" spans="1:2" x14ac:dyDescent="0.25">
      <c r="A89" s="16">
        <v>977</v>
      </c>
      <c r="B89" s="17" t="s">
        <v>321</v>
      </c>
    </row>
    <row r="90" spans="1:2" x14ac:dyDescent="0.25">
      <c r="A90" s="16">
        <v>1003</v>
      </c>
      <c r="B90" s="17" t="s">
        <v>322</v>
      </c>
    </row>
    <row r="91" spans="1:2" x14ac:dyDescent="0.25">
      <c r="A91" s="16">
        <v>1010</v>
      </c>
      <c r="B91" s="17" t="s">
        <v>323</v>
      </c>
    </row>
    <row r="92" spans="1:2" x14ac:dyDescent="0.25">
      <c r="A92" s="16">
        <v>1011</v>
      </c>
      <c r="B92" s="17" t="s">
        <v>324</v>
      </c>
    </row>
    <row r="93" spans="1:2" x14ac:dyDescent="0.25">
      <c r="A93" s="16">
        <v>1012</v>
      </c>
      <c r="B93" s="17" t="s">
        <v>325</v>
      </c>
    </row>
    <row r="94" spans="1:2" x14ac:dyDescent="0.25">
      <c r="A94" s="16">
        <v>1019</v>
      </c>
      <c r="B94" s="17" t="s">
        <v>326</v>
      </c>
    </row>
    <row r="95" spans="1:2" x14ac:dyDescent="0.25">
      <c r="A95" s="16">
        <v>1020</v>
      </c>
      <c r="B95" s="17" t="s">
        <v>327</v>
      </c>
    </row>
    <row r="96" spans="1:2" x14ac:dyDescent="0.25">
      <c r="A96" s="16">
        <v>1025</v>
      </c>
      <c r="B96" s="17" t="s">
        <v>328</v>
      </c>
    </row>
    <row r="97" spans="1:2" x14ac:dyDescent="0.25">
      <c r="A97" s="16">
        <v>1031</v>
      </c>
      <c r="B97" s="17" t="s">
        <v>329</v>
      </c>
    </row>
    <row r="98" spans="1:2" x14ac:dyDescent="0.25">
      <c r="A98" s="16">
        <v>1036</v>
      </c>
      <c r="B98" s="17" t="s">
        <v>330</v>
      </c>
    </row>
    <row r="99" spans="1:2" x14ac:dyDescent="0.25">
      <c r="A99" s="16">
        <v>1045</v>
      </c>
      <c r="B99" s="17" t="s">
        <v>331</v>
      </c>
    </row>
    <row r="100" spans="1:2" x14ac:dyDescent="0.25">
      <c r="A100" s="16">
        <v>1058</v>
      </c>
      <c r="B100" s="17" t="s">
        <v>332</v>
      </c>
    </row>
    <row r="101" spans="1:2" x14ac:dyDescent="0.25">
      <c r="A101" s="16">
        <v>1065</v>
      </c>
      <c r="B101" s="17" t="s">
        <v>333</v>
      </c>
    </row>
    <row r="102" spans="1:2" x14ac:dyDescent="0.25">
      <c r="A102" s="16">
        <v>1087</v>
      </c>
      <c r="B102" s="17" t="s">
        <v>334</v>
      </c>
    </row>
    <row r="103" spans="1:2" x14ac:dyDescent="0.25">
      <c r="A103" s="16">
        <v>1091</v>
      </c>
      <c r="B103" s="17" t="s">
        <v>335</v>
      </c>
    </row>
    <row r="104" spans="1:2" x14ac:dyDescent="0.25">
      <c r="A104" s="16">
        <v>1095</v>
      </c>
      <c r="B104" s="17" t="s">
        <v>336</v>
      </c>
    </row>
    <row r="105" spans="1:2" x14ac:dyDescent="0.25">
      <c r="A105" s="16">
        <v>1100</v>
      </c>
      <c r="B105" s="17" t="s">
        <v>337</v>
      </c>
    </row>
    <row r="106" spans="1:2" x14ac:dyDescent="0.25">
      <c r="A106" s="16">
        <v>1104</v>
      </c>
      <c r="B106" s="17" t="s">
        <v>338</v>
      </c>
    </row>
    <row r="107" spans="1:2" x14ac:dyDescent="0.25">
      <c r="A107" s="16">
        <v>1106</v>
      </c>
      <c r="B107" s="17" t="s">
        <v>339</v>
      </c>
    </row>
    <row r="108" spans="1:2" x14ac:dyDescent="0.25">
      <c r="A108" s="16">
        <v>1113</v>
      </c>
      <c r="B108" s="17" t="s">
        <v>340</v>
      </c>
    </row>
    <row r="109" spans="1:2" x14ac:dyDescent="0.25">
      <c r="A109" s="16">
        <v>1116</v>
      </c>
      <c r="B109" s="17" t="s">
        <v>341</v>
      </c>
    </row>
    <row r="110" spans="1:2" x14ac:dyDescent="0.25">
      <c r="A110" s="16">
        <v>1117</v>
      </c>
      <c r="B110" s="17" t="s">
        <v>342</v>
      </c>
    </row>
    <row r="111" spans="1:2" x14ac:dyDescent="0.25">
      <c r="A111" s="16">
        <v>1118</v>
      </c>
      <c r="B111" s="17" t="s">
        <v>343</v>
      </c>
    </row>
    <row r="112" spans="1:2" x14ac:dyDescent="0.25">
      <c r="A112" s="16">
        <v>1126</v>
      </c>
      <c r="B112" s="17" t="s">
        <v>344</v>
      </c>
    </row>
    <row r="113" spans="1:2" x14ac:dyDescent="0.25">
      <c r="A113" s="16">
        <v>1129</v>
      </c>
      <c r="B113" s="17" t="s">
        <v>345</v>
      </c>
    </row>
    <row r="114" spans="1:2" x14ac:dyDescent="0.25">
      <c r="A114" s="16">
        <v>1133</v>
      </c>
      <c r="B114" s="17" t="s">
        <v>346</v>
      </c>
    </row>
    <row r="115" spans="1:2" x14ac:dyDescent="0.25">
      <c r="A115" s="16">
        <v>1135</v>
      </c>
      <c r="B115" s="17" t="s">
        <v>347</v>
      </c>
    </row>
    <row r="116" spans="1:2" x14ac:dyDescent="0.25">
      <c r="A116" s="16">
        <v>1144</v>
      </c>
      <c r="B116" s="17" t="s">
        <v>348</v>
      </c>
    </row>
    <row r="117" spans="1:2" x14ac:dyDescent="0.25">
      <c r="A117" s="16">
        <v>1146</v>
      </c>
      <c r="B117" s="17" t="s">
        <v>349</v>
      </c>
    </row>
    <row r="118" spans="1:2" x14ac:dyDescent="0.25">
      <c r="A118" s="16">
        <v>1150</v>
      </c>
      <c r="B118" s="17" t="s">
        <v>350</v>
      </c>
    </row>
    <row r="119" spans="1:2" x14ac:dyDescent="0.25">
      <c r="A119" s="16">
        <v>1155</v>
      </c>
      <c r="B119" s="17" t="s">
        <v>351</v>
      </c>
    </row>
    <row r="120" spans="1:2" x14ac:dyDescent="0.25">
      <c r="A120" s="16">
        <v>1173</v>
      </c>
      <c r="B120" s="17" t="s">
        <v>352</v>
      </c>
    </row>
    <row r="121" spans="1:2" x14ac:dyDescent="0.25">
      <c r="A121" s="16">
        <v>1184</v>
      </c>
      <c r="B121" s="17" t="s">
        <v>353</v>
      </c>
    </row>
    <row r="122" spans="1:2" x14ac:dyDescent="0.25">
      <c r="A122" s="16">
        <v>1187</v>
      </c>
      <c r="B122" s="17" t="s">
        <v>354</v>
      </c>
    </row>
    <row r="123" spans="1:2" x14ac:dyDescent="0.25">
      <c r="A123" s="16">
        <v>1193</v>
      </c>
      <c r="B123" s="17" t="s">
        <v>355</v>
      </c>
    </row>
    <row r="124" spans="1:2" x14ac:dyDescent="0.25">
      <c r="A124" s="16">
        <v>1201</v>
      </c>
      <c r="B124" s="17" t="s">
        <v>356</v>
      </c>
    </row>
    <row r="125" spans="1:2" x14ac:dyDescent="0.25">
      <c r="A125" s="16">
        <v>1203</v>
      </c>
      <c r="B125" s="17" t="s">
        <v>357</v>
      </c>
    </row>
    <row r="126" spans="1:2" x14ac:dyDescent="0.25">
      <c r="A126" s="16">
        <v>1216</v>
      </c>
      <c r="B126" s="17" t="s">
        <v>358</v>
      </c>
    </row>
    <row r="127" spans="1:2" x14ac:dyDescent="0.25">
      <c r="A127" s="16">
        <v>1217</v>
      </c>
      <c r="B127" s="17" t="s">
        <v>359</v>
      </c>
    </row>
    <row r="128" spans="1:2" x14ac:dyDescent="0.25">
      <c r="A128" s="16">
        <v>1222</v>
      </c>
      <c r="B128" s="17" t="s">
        <v>360</v>
      </c>
    </row>
    <row r="129" spans="1:2" x14ac:dyDescent="0.25">
      <c r="A129" s="16">
        <v>1234</v>
      </c>
      <c r="B129" s="17" t="s">
        <v>361</v>
      </c>
    </row>
    <row r="130" spans="1:2" x14ac:dyDescent="0.25">
      <c r="A130" s="16">
        <v>1235</v>
      </c>
      <c r="B130" s="17" t="s">
        <v>362</v>
      </c>
    </row>
    <row r="131" spans="1:2" x14ac:dyDescent="0.25">
      <c r="A131" s="16">
        <v>1240</v>
      </c>
      <c r="B131" s="17" t="s">
        <v>363</v>
      </c>
    </row>
    <row r="132" spans="1:2" x14ac:dyDescent="0.25">
      <c r="A132" s="16">
        <v>1241</v>
      </c>
      <c r="B132" s="17" t="s">
        <v>364</v>
      </c>
    </row>
    <row r="133" spans="1:2" x14ac:dyDescent="0.25">
      <c r="A133" s="16">
        <v>1245</v>
      </c>
      <c r="B133" s="17" t="s">
        <v>365</v>
      </c>
    </row>
    <row r="134" spans="1:2" x14ac:dyDescent="0.25">
      <c r="A134" s="16">
        <v>1246</v>
      </c>
      <c r="B134" s="17" t="s">
        <v>366</v>
      </c>
    </row>
    <row r="135" spans="1:2" x14ac:dyDescent="0.25">
      <c r="A135" s="16">
        <v>1248</v>
      </c>
      <c r="B135" s="17" t="s">
        <v>367</v>
      </c>
    </row>
    <row r="136" spans="1:2" x14ac:dyDescent="0.25">
      <c r="A136" s="16">
        <v>1250</v>
      </c>
      <c r="B136" s="17" t="s">
        <v>368</v>
      </c>
    </row>
    <row r="137" spans="1:2" x14ac:dyDescent="0.25">
      <c r="A137" s="16">
        <v>1254</v>
      </c>
      <c r="B137" s="17" t="s">
        <v>369</v>
      </c>
    </row>
    <row r="138" spans="1:2" x14ac:dyDescent="0.25">
      <c r="A138" s="16">
        <v>1279</v>
      </c>
      <c r="B138" s="17" t="s">
        <v>370</v>
      </c>
    </row>
    <row r="139" spans="1:2" x14ac:dyDescent="0.25">
      <c r="A139" s="16">
        <v>1291</v>
      </c>
      <c r="B139" s="17" t="s">
        <v>371</v>
      </c>
    </row>
    <row r="140" spans="1:2" x14ac:dyDescent="0.25">
      <c r="A140" s="16">
        <v>1294</v>
      </c>
      <c r="B140" s="17" t="s">
        <v>372</v>
      </c>
    </row>
    <row r="141" spans="1:2" x14ac:dyDescent="0.25">
      <c r="A141" s="16">
        <v>1301</v>
      </c>
      <c r="B141" s="17" t="s">
        <v>373</v>
      </c>
    </row>
    <row r="142" spans="1:2" x14ac:dyDescent="0.25">
      <c r="A142" s="16">
        <v>1303</v>
      </c>
      <c r="B142" s="17" t="s">
        <v>374</v>
      </c>
    </row>
    <row r="143" spans="1:2" x14ac:dyDescent="0.25">
      <c r="A143" s="16">
        <v>1305</v>
      </c>
      <c r="B143" s="17" t="s">
        <v>375</v>
      </c>
    </row>
    <row r="144" spans="1:2" x14ac:dyDescent="0.25">
      <c r="A144" s="16">
        <v>1306</v>
      </c>
      <c r="B144" s="17" t="s">
        <v>376</v>
      </c>
    </row>
    <row r="145" spans="1:2" x14ac:dyDescent="0.25">
      <c r="A145" s="16">
        <v>1315</v>
      </c>
      <c r="B145" s="17" t="s">
        <v>377</v>
      </c>
    </row>
    <row r="146" spans="1:2" x14ac:dyDescent="0.25">
      <c r="A146" s="16">
        <v>1343</v>
      </c>
      <c r="B146" s="17" t="s">
        <v>378</v>
      </c>
    </row>
    <row r="147" spans="1:2" x14ac:dyDescent="0.25">
      <c r="A147" s="16">
        <v>1344</v>
      </c>
      <c r="B147" s="17" t="s">
        <v>379</v>
      </c>
    </row>
    <row r="148" spans="1:2" x14ac:dyDescent="0.25">
      <c r="A148" s="16">
        <v>1353</v>
      </c>
      <c r="B148" s="17" t="s">
        <v>380</v>
      </c>
    </row>
    <row r="149" spans="1:2" x14ac:dyDescent="0.25">
      <c r="A149" s="16">
        <v>1356</v>
      </c>
      <c r="B149" s="17" t="s">
        <v>381</v>
      </c>
    </row>
    <row r="150" spans="1:2" x14ac:dyDescent="0.25">
      <c r="A150" s="16">
        <v>1361</v>
      </c>
      <c r="B150" s="17" t="s">
        <v>382</v>
      </c>
    </row>
    <row r="151" spans="1:2" x14ac:dyDescent="0.25">
      <c r="A151" s="16">
        <v>1368</v>
      </c>
      <c r="B151" s="17" t="s">
        <v>383</v>
      </c>
    </row>
    <row r="152" spans="1:2" x14ac:dyDescent="0.25">
      <c r="A152" s="16">
        <v>1369</v>
      </c>
      <c r="B152" s="17" t="s">
        <v>384</v>
      </c>
    </row>
    <row r="153" spans="1:2" x14ac:dyDescent="0.25">
      <c r="A153" s="16">
        <v>1378</v>
      </c>
      <c r="B153" s="17" t="s">
        <v>385</v>
      </c>
    </row>
    <row r="154" spans="1:2" x14ac:dyDescent="0.25">
      <c r="A154" s="16">
        <v>1386</v>
      </c>
      <c r="B154" s="17" t="s">
        <v>386</v>
      </c>
    </row>
    <row r="155" spans="1:2" x14ac:dyDescent="0.25">
      <c r="A155" s="16">
        <v>1390</v>
      </c>
      <c r="B155" s="17" t="s">
        <v>387</v>
      </c>
    </row>
    <row r="156" spans="1:2" x14ac:dyDescent="0.25">
      <c r="A156" s="16">
        <v>1391</v>
      </c>
      <c r="B156" s="17" t="s">
        <v>388</v>
      </c>
    </row>
    <row r="157" spans="1:2" x14ac:dyDescent="0.25">
      <c r="A157" s="16">
        <v>1420</v>
      </c>
      <c r="B157" s="17" t="s">
        <v>389</v>
      </c>
    </row>
    <row r="158" spans="1:2" x14ac:dyDescent="0.25">
      <c r="A158" s="16">
        <v>1421</v>
      </c>
      <c r="B158" s="17" t="s">
        <v>390</v>
      </c>
    </row>
    <row r="159" spans="1:2" x14ac:dyDescent="0.25">
      <c r="A159" s="16">
        <v>1425</v>
      </c>
      <c r="B159" s="17" t="s">
        <v>391</v>
      </c>
    </row>
    <row r="160" spans="1:2" x14ac:dyDescent="0.25">
      <c r="A160" s="16">
        <v>1436</v>
      </c>
      <c r="B160" s="17" t="s">
        <v>392</v>
      </c>
    </row>
    <row r="161" spans="1:2" x14ac:dyDescent="0.25">
      <c r="A161" s="16">
        <v>1437</v>
      </c>
      <c r="B161" s="17" t="s">
        <v>393</v>
      </c>
    </row>
    <row r="162" spans="1:2" x14ac:dyDescent="0.25">
      <c r="A162" s="16">
        <v>1439</v>
      </c>
      <c r="B162" s="17" t="s">
        <v>394</v>
      </c>
    </row>
    <row r="163" spans="1:2" x14ac:dyDescent="0.25">
      <c r="A163" s="16">
        <v>1441</v>
      </c>
      <c r="B163" s="17" t="s">
        <v>395</v>
      </c>
    </row>
    <row r="164" spans="1:2" x14ac:dyDescent="0.25">
      <c r="A164" s="16">
        <v>1442</v>
      </c>
      <c r="B164" s="17" t="s">
        <v>396</v>
      </c>
    </row>
    <row r="165" spans="1:2" x14ac:dyDescent="0.25">
      <c r="A165" s="16">
        <v>1446</v>
      </c>
      <c r="B165" s="17" t="s">
        <v>397</v>
      </c>
    </row>
    <row r="166" spans="1:2" x14ac:dyDescent="0.25">
      <c r="A166" s="16">
        <v>1447</v>
      </c>
      <c r="B166" s="17" t="s">
        <v>398</v>
      </c>
    </row>
    <row r="167" spans="1:2" x14ac:dyDescent="0.25">
      <c r="A167" s="16">
        <v>1448</v>
      </c>
      <c r="B167" s="17" t="s">
        <v>399</v>
      </c>
    </row>
    <row r="168" spans="1:2" x14ac:dyDescent="0.25">
      <c r="A168" s="16">
        <v>1462</v>
      </c>
      <c r="B168" s="17" t="s">
        <v>400</v>
      </c>
    </row>
    <row r="169" spans="1:2" x14ac:dyDescent="0.25">
      <c r="A169" s="16">
        <v>1465</v>
      </c>
      <c r="B169" s="17" t="s">
        <v>401</v>
      </c>
    </row>
    <row r="170" spans="1:2" x14ac:dyDescent="0.25">
      <c r="A170" s="16">
        <v>1475</v>
      </c>
      <c r="B170" s="17" t="s">
        <v>402</v>
      </c>
    </row>
    <row r="171" spans="1:2" x14ac:dyDescent="0.25">
      <c r="A171" s="16">
        <v>1476</v>
      </c>
      <c r="B171" s="17" t="s">
        <v>403</v>
      </c>
    </row>
    <row r="172" spans="1:2" x14ac:dyDescent="0.25">
      <c r="A172" s="16">
        <v>1481</v>
      </c>
      <c r="B172" s="17" t="s">
        <v>404</v>
      </c>
    </row>
    <row r="173" spans="1:2" x14ac:dyDescent="0.25">
      <c r="A173" s="16">
        <v>1487</v>
      </c>
      <c r="B173" s="17" t="s">
        <v>405</v>
      </c>
    </row>
    <row r="174" spans="1:2" x14ac:dyDescent="0.25">
      <c r="A174" s="16">
        <v>1499</v>
      </c>
      <c r="B174" s="17" t="s">
        <v>406</v>
      </c>
    </row>
    <row r="175" spans="1:2" x14ac:dyDescent="0.25">
      <c r="A175" s="16">
        <v>1500</v>
      </c>
      <c r="B175" s="17" t="s">
        <v>407</v>
      </c>
    </row>
    <row r="176" spans="1:2" x14ac:dyDescent="0.25">
      <c r="A176" s="16">
        <v>1503</v>
      </c>
      <c r="B176" s="17" t="s">
        <v>408</v>
      </c>
    </row>
    <row r="177" spans="1:2" x14ac:dyDescent="0.25">
      <c r="A177" s="16">
        <v>1504</v>
      </c>
      <c r="B177" s="17" t="s">
        <v>409</v>
      </c>
    </row>
    <row r="178" spans="1:2" x14ac:dyDescent="0.25">
      <c r="A178" s="16">
        <v>1510</v>
      </c>
      <c r="B178" s="17" t="s">
        <v>410</v>
      </c>
    </row>
    <row r="179" spans="1:2" x14ac:dyDescent="0.25">
      <c r="A179" s="16">
        <v>1519</v>
      </c>
      <c r="B179" s="17" t="s">
        <v>411</v>
      </c>
    </row>
    <row r="180" spans="1:2" x14ac:dyDescent="0.25">
      <c r="A180" s="16">
        <v>1527</v>
      </c>
      <c r="B180" s="17" t="s">
        <v>412</v>
      </c>
    </row>
    <row r="181" spans="1:2" x14ac:dyDescent="0.25">
      <c r="A181" s="16">
        <v>1536</v>
      </c>
      <c r="B181" s="17" t="s">
        <v>413</v>
      </c>
    </row>
    <row r="182" spans="1:2" x14ac:dyDescent="0.25">
      <c r="A182" s="16">
        <v>1544</v>
      </c>
      <c r="B182" s="17" t="s">
        <v>414</v>
      </c>
    </row>
    <row r="183" spans="1:2" x14ac:dyDescent="0.25">
      <c r="A183" s="16">
        <v>1558</v>
      </c>
      <c r="B183" s="17" t="s">
        <v>415</v>
      </c>
    </row>
    <row r="184" spans="1:2" x14ac:dyDescent="0.25">
      <c r="A184" s="16">
        <v>1559</v>
      </c>
      <c r="B184" s="17" t="s">
        <v>416</v>
      </c>
    </row>
    <row r="185" spans="1:2" x14ac:dyDescent="0.25">
      <c r="A185" s="16">
        <v>1561</v>
      </c>
      <c r="B185" s="17" t="s">
        <v>417</v>
      </c>
    </row>
    <row r="186" spans="1:2" x14ac:dyDescent="0.25">
      <c r="A186" s="16">
        <v>1563</v>
      </c>
      <c r="B186" s="17" t="s">
        <v>418</v>
      </c>
    </row>
    <row r="187" spans="1:2" x14ac:dyDescent="0.25">
      <c r="A187" s="16">
        <v>1566</v>
      </c>
      <c r="B187" s="17" t="s">
        <v>419</v>
      </c>
    </row>
    <row r="188" spans="1:2" x14ac:dyDescent="0.25">
      <c r="A188" s="16">
        <v>1574</v>
      </c>
      <c r="B188" s="17" t="s">
        <v>420</v>
      </c>
    </row>
    <row r="189" spans="1:2" x14ac:dyDescent="0.25">
      <c r="A189" s="16">
        <v>1576</v>
      </c>
      <c r="B189" s="17" t="s">
        <v>421</v>
      </c>
    </row>
    <row r="190" spans="1:2" x14ac:dyDescent="0.25">
      <c r="A190" s="16">
        <v>1584</v>
      </c>
      <c r="B190" s="17" t="s">
        <v>422</v>
      </c>
    </row>
    <row r="191" spans="1:2" x14ac:dyDescent="0.25">
      <c r="A191" s="16">
        <v>1586</v>
      </c>
      <c r="B191" s="17" t="s">
        <v>423</v>
      </c>
    </row>
    <row r="192" spans="1:2" x14ac:dyDescent="0.25">
      <c r="A192" s="16">
        <v>1590</v>
      </c>
      <c r="B192" s="17" t="s">
        <v>424</v>
      </c>
    </row>
    <row r="193" spans="1:2" x14ac:dyDescent="0.25">
      <c r="A193" s="16">
        <v>1591</v>
      </c>
      <c r="B193" s="17" t="s">
        <v>425</v>
      </c>
    </row>
    <row r="194" spans="1:2" x14ac:dyDescent="0.25">
      <c r="A194" s="16">
        <v>1594</v>
      </c>
      <c r="B194" s="17" t="s">
        <v>426</v>
      </c>
    </row>
    <row r="195" spans="1:2" x14ac:dyDescent="0.25">
      <c r="A195" s="16">
        <v>1599</v>
      </c>
      <c r="B195" s="17" t="s">
        <v>427</v>
      </c>
    </row>
    <row r="196" spans="1:2" x14ac:dyDescent="0.25">
      <c r="A196" s="16">
        <v>1601</v>
      </c>
      <c r="B196" s="17" t="s">
        <v>428</v>
      </c>
    </row>
    <row r="197" spans="1:2" x14ac:dyDescent="0.25">
      <c r="A197" s="16">
        <v>1605</v>
      </c>
      <c r="B197" s="17" t="s">
        <v>429</v>
      </c>
    </row>
    <row r="198" spans="1:2" x14ac:dyDescent="0.25">
      <c r="A198" s="16">
        <v>1607</v>
      </c>
      <c r="B198" s="17" t="s">
        <v>430</v>
      </c>
    </row>
    <row r="199" spans="1:2" x14ac:dyDescent="0.25">
      <c r="A199" s="16">
        <v>1610</v>
      </c>
      <c r="B199" s="17" t="s">
        <v>431</v>
      </c>
    </row>
    <row r="200" spans="1:2" x14ac:dyDescent="0.25">
      <c r="A200" s="16">
        <v>1611</v>
      </c>
      <c r="B200" s="17" t="s">
        <v>432</v>
      </c>
    </row>
    <row r="201" spans="1:2" x14ac:dyDescent="0.25">
      <c r="A201" s="16">
        <v>1613</v>
      </c>
      <c r="B201" s="17" t="s">
        <v>433</v>
      </c>
    </row>
    <row r="202" spans="1:2" x14ac:dyDescent="0.25">
      <c r="A202" s="16">
        <v>1616</v>
      </c>
      <c r="B202" s="17" t="s">
        <v>434</v>
      </c>
    </row>
    <row r="203" spans="1:2" x14ac:dyDescent="0.25">
      <c r="A203" s="16">
        <v>1628</v>
      </c>
      <c r="B203" s="17" t="s">
        <v>435</v>
      </c>
    </row>
    <row r="204" spans="1:2" x14ac:dyDescent="0.25">
      <c r="A204" s="16">
        <v>1633</v>
      </c>
      <c r="B204" s="17" t="s">
        <v>436</v>
      </c>
    </row>
    <row r="205" spans="1:2" x14ac:dyDescent="0.25">
      <c r="A205" s="16">
        <v>1636</v>
      </c>
      <c r="B205" s="17" t="s">
        <v>437</v>
      </c>
    </row>
    <row r="206" spans="1:2" x14ac:dyDescent="0.25">
      <c r="A206" s="16">
        <v>1643</v>
      </c>
      <c r="B206" s="17" t="s">
        <v>438</v>
      </c>
    </row>
    <row r="207" spans="1:2" x14ac:dyDescent="0.25">
      <c r="A207" s="16">
        <v>1644</v>
      </c>
      <c r="B207" s="17" t="s">
        <v>439</v>
      </c>
    </row>
    <row r="208" spans="1:2" x14ac:dyDescent="0.25">
      <c r="A208" s="16">
        <v>1645</v>
      </c>
      <c r="B208" s="17" t="s">
        <v>440</v>
      </c>
    </row>
    <row r="209" spans="1:2" x14ac:dyDescent="0.25">
      <c r="A209" s="16">
        <v>1650</v>
      </c>
      <c r="B209" s="17" t="s">
        <v>441</v>
      </c>
    </row>
    <row r="210" spans="1:2" x14ac:dyDescent="0.25">
      <c r="A210" s="16">
        <v>1652</v>
      </c>
      <c r="B210" s="17" t="s">
        <v>442</v>
      </c>
    </row>
    <row r="211" spans="1:2" x14ac:dyDescent="0.25">
      <c r="A211" s="16">
        <v>1657</v>
      </c>
      <c r="B211" s="17" t="s">
        <v>443</v>
      </c>
    </row>
    <row r="212" spans="1:2" x14ac:dyDescent="0.25">
      <c r="A212" s="16">
        <v>1658</v>
      </c>
      <c r="B212" s="17" t="s">
        <v>444</v>
      </c>
    </row>
    <row r="213" spans="1:2" x14ac:dyDescent="0.25">
      <c r="A213" s="16">
        <v>1660</v>
      </c>
      <c r="B213" s="17" t="s">
        <v>445</v>
      </c>
    </row>
    <row r="214" spans="1:2" x14ac:dyDescent="0.25">
      <c r="A214" s="16">
        <v>1668</v>
      </c>
      <c r="B214" s="17" t="s">
        <v>446</v>
      </c>
    </row>
    <row r="215" spans="1:2" x14ac:dyDescent="0.25">
      <c r="A215" s="16">
        <v>1670</v>
      </c>
      <c r="B215" s="17" t="s">
        <v>447</v>
      </c>
    </row>
    <row r="216" spans="1:2" x14ac:dyDescent="0.25">
      <c r="A216" s="16">
        <v>1671</v>
      </c>
      <c r="B216" s="17" t="s">
        <v>448</v>
      </c>
    </row>
    <row r="217" spans="1:2" x14ac:dyDescent="0.25">
      <c r="A217" s="16">
        <v>1674</v>
      </c>
      <c r="B217" s="17" t="s">
        <v>449</v>
      </c>
    </row>
    <row r="218" spans="1:2" x14ac:dyDescent="0.25">
      <c r="A218" s="16">
        <v>1677</v>
      </c>
      <c r="B218" s="17" t="s">
        <v>450</v>
      </c>
    </row>
    <row r="219" spans="1:2" x14ac:dyDescent="0.25">
      <c r="A219" s="16">
        <v>1681</v>
      </c>
      <c r="B219" s="17" t="s">
        <v>451</v>
      </c>
    </row>
    <row r="220" spans="1:2" x14ac:dyDescent="0.25">
      <c r="A220" s="16">
        <v>1682</v>
      </c>
      <c r="B220" s="17" t="s">
        <v>452</v>
      </c>
    </row>
    <row r="221" spans="1:2" x14ac:dyDescent="0.25">
      <c r="A221" s="16">
        <v>1683</v>
      </c>
      <c r="B221" s="17" t="s">
        <v>453</v>
      </c>
    </row>
    <row r="222" spans="1:2" x14ac:dyDescent="0.25">
      <c r="A222" s="16">
        <v>1684</v>
      </c>
      <c r="B222" s="17" t="s">
        <v>454</v>
      </c>
    </row>
    <row r="223" spans="1:2" x14ac:dyDescent="0.25">
      <c r="A223" s="16">
        <v>1686</v>
      </c>
      <c r="B223" s="17" t="s">
        <v>455</v>
      </c>
    </row>
    <row r="224" spans="1:2" x14ac:dyDescent="0.25">
      <c r="A224" s="16">
        <v>1690</v>
      </c>
      <c r="B224" s="17" t="s">
        <v>456</v>
      </c>
    </row>
    <row r="225" spans="1:2" x14ac:dyDescent="0.25">
      <c r="A225" s="16">
        <v>1693</v>
      </c>
      <c r="B225" s="17" t="s">
        <v>457</v>
      </c>
    </row>
    <row r="226" spans="1:2" x14ac:dyDescent="0.25">
      <c r="A226" s="16">
        <v>1694</v>
      </c>
      <c r="B226" s="17" t="s">
        <v>458</v>
      </c>
    </row>
    <row r="227" spans="1:2" x14ac:dyDescent="0.25">
      <c r="A227" s="16">
        <v>1696</v>
      </c>
      <c r="B227" s="17" t="s">
        <v>459</v>
      </c>
    </row>
    <row r="228" spans="1:2" x14ac:dyDescent="0.25">
      <c r="A228" s="16">
        <v>1700</v>
      </c>
      <c r="B228" s="17" t="s">
        <v>460</v>
      </c>
    </row>
    <row r="229" spans="1:2" x14ac:dyDescent="0.25">
      <c r="A229" s="16">
        <v>1702</v>
      </c>
      <c r="B229" s="17" t="s">
        <v>461</v>
      </c>
    </row>
    <row r="230" spans="1:2" x14ac:dyDescent="0.25">
      <c r="A230" s="16">
        <v>1703</v>
      </c>
      <c r="B230" s="17" t="s">
        <v>462</v>
      </c>
    </row>
    <row r="231" spans="1:2" x14ac:dyDescent="0.25">
      <c r="A231" s="16">
        <v>1704</v>
      </c>
      <c r="B231" s="17" t="s">
        <v>463</v>
      </c>
    </row>
    <row r="232" spans="1:2" x14ac:dyDescent="0.25">
      <c r="A232" s="16">
        <v>1706</v>
      </c>
      <c r="B232" s="17" t="s">
        <v>464</v>
      </c>
    </row>
    <row r="233" spans="1:2" x14ac:dyDescent="0.25">
      <c r="A233" s="16">
        <v>1708</v>
      </c>
      <c r="B233" s="17" t="s">
        <v>465</v>
      </c>
    </row>
    <row r="234" spans="1:2" x14ac:dyDescent="0.25">
      <c r="A234" s="16">
        <v>1709</v>
      </c>
      <c r="B234" s="17" t="s">
        <v>466</v>
      </c>
    </row>
    <row r="235" spans="1:2" x14ac:dyDescent="0.25">
      <c r="A235" s="16">
        <v>1712</v>
      </c>
      <c r="B235" s="17" t="s">
        <v>467</v>
      </c>
    </row>
    <row r="236" spans="1:2" x14ac:dyDescent="0.25">
      <c r="A236" s="16">
        <v>1716</v>
      </c>
      <c r="B236" s="17" t="s">
        <v>468</v>
      </c>
    </row>
    <row r="237" spans="1:2" x14ac:dyDescent="0.25">
      <c r="A237" s="16">
        <v>1719</v>
      </c>
      <c r="B237" s="17" t="s">
        <v>469</v>
      </c>
    </row>
    <row r="238" spans="1:2" x14ac:dyDescent="0.25">
      <c r="A238" s="16">
        <v>1721</v>
      </c>
      <c r="B238" s="17" t="s">
        <v>470</v>
      </c>
    </row>
    <row r="239" spans="1:2" x14ac:dyDescent="0.25">
      <c r="A239" s="16">
        <v>1723</v>
      </c>
      <c r="B239" s="17" t="s">
        <v>471</v>
      </c>
    </row>
    <row r="240" spans="1:2" x14ac:dyDescent="0.25">
      <c r="A240" s="16">
        <v>1724</v>
      </c>
      <c r="B240" s="17" t="s">
        <v>472</v>
      </c>
    </row>
    <row r="241" spans="1:2" x14ac:dyDescent="0.25">
      <c r="A241" s="16">
        <v>1725</v>
      </c>
      <c r="B241" s="17" t="s">
        <v>473</v>
      </c>
    </row>
    <row r="242" spans="1:2" x14ac:dyDescent="0.25">
      <c r="A242" s="16">
        <v>1731</v>
      </c>
      <c r="B242" s="17" t="s">
        <v>474</v>
      </c>
    </row>
    <row r="243" spans="1:2" x14ac:dyDescent="0.25">
      <c r="A243" s="16">
        <v>1732</v>
      </c>
      <c r="B243" s="17" t="s">
        <v>475</v>
      </c>
    </row>
    <row r="244" spans="1:2" x14ac:dyDescent="0.25">
      <c r="A244" s="16">
        <v>1736</v>
      </c>
      <c r="B244" s="17" t="s">
        <v>476</v>
      </c>
    </row>
    <row r="245" spans="1:2" x14ac:dyDescent="0.25">
      <c r="A245" s="16">
        <v>1740</v>
      </c>
      <c r="B245" s="17" t="s">
        <v>477</v>
      </c>
    </row>
    <row r="246" spans="1:2" x14ac:dyDescent="0.25">
      <c r="A246" s="16">
        <v>1744</v>
      </c>
      <c r="B246" s="17" t="s">
        <v>478</v>
      </c>
    </row>
    <row r="247" spans="1:2" x14ac:dyDescent="0.25">
      <c r="A247" s="16">
        <v>1747</v>
      </c>
      <c r="B247" s="17" t="s">
        <v>479</v>
      </c>
    </row>
    <row r="248" spans="1:2" x14ac:dyDescent="0.25">
      <c r="A248" s="16">
        <v>1750</v>
      </c>
      <c r="B248" s="17" t="s">
        <v>480</v>
      </c>
    </row>
    <row r="249" spans="1:2" x14ac:dyDescent="0.25">
      <c r="A249" s="16">
        <v>1752</v>
      </c>
      <c r="B249" s="17" t="s">
        <v>481</v>
      </c>
    </row>
    <row r="250" spans="1:2" x14ac:dyDescent="0.25">
      <c r="A250" s="16">
        <v>1756</v>
      </c>
      <c r="B250" s="17" t="s">
        <v>482</v>
      </c>
    </row>
    <row r="251" spans="1:2" x14ac:dyDescent="0.25">
      <c r="A251" s="16">
        <v>1759</v>
      </c>
      <c r="B251" s="17" t="s">
        <v>483</v>
      </c>
    </row>
    <row r="252" spans="1:2" x14ac:dyDescent="0.25">
      <c r="A252" s="16">
        <v>1760</v>
      </c>
      <c r="B252" s="17" t="s">
        <v>484</v>
      </c>
    </row>
    <row r="253" spans="1:2" x14ac:dyDescent="0.25">
      <c r="A253" s="16">
        <v>1762</v>
      </c>
      <c r="B253" s="17" t="s">
        <v>485</v>
      </c>
    </row>
    <row r="254" spans="1:2" x14ac:dyDescent="0.25">
      <c r="A254" s="16">
        <v>1764</v>
      </c>
      <c r="B254" s="17" t="s">
        <v>486</v>
      </c>
    </row>
    <row r="255" spans="1:2" x14ac:dyDescent="0.25">
      <c r="A255" s="16">
        <v>1765</v>
      </c>
      <c r="B255" s="17" t="s">
        <v>487</v>
      </c>
    </row>
    <row r="256" spans="1:2" x14ac:dyDescent="0.25">
      <c r="A256" s="16">
        <v>1769</v>
      </c>
      <c r="B256" s="17" t="s">
        <v>488</v>
      </c>
    </row>
    <row r="257" spans="1:2" x14ac:dyDescent="0.25">
      <c r="A257" s="16">
        <v>1770</v>
      </c>
      <c r="B257" s="17" t="s">
        <v>489</v>
      </c>
    </row>
    <row r="258" spans="1:2" x14ac:dyDescent="0.25">
      <c r="A258" s="16">
        <v>1771</v>
      </c>
      <c r="B258" s="17" t="s">
        <v>490</v>
      </c>
    </row>
    <row r="259" spans="1:2" x14ac:dyDescent="0.25">
      <c r="A259" s="16">
        <v>1773</v>
      </c>
      <c r="B259" s="17" t="s">
        <v>491</v>
      </c>
    </row>
    <row r="260" spans="1:2" x14ac:dyDescent="0.25">
      <c r="A260" s="16">
        <v>1779</v>
      </c>
      <c r="B260" s="17" t="s">
        <v>492</v>
      </c>
    </row>
    <row r="261" spans="1:2" x14ac:dyDescent="0.25">
      <c r="A261" s="16">
        <v>1781</v>
      </c>
      <c r="B261" s="17" t="s">
        <v>493</v>
      </c>
    </row>
    <row r="262" spans="1:2" x14ac:dyDescent="0.25">
      <c r="A262" s="16">
        <v>1782</v>
      </c>
      <c r="B262" s="17" t="s">
        <v>494</v>
      </c>
    </row>
    <row r="263" spans="1:2" x14ac:dyDescent="0.25">
      <c r="A263" s="16">
        <v>1785</v>
      </c>
      <c r="B263" s="17" t="s">
        <v>495</v>
      </c>
    </row>
    <row r="264" spans="1:2" x14ac:dyDescent="0.25">
      <c r="A264" s="16">
        <v>1786</v>
      </c>
      <c r="B264" s="17" t="s">
        <v>496</v>
      </c>
    </row>
    <row r="265" spans="1:2" x14ac:dyDescent="0.25">
      <c r="A265" s="16">
        <v>1789</v>
      </c>
      <c r="B265" s="17" t="s">
        <v>497</v>
      </c>
    </row>
    <row r="266" spans="1:2" x14ac:dyDescent="0.25">
      <c r="A266" s="16">
        <v>1792</v>
      </c>
      <c r="B266" s="17" t="s">
        <v>498</v>
      </c>
    </row>
    <row r="267" spans="1:2" x14ac:dyDescent="0.25">
      <c r="A267" s="16">
        <v>1794</v>
      </c>
      <c r="B267" s="17" t="s">
        <v>499</v>
      </c>
    </row>
    <row r="268" spans="1:2" x14ac:dyDescent="0.25">
      <c r="A268" s="16">
        <v>1795</v>
      </c>
      <c r="B268" s="17" t="s">
        <v>500</v>
      </c>
    </row>
    <row r="269" spans="1:2" x14ac:dyDescent="0.25">
      <c r="A269" s="16">
        <v>1796</v>
      </c>
      <c r="B269" s="17" t="s">
        <v>501</v>
      </c>
    </row>
    <row r="270" spans="1:2" x14ac:dyDescent="0.25">
      <c r="A270" s="16">
        <v>1798</v>
      </c>
      <c r="B270" s="17" t="s">
        <v>502</v>
      </c>
    </row>
    <row r="271" spans="1:2" x14ac:dyDescent="0.25">
      <c r="A271" s="16">
        <v>1800</v>
      </c>
      <c r="B271" s="17" t="s">
        <v>503</v>
      </c>
    </row>
    <row r="272" spans="1:2" x14ac:dyDescent="0.25">
      <c r="A272" s="16">
        <v>1801</v>
      </c>
      <c r="B272" s="17" t="s">
        <v>504</v>
      </c>
    </row>
    <row r="273" spans="1:2" x14ac:dyDescent="0.25">
      <c r="A273" s="16">
        <v>1803</v>
      </c>
      <c r="B273" s="17" t="s">
        <v>505</v>
      </c>
    </row>
    <row r="274" spans="1:2" x14ac:dyDescent="0.25">
      <c r="A274" s="16">
        <v>1804</v>
      </c>
      <c r="B274" s="17" t="s">
        <v>506</v>
      </c>
    </row>
    <row r="275" spans="1:2" x14ac:dyDescent="0.25">
      <c r="A275" s="16">
        <v>1807</v>
      </c>
      <c r="B275" s="17" t="s">
        <v>507</v>
      </c>
    </row>
    <row r="276" spans="1:2" x14ac:dyDescent="0.25">
      <c r="A276" s="16">
        <v>1809</v>
      </c>
      <c r="B276" s="17" t="s">
        <v>508</v>
      </c>
    </row>
    <row r="277" spans="1:2" x14ac:dyDescent="0.25">
      <c r="A277" s="16">
        <v>1812</v>
      </c>
      <c r="B277" s="17" t="s">
        <v>509</v>
      </c>
    </row>
    <row r="278" spans="1:2" x14ac:dyDescent="0.25">
      <c r="A278" s="16">
        <v>1815</v>
      </c>
      <c r="B278" s="17" t="s">
        <v>510</v>
      </c>
    </row>
    <row r="279" spans="1:2" x14ac:dyDescent="0.25">
      <c r="A279" s="16">
        <v>1816</v>
      </c>
      <c r="B279" s="17" t="s">
        <v>511</v>
      </c>
    </row>
    <row r="280" spans="1:2" x14ac:dyDescent="0.25">
      <c r="A280" s="16">
        <v>1818</v>
      </c>
      <c r="B280" s="17" t="s">
        <v>512</v>
      </c>
    </row>
    <row r="281" spans="1:2" x14ac:dyDescent="0.25">
      <c r="A281" s="16">
        <v>1820</v>
      </c>
      <c r="B281" s="17" t="s">
        <v>513</v>
      </c>
    </row>
    <row r="282" spans="1:2" x14ac:dyDescent="0.25">
      <c r="A282" s="16">
        <v>1828</v>
      </c>
      <c r="B282" s="17" t="s">
        <v>514</v>
      </c>
    </row>
    <row r="283" spans="1:2" x14ac:dyDescent="0.25">
      <c r="A283" s="16">
        <v>1834</v>
      </c>
      <c r="B283" s="17" t="s">
        <v>515</v>
      </c>
    </row>
    <row r="284" spans="1:2" x14ac:dyDescent="0.25">
      <c r="A284" s="16">
        <v>1836</v>
      </c>
      <c r="B284" s="17" t="s">
        <v>516</v>
      </c>
    </row>
    <row r="285" spans="1:2" x14ac:dyDescent="0.25">
      <c r="A285" s="16">
        <v>1837</v>
      </c>
      <c r="B285" s="17" t="s">
        <v>517</v>
      </c>
    </row>
    <row r="286" spans="1:2" x14ac:dyDescent="0.25">
      <c r="A286" s="16">
        <v>1841</v>
      </c>
      <c r="B286" s="17" t="s">
        <v>518</v>
      </c>
    </row>
    <row r="287" spans="1:2" x14ac:dyDescent="0.25">
      <c r="A287" s="16">
        <v>1845</v>
      </c>
      <c r="B287" s="17" t="s">
        <v>519</v>
      </c>
    </row>
    <row r="288" spans="1:2" x14ac:dyDescent="0.25">
      <c r="A288" s="16">
        <v>1846</v>
      </c>
      <c r="B288" s="17" t="s">
        <v>520</v>
      </c>
    </row>
    <row r="289" spans="1:2" x14ac:dyDescent="0.25">
      <c r="A289" s="16">
        <v>1850</v>
      </c>
      <c r="B289" s="17" t="s">
        <v>521</v>
      </c>
    </row>
    <row r="290" spans="1:2" x14ac:dyDescent="0.25">
      <c r="A290" s="16">
        <v>1851</v>
      </c>
      <c r="B290" s="17" t="s">
        <v>522</v>
      </c>
    </row>
    <row r="291" spans="1:2" x14ac:dyDescent="0.25">
      <c r="A291" s="16">
        <v>1852</v>
      </c>
      <c r="B291" s="17" t="s">
        <v>523</v>
      </c>
    </row>
    <row r="292" spans="1:2" x14ac:dyDescent="0.25">
      <c r="A292" s="16">
        <v>1853</v>
      </c>
      <c r="B292" s="17" t="s">
        <v>524</v>
      </c>
    </row>
    <row r="293" spans="1:2" x14ac:dyDescent="0.25">
      <c r="A293" s="16">
        <v>1855</v>
      </c>
      <c r="B293" s="17" t="s">
        <v>525</v>
      </c>
    </row>
    <row r="294" spans="1:2" x14ac:dyDescent="0.25">
      <c r="A294" s="16">
        <v>1861</v>
      </c>
      <c r="B294" s="17" t="s">
        <v>526</v>
      </c>
    </row>
    <row r="295" spans="1:2" x14ac:dyDescent="0.25">
      <c r="A295" s="16">
        <v>1864</v>
      </c>
      <c r="B295" s="17" t="s">
        <v>527</v>
      </c>
    </row>
    <row r="296" spans="1:2" x14ac:dyDescent="0.25">
      <c r="A296" s="16">
        <v>1865</v>
      </c>
      <c r="B296" s="17" t="s">
        <v>528</v>
      </c>
    </row>
    <row r="297" spans="1:2" x14ac:dyDescent="0.25">
      <c r="A297" s="16">
        <v>1868</v>
      </c>
      <c r="B297" s="17" t="s">
        <v>529</v>
      </c>
    </row>
    <row r="298" spans="1:2" x14ac:dyDescent="0.25">
      <c r="A298" s="16">
        <v>1870</v>
      </c>
      <c r="B298" s="17" t="s">
        <v>530</v>
      </c>
    </row>
    <row r="299" spans="1:2" x14ac:dyDescent="0.25">
      <c r="A299" s="16">
        <v>1872</v>
      </c>
      <c r="B299" s="17" t="s">
        <v>531</v>
      </c>
    </row>
    <row r="300" spans="1:2" x14ac:dyDescent="0.25">
      <c r="A300" s="16">
        <v>1874</v>
      </c>
      <c r="B300" s="17" t="s">
        <v>532</v>
      </c>
    </row>
    <row r="301" spans="1:2" x14ac:dyDescent="0.25">
      <c r="A301" s="16">
        <v>1876</v>
      </c>
      <c r="B301" s="17" t="s">
        <v>533</v>
      </c>
    </row>
    <row r="302" spans="1:2" x14ac:dyDescent="0.25">
      <c r="A302" s="16">
        <v>1877</v>
      </c>
      <c r="B302" s="17" t="s">
        <v>534</v>
      </c>
    </row>
    <row r="303" spans="1:2" x14ac:dyDescent="0.25">
      <c r="A303" s="16">
        <v>1886</v>
      </c>
      <c r="B303" s="17" t="s">
        <v>535</v>
      </c>
    </row>
    <row r="304" spans="1:2" x14ac:dyDescent="0.25">
      <c r="A304" s="16">
        <v>1887</v>
      </c>
      <c r="B304" s="17" t="s">
        <v>536</v>
      </c>
    </row>
    <row r="305" spans="1:2" x14ac:dyDescent="0.25">
      <c r="A305" s="16">
        <v>1888</v>
      </c>
      <c r="B305" s="17" t="s">
        <v>537</v>
      </c>
    </row>
    <row r="306" spans="1:2" x14ac:dyDescent="0.25">
      <c r="A306" s="16">
        <v>1889</v>
      </c>
      <c r="B306" s="17" t="s">
        <v>538</v>
      </c>
    </row>
    <row r="307" spans="1:2" x14ac:dyDescent="0.25">
      <c r="A307" s="16">
        <v>1890</v>
      </c>
      <c r="B307" s="17" t="s">
        <v>539</v>
      </c>
    </row>
    <row r="308" spans="1:2" x14ac:dyDescent="0.25">
      <c r="A308" s="16">
        <v>1891</v>
      </c>
      <c r="B308" s="17" t="s">
        <v>540</v>
      </c>
    </row>
    <row r="309" spans="1:2" x14ac:dyDescent="0.25">
      <c r="A309" s="16">
        <v>1892</v>
      </c>
      <c r="B309" s="17" t="s">
        <v>541</v>
      </c>
    </row>
    <row r="310" spans="1:2" x14ac:dyDescent="0.25">
      <c r="A310" s="16">
        <v>1896</v>
      </c>
      <c r="B310" s="17" t="s">
        <v>542</v>
      </c>
    </row>
    <row r="311" spans="1:2" x14ac:dyDescent="0.25">
      <c r="A311" s="16">
        <v>1899</v>
      </c>
      <c r="B311" s="17" t="s">
        <v>543</v>
      </c>
    </row>
    <row r="312" spans="1:2" x14ac:dyDescent="0.25">
      <c r="A312" s="16">
        <v>1901</v>
      </c>
      <c r="B312" s="17" t="s">
        <v>544</v>
      </c>
    </row>
    <row r="313" spans="1:2" x14ac:dyDescent="0.25">
      <c r="A313" s="16">
        <v>1901</v>
      </c>
      <c r="B313" s="17" t="s">
        <v>545</v>
      </c>
    </row>
    <row r="314" spans="1:2" x14ac:dyDescent="0.25">
      <c r="A314" s="16">
        <v>1902</v>
      </c>
      <c r="B314" s="17" t="s">
        <v>546</v>
      </c>
    </row>
    <row r="315" spans="1:2" x14ac:dyDescent="0.25">
      <c r="A315" s="16">
        <v>1903</v>
      </c>
      <c r="B315" s="17" t="s">
        <v>547</v>
      </c>
    </row>
    <row r="316" spans="1:2" x14ac:dyDescent="0.25">
      <c r="A316" s="16">
        <v>1905</v>
      </c>
      <c r="B316" s="17" t="s">
        <v>548</v>
      </c>
    </row>
    <row r="317" spans="1:2" x14ac:dyDescent="0.25">
      <c r="A317" s="16">
        <v>1906</v>
      </c>
      <c r="B317" s="17" t="s">
        <v>549</v>
      </c>
    </row>
    <row r="318" spans="1:2" x14ac:dyDescent="0.25">
      <c r="A318" s="16">
        <v>1910</v>
      </c>
      <c r="B318" s="17" t="s">
        <v>550</v>
      </c>
    </row>
    <row r="319" spans="1:2" x14ac:dyDescent="0.25">
      <c r="A319" s="16">
        <v>1911</v>
      </c>
      <c r="B319" s="17" t="s">
        <v>551</v>
      </c>
    </row>
    <row r="320" spans="1:2" x14ac:dyDescent="0.25">
      <c r="A320" s="16">
        <v>1916</v>
      </c>
      <c r="B320" s="17" t="s">
        <v>552</v>
      </c>
    </row>
    <row r="321" spans="1:2" x14ac:dyDescent="0.25">
      <c r="A321" s="16">
        <v>1918</v>
      </c>
      <c r="B321" s="17" t="s">
        <v>553</v>
      </c>
    </row>
    <row r="322" spans="1:2" x14ac:dyDescent="0.25">
      <c r="A322" s="16">
        <v>1921</v>
      </c>
      <c r="B322" s="17" t="s">
        <v>554</v>
      </c>
    </row>
    <row r="323" spans="1:2" x14ac:dyDescent="0.25">
      <c r="A323" s="16">
        <v>1924</v>
      </c>
      <c r="B323" s="17" t="s">
        <v>555</v>
      </c>
    </row>
    <row r="324" spans="1:2" x14ac:dyDescent="0.25">
      <c r="A324" s="16">
        <v>1926</v>
      </c>
      <c r="B324" s="17" t="s">
        <v>556</v>
      </c>
    </row>
    <row r="325" spans="1:2" x14ac:dyDescent="0.25">
      <c r="A325" s="16">
        <v>1928</v>
      </c>
      <c r="B325" s="17" t="s">
        <v>557</v>
      </c>
    </row>
    <row r="326" spans="1:2" x14ac:dyDescent="0.25">
      <c r="A326" s="16">
        <v>1929</v>
      </c>
      <c r="B326" s="17" t="s">
        <v>558</v>
      </c>
    </row>
    <row r="327" spans="1:2" x14ac:dyDescent="0.25">
      <c r="A327" s="16">
        <v>1930</v>
      </c>
      <c r="B327" s="17" t="s">
        <v>559</v>
      </c>
    </row>
    <row r="328" spans="1:2" x14ac:dyDescent="0.25">
      <c r="A328" s="16">
        <v>1931</v>
      </c>
      <c r="B328" s="17" t="s">
        <v>560</v>
      </c>
    </row>
    <row r="329" spans="1:2" x14ac:dyDescent="0.25">
      <c r="A329" s="16">
        <v>1935</v>
      </c>
      <c r="B329" s="17" t="s">
        <v>561</v>
      </c>
    </row>
    <row r="330" spans="1:2" x14ac:dyDescent="0.25">
      <c r="A330" s="16">
        <v>1936</v>
      </c>
      <c r="B330" s="17" t="s">
        <v>562</v>
      </c>
    </row>
    <row r="331" spans="1:2" x14ac:dyDescent="0.25">
      <c r="A331" s="16">
        <v>1939</v>
      </c>
      <c r="B331" s="17" t="s">
        <v>563</v>
      </c>
    </row>
    <row r="332" spans="1:2" x14ac:dyDescent="0.25">
      <c r="A332" s="16">
        <v>1942</v>
      </c>
      <c r="B332" s="17" t="s">
        <v>564</v>
      </c>
    </row>
    <row r="333" spans="1:2" x14ac:dyDescent="0.25">
      <c r="A333" s="16">
        <v>1944</v>
      </c>
      <c r="B333" s="17" t="s">
        <v>565</v>
      </c>
    </row>
    <row r="334" spans="1:2" x14ac:dyDescent="0.25">
      <c r="A334" s="16">
        <v>1945</v>
      </c>
      <c r="B334" s="17" t="s">
        <v>566</v>
      </c>
    </row>
    <row r="335" spans="1:2" x14ac:dyDescent="0.25">
      <c r="A335" s="16">
        <v>1948</v>
      </c>
      <c r="B335" s="17" t="s">
        <v>567</v>
      </c>
    </row>
    <row r="336" spans="1:2" x14ac:dyDescent="0.25">
      <c r="A336" s="16">
        <v>1951</v>
      </c>
      <c r="B336" s="17" t="s">
        <v>568</v>
      </c>
    </row>
    <row r="337" spans="1:2" x14ac:dyDescent="0.25">
      <c r="A337" s="16">
        <v>1953</v>
      </c>
      <c r="B337" s="17" t="s">
        <v>569</v>
      </c>
    </row>
    <row r="338" spans="1:2" x14ac:dyDescent="0.25">
      <c r="A338" s="16">
        <v>1954</v>
      </c>
      <c r="B338" s="17" t="s">
        <v>570</v>
      </c>
    </row>
    <row r="339" spans="1:2" x14ac:dyDescent="0.25">
      <c r="A339" s="16">
        <v>1955</v>
      </c>
      <c r="B339" s="17" t="s">
        <v>571</v>
      </c>
    </row>
    <row r="340" spans="1:2" x14ac:dyDescent="0.25">
      <c r="A340" s="16">
        <v>1957</v>
      </c>
      <c r="B340" s="17" t="s">
        <v>572</v>
      </c>
    </row>
    <row r="341" spans="1:2" x14ac:dyDescent="0.25">
      <c r="A341" s="16">
        <v>1960</v>
      </c>
      <c r="B341" s="17" t="s">
        <v>573</v>
      </c>
    </row>
    <row r="342" spans="1:2" x14ac:dyDescent="0.25">
      <c r="A342" s="16">
        <v>1961</v>
      </c>
      <c r="B342" s="17" t="s">
        <v>574</v>
      </c>
    </row>
    <row r="343" spans="1:2" x14ac:dyDescent="0.25">
      <c r="A343" s="16">
        <v>1963</v>
      </c>
      <c r="B343" s="17" t="s">
        <v>575</v>
      </c>
    </row>
    <row r="344" spans="1:2" x14ac:dyDescent="0.25">
      <c r="A344" s="16">
        <v>1964</v>
      </c>
      <c r="B344" s="17" t="s">
        <v>576</v>
      </c>
    </row>
    <row r="345" spans="1:2" x14ac:dyDescent="0.25">
      <c r="A345" s="16">
        <v>1965</v>
      </c>
      <c r="B345" s="17" t="s">
        <v>577</v>
      </c>
    </row>
    <row r="346" spans="1:2" x14ac:dyDescent="0.25">
      <c r="A346" s="16">
        <v>1966</v>
      </c>
      <c r="B346" s="17" t="s">
        <v>578</v>
      </c>
    </row>
    <row r="347" spans="1:2" x14ac:dyDescent="0.25">
      <c r="A347" s="16">
        <v>1971</v>
      </c>
      <c r="B347" s="17" t="s">
        <v>579</v>
      </c>
    </row>
    <row r="348" spans="1:2" x14ac:dyDescent="0.25">
      <c r="A348" s="16">
        <v>1973</v>
      </c>
      <c r="B348" s="17" t="s">
        <v>580</v>
      </c>
    </row>
    <row r="349" spans="1:2" x14ac:dyDescent="0.25">
      <c r="A349" s="16">
        <v>1974</v>
      </c>
      <c r="B349" s="17" t="s">
        <v>581</v>
      </c>
    </row>
    <row r="350" spans="1:2" x14ac:dyDescent="0.25">
      <c r="A350" s="16">
        <v>1977</v>
      </c>
      <c r="B350" s="17" t="s">
        <v>582</v>
      </c>
    </row>
    <row r="351" spans="1:2" x14ac:dyDescent="0.25">
      <c r="A351" s="16">
        <v>1979</v>
      </c>
      <c r="B351" s="17" t="s">
        <v>583</v>
      </c>
    </row>
    <row r="352" spans="1:2" x14ac:dyDescent="0.25">
      <c r="A352" s="16">
        <v>1983</v>
      </c>
      <c r="B352" s="17" t="s">
        <v>584</v>
      </c>
    </row>
    <row r="353" spans="1:2" x14ac:dyDescent="0.25">
      <c r="A353" s="16">
        <v>1984</v>
      </c>
      <c r="B353" s="17" t="s">
        <v>585</v>
      </c>
    </row>
    <row r="354" spans="1:2" x14ac:dyDescent="0.25">
      <c r="A354" s="16">
        <v>1985</v>
      </c>
      <c r="B354" s="17" t="s">
        <v>586</v>
      </c>
    </row>
    <row r="355" spans="1:2" x14ac:dyDescent="0.25">
      <c r="A355" s="16">
        <v>1986</v>
      </c>
      <c r="B355" s="17" t="s">
        <v>587</v>
      </c>
    </row>
    <row r="356" spans="1:2" x14ac:dyDescent="0.25">
      <c r="A356" s="16">
        <v>1987</v>
      </c>
      <c r="B356" s="17" t="s">
        <v>588</v>
      </c>
    </row>
    <row r="357" spans="1:2" x14ac:dyDescent="0.25">
      <c r="A357" s="16">
        <v>1991</v>
      </c>
      <c r="B357" s="17" t="s">
        <v>589</v>
      </c>
    </row>
    <row r="358" spans="1:2" x14ac:dyDescent="0.25">
      <c r="A358" s="16">
        <v>1992</v>
      </c>
      <c r="B358" s="17" t="s">
        <v>590</v>
      </c>
    </row>
    <row r="359" spans="1:2" x14ac:dyDescent="0.25">
      <c r="A359" s="16">
        <v>1993</v>
      </c>
      <c r="B359" s="17" t="s">
        <v>591</v>
      </c>
    </row>
    <row r="360" spans="1:2" x14ac:dyDescent="0.25">
      <c r="A360" s="16">
        <v>1994</v>
      </c>
      <c r="B360" s="17" t="s">
        <v>592</v>
      </c>
    </row>
    <row r="361" spans="1:2" x14ac:dyDescent="0.25">
      <c r="A361" s="16">
        <v>1995</v>
      </c>
      <c r="B361" s="17" t="s">
        <v>593</v>
      </c>
    </row>
    <row r="362" spans="1:2" x14ac:dyDescent="0.25">
      <c r="A362" s="16">
        <v>2000</v>
      </c>
      <c r="B362" s="17" t="s">
        <v>594</v>
      </c>
    </row>
    <row r="363" spans="1:2" x14ac:dyDescent="0.25">
      <c r="A363" s="16">
        <v>2002</v>
      </c>
      <c r="B363" s="17" t="s">
        <v>595</v>
      </c>
    </row>
    <row r="364" spans="1:2" x14ac:dyDescent="0.25">
      <c r="A364" s="16">
        <v>2003</v>
      </c>
      <c r="B364" s="17" t="s">
        <v>596</v>
      </c>
    </row>
    <row r="365" spans="1:2" x14ac:dyDescent="0.25">
      <c r="A365" s="16">
        <v>2004</v>
      </c>
      <c r="B365" s="17" t="s">
        <v>597</v>
      </c>
    </row>
    <row r="366" spans="1:2" x14ac:dyDescent="0.25">
      <c r="A366" s="16">
        <v>2005</v>
      </c>
      <c r="B366" s="17" t="s">
        <v>598</v>
      </c>
    </row>
    <row r="367" spans="1:2" x14ac:dyDescent="0.25">
      <c r="A367" s="16">
        <v>2006</v>
      </c>
      <c r="B367" s="17" t="s">
        <v>599</v>
      </c>
    </row>
    <row r="368" spans="1:2" x14ac:dyDescent="0.25">
      <c r="A368" s="16">
        <v>2007</v>
      </c>
      <c r="B368" s="17" t="s">
        <v>600</v>
      </c>
    </row>
    <row r="369" spans="1:2" x14ac:dyDescent="0.25">
      <c r="A369" s="16">
        <v>2009</v>
      </c>
      <c r="B369" s="17" t="s">
        <v>601</v>
      </c>
    </row>
    <row r="370" spans="1:2" x14ac:dyDescent="0.25">
      <c r="A370" s="16">
        <v>2010</v>
      </c>
      <c r="B370" s="17" t="s">
        <v>602</v>
      </c>
    </row>
    <row r="371" spans="1:2" x14ac:dyDescent="0.25">
      <c r="A371" s="16">
        <v>2012</v>
      </c>
      <c r="B371" s="17" t="s">
        <v>603</v>
      </c>
    </row>
    <row r="372" spans="1:2" x14ac:dyDescent="0.25">
      <c r="A372" s="16">
        <v>2013</v>
      </c>
      <c r="B372" s="17" t="s">
        <v>604</v>
      </c>
    </row>
    <row r="373" spans="1:2" x14ac:dyDescent="0.25">
      <c r="A373" s="16">
        <v>2014</v>
      </c>
      <c r="B373" s="17" t="s">
        <v>605</v>
      </c>
    </row>
    <row r="374" spans="1:2" x14ac:dyDescent="0.25">
      <c r="A374" s="16">
        <v>2015</v>
      </c>
      <c r="B374" s="17" t="s">
        <v>606</v>
      </c>
    </row>
    <row r="375" spans="1:2" x14ac:dyDescent="0.25">
      <c r="A375" s="16">
        <v>2017</v>
      </c>
      <c r="B375" s="17" t="s">
        <v>607</v>
      </c>
    </row>
    <row r="376" spans="1:2" x14ac:dyDescent="0.25">
      <c r="A376" s="16">
        <v>2018</v>
      </c>
      <c r="B376" s="17" t="s">
        <v>608</v>
      </c>
    </row>
    <row r="377" spans="1:2" x14ac:dyDescent="0.25">
      <c r="A377" s="16">
        <v>2020</v>
      </c>
      <c r="B377" s="17" t="s">
        <v>609</v>
      </c>
    </row>
    <row r="378" spans="1:2" x14ac:dyDescent="0.25">
      <c r="A378" s="16">
        <v>2021</v>
      </c>
      <c r="B378" s="17" t="s">
        <v>610</v>
      </c>
    </row>
    <row r="379" spans="1:2" x14ac:dyDescent="0.25">
      <c r="A379" s="16">
        <v>2022</v>
      </c>
      <c r="B379" s="17" t="s">
        <v>611</v>
      </c>
    </row>
    <row r="380" spans="1:2" x14ac:dyDescent="0.25">
      <c r="A380" s="16">
        <v>2023</v>
      </c>
      <c r="B380" s="17" t="s">
        <v>612</v>
      </c>
    </row>
    <row r="381" spans="1:2" x14ac:dyDescent="0.25">
      <c r="A381" s="16">
        <v>2024</v>
      </c>
      <c r="B381" s="17" t="s">
        <v>613</v>
      </c>
    </row>
    <row r="382" spans="1:2" x14ac:dyDescent="0.25">
      <c r="A382" s="16">
        <v>2025</v>
      </c>
      <c r="B382" s="17" t="s">
        <v>614</v>
      </c>
    </row>
    <row r="383" spans="1:2" x14ac:dyDescent="0.25">
      <c r="A383" s="16">
        <v>2026</v>
      </c>
      <c r="B383" s="17" t="s">
        <v>615</v>
      </c>
    </row>
    <row r="384" spans="1:2" x14ac:dyDescent="0.25">
      <c r="A384" s="16">
        <v>2027</v>
      </c>
      <c r="B384" s="17" t="s">
        <v>616</v>
      </c>
    </row>
    <row r="385" spans="1:2" x14ac:dyDescent="0.25">
      <c r="A385" s="16">
        <v>2028</v>
      </c>
      <c r="B385" s="17" t="s">
        <v>617</v>
      </c>
    </row>
    <row r="386" spans="1:2" x14ac:dyDescent="0.25">
      <c r="A386" s="16">
        <v>2031</v>
      </c>
      <c r="B386" s="17" t="s">
        <v>618</v>
      </c>
    </row>
    <row r="387" spans="1:2" x14ac:dyDescent="0.25">
      <c r="A387" s="16">
        <v>2032</v>
      </c>
      <c r="B387" s="17" t="s">
        <v>619</v>
      </c>
    </row>
    <row r="388" spans="1:2" x14ac:dyDescent="0.25">
      <c r="A388" s="16">
        <v>2033</v>
      </c>
      <c r="B388" s="17" t="s">
        <v>620</v>
      </c>
    </row>
    <row r="389" spans="1:2" x14ac:dyDescent="0.25">
      <c r="A389" s="16">
        <v>2034</v>
      </c>
      <c r="B389" s="17" t="s">
        <v>621</v>
      </c>
    </row>
    <row r="390" spans="1:2" x14ac:dyDescent="0.25">
      <c r="A390" s="16">
        <v>2035</v>
      </c>
      <c r="B390" s="17" t="s">
        <v>622</v>
      </c>
    </row>
    <row r="391" spans="1:2" x14ac:dyDescent="0.25">
      <c r="A391" s="16">
        <v>2036</v>
      </c>
      <c r="B391" s="17" t="s">
        <v>623</v>
      </c>
    </row>
    <row r="392" spans="1:2" x14ac:dyDescent="0.25">
      <c r="A392" s="16">
        <v>2037</v>
      </c>
      <c r="B392" s="17" t="s">
        <v>624</v>
      </c>
    </row>
    <row r="393" spans="1:2" x14ac:dyDescent="0.25">
      <c r="A393" s="16">
        <v>2040</v>
      </c>
      <c r="B393" s="17" t="s">
        <v>625</v>
      </c>
    </row>
    <row r="394" spans="1:2" x14ac:dyDescent="0.25">
      <c r="A394" s="16">
        <v>2043</v>
      </c>
      <c r="B394" s="17" t="s">
        <v>626</v>
      </c>
    </row>
    <row r="395" spans="1:2" x14ac:dyDescent="0.25">
      <c r="A395" s="16">
        <v>2044</v>
      </c>
      <c r="B395" s="17" t="s">
        <v>627</v>
      </c>
    </row>
    <row r="396" spans="1:2" x14ac:dyDescent="0.25">
      <c r="A396" s="16">
        <v>2045</v>
      </c>
      <c r="B396" s="17" t="s">
        <v>628</v>
      </c>
    </row>
    <row r="397" spans="1:2" x14ac:dyDescent="0.25">
      <c r="A397" s="16">
        <v>2048</v>
      </c>
      <c r="B397" s="17" t="s">
        <v>629</v>
      </c>
    </row>
    <row r="398" spans="1:2" x14ac:dyDescent="0.25">
      <c r="A398" s="16">
        <v>2049</v>
      </c>
      <c r="B398" s="17" t="s">
        <v>630</v>
      </c>
    </row>
    <row r="399" spans="1:2" x14ac:dyDescent="0.25">
      <c r="A399" s="16">
        <v>2050</v>
      </c>
      <c r="B399" s="17" t="s">
        <v>631</v>
      </c>
    </row>
    <row r="400" spans="1:2" x14ac:dyDescent="0.25">
      <c r="A400" s="16">
        <v>2052</v>
      </c>
      <c r="B400" s="17" t="s">
        <v>632</v>
      </c>
    </row>
    <row r="401" spans="1:2" x14ac:dyDescent="0.25">
      <c r="A401" s="16">
        <v>2053</v>
      </c>
      <c r="B401" s="17" t="s">
        <v>633</v>
      </c>
    </row>
    <row r="402" spans="1:2" x14ac:dyDescent="0.25">
      <c r="A402" s="16">
        <v>2054</v>
      </c>
      <c r="B402" s="17" t="s">
        <v>634</v>
      </c>
    </row>
    <row r="403" spans="1:2" x14ac:dyDescent="0.25">
      <c r="A403" s="16">
        <v>2055</v>
      </c>
      <c r="B403" s="17" t="s">
        <v>635</v>
      </c>
    </row>
    <row r="404" spans="1:2" x14ac:dyDescent="0.25">
      <c r="A404" s="16">
        <v>2056</v>
      </c>
      <c r="B404" s="17" t="s">
        <v>636</v>
      </c>
    </row>
    <row r="405" spans="1:2" x14ac:dyDescent="0.25">
      <c r="A405" s="16">
        <v>2058</v>
      </c>
      <c r="B405" s="17" t="s">
        <v>637</v>
      </c>
    </row>
    <row r="406" spans="1:2" x14ac:dyDescent="0.25">
      <c r="A406" s="16">
        <v>2059</v>
      </c>
      <c r="B406" s="17" t="s">
        <v>638</v>
      </c>
    </row>
    <row r="407" spans="1:2" x14ac:dyDescent="0.25">
      <c r="A407" s="16">
        <v>2060</v>
      </c>
      <c r="B407" s="17" t="s">
        <v>639</v>
      </c>
    </row>
    <row r="408" spans="1:2" x14ac:dyDescent="0.25">
      <c r="A408" s="16">
        <v>2061</v>
      </c>
      <c r="B408" s="17" t="s">
        <v>640</v>
      </c>
    </row>
    <row r="409" spans="1:2" x14ac:dyDescent="0.25">
      <c r="A409" s="16">
        <v>2062</v>
      </c>
      <c r="B409" s="17" t="s">
        <v>641</v>
      </c>
    </row>
    <row r="410" spans="1:2" x14ac:dyDescent="0.25">
      <c r="A410" s="16">
        <v>2063</v>
      </c>
      <c r="B410" s="17" t="s">
        <v>642</v>
      </c>
    </row>
    <row r="411" spans="1:2" x14ac:dyDescent="0.25">
      <c r="A411" s="16">
        <v>2064</v>
      </c>
      <c r="B411" s="17" t="s">
        <v>643</v>
      </c>
    </row>
    <row r="412" spans="1:2" x14ac:dyDescent="0.25">
      <c r="A412" s="16">
        <v>2068</v>
      </c>
      <c r="B412" s="17" t="s">
        <v>644</v>
      </c>
    </row>
    <row r="413" spans="1:2" x14ac:dyDescent="0.25">
      <c r="A413" s="16">
        <v>2069</v>
      </c>
      <c r="B413" s="17" t="s">
        <v>645</v>
      </c>
    </row>
    <row r="414" spans="1:2" x14ac:dyDescent="0.25">
      <c r="A414" s="16">
        <v>2070</v>
      </c>
      <c r="B414" s="17" t="s">
        <v>646</v>
      </c>
    </row>
    <row r="415" spans="1:2" x14ac:dyDescent="0.25">
      <c r="A415" s="16">
        <v>2071</v>
      </c>
      <c r="B415" s="17" t="s">
        <v>647</v>
      </c>
    </row>
    <row r="416" spans="1:2" x14ac:dyDescent="0.25">
      <c r="A416" s="16">
        <v>2072</v>
      </c>
      <c r="B416" s="17" t="s">
        <v>648</v>
      </c>
    </row>
    <row r="417" spans="1:2" x14ac:dyDescent="0.25">
      <c r="A417" s="16">
        <v>2078</v>
      </c>
      <c r="B417" s="17" t="s">
        <v>649</v>
      </c>
    </row>
    <row r="418" spans="1:2" x14ac:dyDescent="0.25">
      <c r="A418" s="16">
        <v>2080</v>
      </c>
      <c r="B418" s="17" t="s">
        <v>650</v>
      </c>
    </row>
    <row r="419" spans="1:2" x14ac:dyDescent="0.25">
      <c r="A419" s="16">
        <v>2082</v>
      </c>
      <c r="B419" s="17" t="s">
        <v>651</v>
      </c>
    </row>
    <row r="420" spans="1:2" x14ac:dyDescent="0.25">
      <c r="A420" s="16">
        <v>2086</v>
      </c>
      <c r="B420" s="17" t="s">
        <v>652</v>
      </c>
    </row>
    <row r="421" spans="1:2" x14ac:dyDescent="0.25">
      <c r="A421" s="16">
        <v>2088</v>
      </c>
      <c r="B421" s="17" t="s">
        <v>653</v>
      </c>
    </row>
    <row r="422" spans="1:2" x14ac:dyDescent="0.25">
      <c r="A422" s="16">
        <v>2089</v>
      </c>
      <c r="B422" s="17" t="s">
        <v>654</v>
      </c>
    </row>
    <row r="423" spans="1:2" x14ac:dyDescent="0.25">
      <c r="A423" s="16">
        <v>2090</v>
      </c>
      <c r="B423" s="17" t="s">
        <v>655</v>
      </c>
    </row>
    <row r="424" spans="1:2" x14ac:dyDescent="0.25">
      <c r="A424" s="16">
        <v>2094</v>
      </c>
      <c r="B424" s="17" t="s">
        <v>656</v>
      </c>
    </row>
    <row r="425" spans="1:2" x14ac:dyDescent="0.25">
      <c r="A425" s="16">
        <v>2095</v>
      </c>
      <c r="B425" s="17" t="s">
        <v>657</v>
      </c>
    </row>
    <row r="426" spans="1:2" x14ac:dyDescent="0.25">
      <c r="A426" s="16">
        <v>2096</v>
      </c>
      <c r="B426" s="17" t="s">
        <v>658</v>
      </c>
    </row>
    <row r="427" spans="1:2" x14ac:dyDescent="0.25">
      <c r="A427" s="16">
        <v>2099</v>
      </c>
      <c r="B427" s="17" t="s">
        <v>659</v>
      </c>
    </row>
    <row r="428" spans="1:2" x14ac:dyDescent="0.25">
      <c r="A428" s="16">
        <v>2100</v>
      </c>
      <c r="B428" s="17" t="s">
        <v>660</v>
      </c>
    </row>
    <row r="429" spans="1:2" x14ac:dyDescent="0.25">
      <c r="A429" s="16">
        <v>2103</v>
      </c>
      <c r="B429" s="17" t="s">
        <v>661</v>
      </c>
    </row>
    <row r="430" spans="1:2" x14ac:dyDescent="0.25">
      <c r="A430" s="16">
        <v>2104</v>
      </c>
      <c r="B430" s="17" t="s">
        <v>662</v>
      </c>
    </row>
    <row r="431" spans="1:2" x14ac:dyDescent="0.25">
      <c r="A431" s="16">
        <v>2105</v>
      </c>
      <c r="B431" s="17" t="s">
        <v>663</v>
      </c>
    </row>
    <row r="432" spans="1:2" x14ac:dyDescent="0.25">
      <c r="A432" s="16">
        <v>2108</v>
      </c>
      <c r="B432" s="17" t="s">
        <v>664</v>
      </c>
    </row>
    <row r="433" spans="1:2" x14ac:dyDescent="0.25">
      <c r="A433" s="16">
        <v>2109</v>
      </c>
      <c r="B433" s="17" t="s">
        <v>665</v>
      </c>
    </row>
    <row r="434" spans="1:2" x14ac:dyDescent="0.25">
      <c r="A434" s="16">
        <v>2110</v>
      </c>
      <c r="B434" s="17" t="s">
        <v>666</v>
      </c>
    </row>
    <row r="435" spans="1:2" x14ac:dyDescent="0.25">
      <c r="A435" s="16">
        <v>2112</v>
      </c>
      <c r="B435" s="17" t="s">
        <v>667</v>
      </c>
    </row>
    <row r="436" spans="1:2" x14ac:dyDescent="0.25">
      <c r="A436" s="16">
        <v>2114</v>
      </c>
      <c r="B436" s="17" t="s">
        <v>668</v>
      </c>
    </row>
    <row r="437" spans="1:2" x14ac:dyDescent="0.25">
      <c r="A437" s="16">
        <v>2115</v>
      </c>
      <c r="B437" s="17" t="s">
        <v>669</v>
      </c>
    </row>
    <row r="438" spans="1:2" x14ac:dyDescent="0.25">
      <c r="A438" s="16">
        <v>2117</v>
      </c>
      <c r="B438" s="17" t="s">
        <v>670</v>
      </c>
    </row>
    <row r="439" spans="1:2" x14ac:dyDescent="0.25">
      <c r="A439" s="16">
        <v>2118</v>
      </c>
      <c r="B439" s="17" t="s">
        <v>671</v>
      </c>
    </row>
    <row r="440" spans="1:2" x14ac:dyDescent="0.25">
      <c r="A440" s="16">
        <v>2121</v>
      </c>
      <c r="B440" s="17" t="s">
        <v>672</v>
      </c>
    </row>
    <row r="441" spans="1:2" x14ac:dyDescent="0.25">
      <c r="A441" s="16">
        <v>2122</v>
      </c>
      <c r="B441" s="17" t="s">
        <v>673</v>
      </c>
    </row>
    <row r="442" spans="1:2" x14ac:dyDescent="0.25">
      <c r="A442" s="16">
        <v>2124</v>
      </c>
      <c r="B442" s="17" t="s">
        <v>674</v>
      </c>
    </row>
    <row r="443" spans="1:2" x14ac:dyDescent="0.25">
      <c r="A443" s="16">
        <v>2125</v>
      </c>
      <c r="B443" s="17" t="s">
        <v>675</v>
      </c>
    </row>
    <row r="444" spans="1:2" x14ac:dyDescent="0.25">
      <c r="A444" s="16">
        <v>2126</v>
      </c>
      <c r="B444" s="17" t="s">
        <v>676</v>
      </c>
    </row>
    <row r="445" spans="1:2" x14ac:dyDescent="0.25">
      <c r="A445" s="16">
        <v>2128</v>
      </c>
      <c r="B445" s="17" t="s">
        <v>677</v>
      </c>
    </row>
    <row r="446" spans="1:2" x14ac:dyDescent="0.25">
      <c r="A446" s="16">
        <v>2129</v>
      </c>
      <c r="B446" s="17" t="s">
        <v>678</v>
      </c>
    </row>
    <row r="447" spans="1:2" x14ac:dyDescent="0.25">
      <c r="A447" s="16">
        <v>2132</v>
      </c>
      <c r="B447" s="17" t="s">
        <v>679</v>
      </c>
    </row>
    <row r="448" spans="1:2" x14ac:dyDescent="0.25">
      <c r="A448" s="16">
        <v>2133</v>
      </c>
      <c r="B448" s="17" t="s">
        <v>680</v>
      </c>
    </row>
    <row r="449" spans="1:2" x14ac:dyDescent="0.25">
      <c r="A449" s="16">
        <v>2135</v>
      </c>
      <c r="B449" s="17" t="s">
        <v>681</v>
      </c>
    </row>
    <row r="450" spans="1:2" x14ac:dyDescent="0.25">
      <c r="A450" s="16">
        <v>2136</v>
      </c>
      <c r="B450" s="17" t="s">
        <v>682</v>
      </c>
    </row>
    <row r="451" spans="1:2" x14ac:dyDescent="0.25">
      <c r="A451" s="16">
        <v>2137</v>
      </c>
      <c r="B451" s="17" t="s">
        <v>683</v>
      </c>
    </row>
    <row r="452" spans="1:2" x14ac:dyDescent="0.25">
      <c r="A452" s="16">
        <v>2138</v>
      </c>
      <c r="B452" s="17" t="s">
        <v>684</v>
      </c>
    </row>
    <row r="453" spans="1:2" x14ac:dyDescent="0.25">
      <c r="A453" s="16">
        <v>2139</v>
      </c>
      <c r="B453" s="17" t="s">
        <v>685</v>
      </c>
    </row>
    <row r="454" spans="1:2" x14ac:dyDescent="0.25">
      <c r="A454" s="16">
        <v>2140</v>
      </c>
      <c r="B454" s="17" t="s">
        <v>686</v>
      </c>
    </row>
    <row r="455" spans="1:2" x14ac:dyDescent="0.25">
      <c r="A455" s="16">
        <v>2141</v>
      </c>
      <c r="B455" s="17" t="s">
        <v>687</v>
      </c>
    </row>
    <row r="456" spans="1:2" x14ac:dyDescent="0.25">
      <c r="A456" s="16">
        <v>2142</v>
      </c>
      <c r="B456" s="17" t="s">
        <v>688</v>
      </c>
    </row>
    <row r="457" spans="1:2" x14ac:dyDescent="0.25">
      <c r="A457" s="16">
        <v>2143</v>
      </c>
      <c r="B457" s="17" t="s">
        <v>689</v>
      </c>
    </row>
    <row r="458" spans="1:2" x14ac:dyDescent="0.25">
      <c r="A458" s="16">
        <v>2144</v>
      </c>
      <c r="B458" s="17" t="s">
        <v>690</v>
      </c>
    </row>
    <row r="459" spans="1:2" x14ac:dyDescent="0.25">
      <c r="A459" s="16">
        <v>2147</v>
      </c>
      <c r="B459" s="17" t="s">
        <v>691</v>
      </c>
    </row>
    <row r="460" spans="1:2" x14ac:dyDescent="0.25">
      <c r="A460" s="16">
        <v>2148</v>
      </c>
      <c r="B460" s="17" t="s">
        <v>692</v>
      </c>
    </row>
    <row r="461" spans="1:2" x14ac:dyDescent="0.25">
      <c r="A461" s="16">
        <v>2149</v>
      </c>
      <c r="B461" s="17" t="s">
        <v>693</v>
      </c>
    </row>
    <row r="462" spans="1:2" x14ac:dyDescent="0.25">
      <c r="A462" s="16">
        <v>2150</v>
      </c>
      <c r="B462" s="17" t="s">
        <v>694</v>
      </c>
    </row>
    <row r="463" spans="1:2" x14ac:dyDescent="0.25">
      <c r="A463" s="16">
        <v>2151</v>
      </c>
      <c r="B463" s="17" t="s">
        <v>695</v>
      </c>
    </row>
    <row r="464" spans="1:2" x14ac:dyDescent="0.25">
      <c r="A464" s="16">
        <v>2152</v>
      </c>
      <c r="B464" s="17" t="s">
        <v>696</v>
      </c>
    </row>
    <row r="465" spans="1:2" x14ac:dyDescent="0.25">
      <c r="A465" s="16">
        <v>2153</v>
      </c>
      <c r="B465" s="17" t="s">
        <v>697</v>
      </c>
    </row>
    <row r="466" spans="1:2" x14ac:dyDescent="0.25">
      <c r="A466" s="16">
        <v>2154</v>
      </c>
      <c r="B466" s="17" t="s">
        <v>698</v>
      </c>
    </row>
    <row r="467" spans="1:2" x14ac:dyDescent="0.25">
      <c r="A467" s="16">
        <v>2160</v>
      </c>
      <c r="B467" s="17" t="s">
        <v>699</v>
      </c>
    </row>
    <row r="468" spans="1:2" x14ac:dyDescent="0.25">
      <c r="A468" s="16">
        <v>2161</v>
      </c>
      <c r="B468" s="17" t="s">
        <v>700</v>
      </c>
    </row>
    <row r="469" spans="1:2" x14ac:dyDescent="0.25">
      <c r="A469" s="16">
        <v>2163</v>
      </c>
      <c r="B469" s="17" t="s">
        <v>701</v>
      </c>
    </row>
    <row r="470" spans="1:2" x14ac:dyDescent="0.25">
      <c r="A470" s="16">
        <v>2164</v>
      </c>
      <c r="B470" s="17" t="s">
        <v>702</v>
      </c>
    </row>
    <row r="471" spans="1:2" x14ac:dyDescent="0.25">
      <c r="A471" s="16">
        <v>2165</v>
      </c>
      <c r="B471" s="17" t="s">
        <v>703</v>
      </c>
    </row>
    <row r="472" spans="1:2" x14ac:dyDescent="0.25">
      <c r="A472" s="16">
        <v>2166</v>
      </c>
      <c r="B472" s="17" t="s">
        <v>704</v>
      </c>
    </row>
    <row r="473" spans="1:2" x14ac:dyDescent="0.25">
      <c r="A473" s="16">
        <v>2167</v>
      </c>
      <c r="B473" s="17" t="s">
        <v>705</v>
      </c>
    </row>
    <row r="474" spans="1:2" x14ac:dyDescent="0.25">
      <c r="A474" s="16">
        <v>2168</v>
      </c>
      <c r="B474" s="17" t="s">
        <v>706</v>
      </c>
    </row>
    <row r="475" spans="1:2" x14ac:dyDescent="0.25">
      <c r="A475" s="16">
        <v>2169</v>
      </c>
      <c r="B475" s="17" t="s">
        <v>707</v>
      </c>
    </row>
    <row r="476" spans="1:2" x14ac:dyDescent="0.25">
      <c r="A476" s="16">
        <v>2170</v>
      </c>
      <c r="B476" s="17" t="s">
        <v>708</v>
      </c>
    </row>
    <row r="477" spans="1:2" x14ac:dyDescent="0.25">
      <c r="A477" s="16">
        <v>2171</v>
      </c>
      <c r="B477" s="17" t="s">
        <v>709</v>
      </c>
    </row>
    <row r="478" spans="1:2" x14ac:dyDescent="0.25">
      <c r="A478" s="16">
        <v>2172</v>
      </c>
      <c r="B478" s="17" t="s">
        <v>710</v>
      </c>
    </row>
    <row r="479" spans="1:2" x14ac:dyDescent="0.25">
      <c r="A479" s="16">
        <v>2173</v>
      </c>
      <c r="B479" s="17" t="s">
        <v>711</v>
      </c>
    </row>
    <row r="480" spans="1:2" x14ac:dyDescent="0.25">
      <c r="A480" s="16">
        <v>2175</v>
      </c>
      <c r="B480" s="17" t="s">
        <v>712</v>
      </c>
    </row>
    <row r="481" spans="1:2" x14ac:dyDescent="0.25">
      <c r="A481" s="16">
        <v>2176</v>
      </c>
      <c r="B481" s="17" t="s">
        <v>713</v>
      </c>
    </row>
    <row r="482" spans="1:2" x14ac:dyDescent="0.25">
      <c r="A482" s="16">
        <v>2177</v>
      </c>
      <c r="B482" s="17" t="s">
        <v>714</v>
      </c>
    </row>
    <row r="483" spans="1:2" x14ac:dyDescent="0.25">
      <c r="A483" s="16">
        <v>2178</v>
      </c>
      <c r="B483" s="17" t="s">
        <v>715</v>
      </c>
    </row>
    <row r="484" spans="1:2" x14ac:dyDescent="0.25">
      <c r="A484" s="16">
        <v>2179</v>
      </c>
      <c r="B484" s="17" t="s">
        <v>716</v>
      </c>
    </row>
    <row r="485" spans="1:2" x14ac:dyDescent="0.25">
      <c r="A485" s="16">
        <v>2183</v>
      </c>
      <c r="B485" s="17" t="s">
        <v>717</v>
      </c>
    </row>
    <row r="486" spans="1:2" x14ac:dyDescent="0.25">
      <c r="A486" s="16">
        <v>2186</v>
      </c>
      <c r="B486" s="17" t="s">
        <v>718</v>
      </c>
    </row>
    <row r="487" spans="1:2" x14ac:dyDescent="0.25">
      <c r="A487" s="16">
        <v>2187</v>
      </c>
      <c r="B487" s="17" t="s">
        <v>719</v>
      </c>
    </row>
    <row r="488" spans="1:2" x14ac:dyDescent="0.25">
      <c r="A488" s="16">
        <v>2189</v>
      </c>
      <c r="B488" s="17" t="s">
        <v>720</v>
      </c>
    </row>
    <row r="489" spans="1:2" x14ac:dyDescent="0.25">
      <c r="A489" s="16">
        <v>2191</v>
      </c>
      <c r="B489" s="17" t="s">
        <v>721</v>
      </c>
    </row>
    <row r="490" spans="1:2" x14ac:dyDescent="0.25">
      <c r="A490" s="16">
        <v>2192</v>
      </c>
      <c r="B490" s="17" t="s">
        <v>722</v>
      </c>
    </row>
    <row r="491" spans="1:2" x14ac:dyDescent="0.25">
      <c r="A491" s="16">
        <v>2193</v>
      </c>
      <c r="B491" s="17" t="s">
        <v>723</v>
      </c>
    </row>
    <row r="492" spans="1:2" x14ac:dyDescent="0.25">
      <c r="A492" s="16">
        <v>2194</v>
      </c>
      <c r="B492" s="17" t="s">
        <v>724</v>
      </c>
    </row>
    <row r="493" spans="1:2" x14ac:dyDescent="0.25">
      <c r="A493" s="16">
        <v>2196</v>
      </c>
      <c r="B493" s="17" t="s">
        <v>725</v>
      </c>
    </row>
    <row r="494" spans="1:2" x14ac:dyDescent="0.25">
      <c r="A494" s="16">
        <v>2197</v>
      </c>
      <c r="B494" s="17" t="s">
        <v>726</v>
      </c>
    </row>
    <row r="495" spans="1:2" x14ac:dyDescent="0.25">
      <c r="A495" s="16">
        <v>2198</v>
      </c>
      <c r="B495" s="17" t="s">
        <v>727</v>
      </c>
    </row>
    <row r="496" spans="1:2" x14ac:dyDescent="0.25">
      <c r="A496" s="16">
        <v>2199</v>
      </c>
      <c r="B496" s="17" t="s">
        <v>728</v>
      </c>
    </row>
    <row r="497" spans="1:2" x14ac:dyDescent="0.25">
      <c r="A497" s="16">
        <v>2200</v>
      </c>
      <c r="B497" s="17" t="s">
        <v>729</v>
      </c>
    </row>
    <row r="498" spans="1:2" x14ac:dyDescent="0.25">
      <c r="A498" s="16">
        <v>2201</v>
      </c>
      <c r="B498" s="17" t="s">
        <v>730</v>
      </c>
    </row>
    <row r="499" spans="1:2" x14ac:dyDescent="0.25">
      <c r="A499" s="16">
        <v>2203</v>
      </c>
      <c r="B499" s="17" t="s">
        <v>731</v>
      </c>
    </row>
    <row r="500" spans="1:2" x14ac:dyDescent="0.25">
      <c r="A500" s="16">
        <v>2204</v>
      </c>
      <c r="B500" s="17" t="s">
        <v>732</v>
      </c>
    </row>
    <row r="501" spans="1:2" x14ac:dyDescent="0.25">
      <c r="A501" s="16">
        <v>2208</v>
      </c>
      <c r="B501" s="17" t="s">
        <v>733</v>
      </c>
    </row>
    <row r="502" spans="1:2" x14ac:dyDescent="0.25">
      <c r="A502" s="16">
        <v>2210</v>
      </c>
      <c r="B502" s="17" t="s">
        <v>734</v>
      </c>
    </row>
    <row r="503" spans="1:2" x14ac:dyDescent="0.25">
      <c r="A503" s="16">
        <v>2212</v>
      </c>
      <c r="B503" s="17" t="s">
        <v>735</v>
      </c>
    </row>
    <row r="504" spans="1:2" x14ac:dyDescent="0.25">
      <c r="A504" s="16">
        <v>2213</v>
      </c>
      <c r="B504" s="17" t="s">
        <v>736</v>
      </c>
    </row>
    <row r="505" spans="1:2" x14ac:dyDescent="0.25">
      <c r="A505" s="16">
        <v>2214</v>
      </c>
      <c r="B505" s="17" t="s">
        <v>737</v>
      </c>
    </row>
    <row r="506" spans="1:2" x14ac:dyDescent="0.25">
      <c r="A506" s="16">
        <v>2215</v>
      </c>
      <c r="B506" s="17" t="s">
        <v>738</v>
      </c>
    </row>
    <row r="507" spans="1:2" x14ac:dyDescent="0.25">
      <c r="A507" s="16">
        <v>2217</v>
      </c>
      <c r="B507" s="17" t="s">
        <v>739</v>
      </c>
    </row>
    <row r="508" spans="1:2" x14ac:dyDescent="0.25">
      <c r="A508" s="16">
        <v>2218</v>
      </c>
      <c r="B508" s="17" t="s">
        <v>740</v>
      </c>
    </row>
    <row r="509" spans="1:2" x14ac:dyDescent="0.25">
      <c r="A509" s="16">
        <v>2219</v>
      </c>
      <c r="B509" s="17" t="s">
        <v>741</v>
      </c>
    </row>
    <row r="510" spans="1:2" x14ac:dyDescent="0.25">
      <c r="A510" s="16">
        <v>2222</v>
      </c>
      <c r="B510" s="17" t="s">
        <v>742</v>
      </c>
    </row>
    <row r="511" spans="1:2" x14ac:dyDescent="0.25">
      <c r="A511" s="16">
        <v>2224</v>
      </c>
      <c r="B511" s="17" t="s">
        <v>743</v>
      </c>
    </row>
    <row r="512" spans="1:2" x14ac:dyDescent="0.25">
      <c r="A512" s="16">
        <v>2225</v>
      </c>
      <c r="B512" s="17" t="s">
        <v>744</v>
      </c>
    </row>
    <row r="513" spans="1:2" x14ac:dyDescent="0.25">
      <c r="A513" s="16">
        <v>2226</v>
      </c>
      <c r="B513" s="17" t="s">
        <v>745</v>
      </c>
    </row>
    <row r="514" spans="1:2" x14ac:dyDescent="0.25">
      <c r="A514" s="16">
        <v>2229</v>
      </c>
      <c r="B514" s="17" t="s">
        <v>746</v>
      </c>
    </row>
    <row r="515" spans="1:2" x14ac:dyDescent="0.25">
      <c r="A515" s="16">
        <v>2230</v>
      </c>
      <c r="B515" s="17" t="s">
        <v>747</v>
      </c>
    </row>
    <row r="516" spans="1:2" x14ac:dyDescent="0.25">
      <c r="A516" s="16">
        <v>2231</v>
      </c>
      <c r="B516" s="17" t="s">
        <v>748</v>
      </c>
    </row>
    <row r="517" spans="1:2" x14ac:dyDescent="0.25">
      <c r="A517" s="16">
        <v>2233</v>
      </c>
      <c r="B517" s="17" t="s">
        <v>749</v>
      </c>
    </row>
    <row r="518" spans="1:2" x14ac:dyDescent="0.25">
      <c r="A518" s="16">
        <v>2234</v>
      </c>
      <c r="B518" s="17" t="s">
        <v>750</v>
      </c>
    </row>
    <row r="519" spans="1:2" x14ac:dyDescent="0.25">
      <c r="A519" s="16">
        <v>2235</v>
      </c>
      <c r="B519" s="17" t="s">
        <v>751</v>
      </c>
    </row>
    <row r="520" spans="1:2" x14ac:dyDescent="0.25">
      <c r="A520" s="16">
        <v>2236</v>
      </c>
      <c r="B520" s="17" t="s">
        <v>752</v>
      </c>
    </row>
    <row r="521" spans="1:2" x14ac:dyDescent="0.25">
      <c r="A521" s="16">
        <v>2237</v>
      </c>
      <c r="B521" s="17" t="s">
        <v>753</v>
      </c>
    </row>
    <row r="522" spans="1:2" x14ac:dyDescent="0.25">
      <c r="A522" s="16">
        <v>2238</v>
      </c>
      <c r="B522" s="17" t="s">
        <v>754</v>
      </c>
    </row>
    <row r="523" spans="1:2" x14ac:dyDescent="0.25">
      <c r="A523" s="16">
        <v>2240</v>
      </c>
      <c r="B523" s="17" t="s">
        <v>755</v>
      </c>
    </row>
    <row r="524" spans="1:2" x14ac:dyDescent="0.25">
      <c r="A524" s="16">
        <v>2241</v>
      </c>
      <c r="B524" s="17" t="s">
        <v>756</v>
      </c>
    </row>
    <row r="525" spans="1:2" x14ac:dyDescent="0.25">
      <c r="A525" s="16">
        <v>2243</v>
      </c>
      <c r="B525" s="17" t="s">
        <v>757</v>
      </c>
    </row>
    <row r="526" spans="1:2" x14ac:dyDescent="0.25">
      <c r="A526" s="16">
        <v>2244</v>
      </c>
      <c r="B526" s="17" t="s">
        <v>758</v>
      </c>
    </row>
    <row r="527" spans="1:2" x14ac:dyDescent="0.25">
      <c r="A527" s="16">
        <v>2245</v>
      </c>
      <c r="B527" s="17" t="s">
        <v>759</v>
      </c>
    </row>
    <row r="528" spans="1:2" x14ac:dyDescent="0.25">
      <c r="A528" s="16">
        <v>2246</v>
      </c>
      <c r="B528" s="17" t="s">
        <v>760</v>
      </c>
    </row>
    <row r="529" spans="1:2" x14ac:dyDescent="0.25">
      <c r="A529" s="16">
        <v>2248</v>
      </c>
      <c r="B529" s="17" t="s">
        <v>761</v>
      </c>
    </row>
    <row r="530" spans="1:2" x14ac:dyDescent="0.25">
      <c r="A530" s="16">
        <v>2249</v>
      </c>
      <c r="B530" s="17" t="s">
        <v>762</v>
      </c>
    </row>
    <row r="531" spans="1:2" x14ac:dyDescent="0.25">
      <c r="A531" s="16">
        <v>2250</v>
      </c>
      <c r="B531" s="17" t="s">
        <v>763</v>
      </c>
    </row>
    <row r="532" spans="1:2" x14ac:dyDescent="0.25">
      <c r="A532" s="16">
        <v>2251</v>
      </c>
      <c r="B532" s="17" t="s">
        <v>764</v>
      </c>
    </row>
    <row r="533" spans="1:2" x14ac:dyDescent="0.25">
      <c r="A533" s="16">
        <v>2252</v>
      </c>
      <c r="B533" s="17" t="s">
        <v>765</v>
      </c>
    </row>
    <row r="534" spans="1:2" x14ac:dyDescent="0.25">
      <c r="A534" s="16">
        <v>2253</v>
      </c>
      <c r="B534" s="17" t="s">
        <v>766</v>
      </c>
    </row>
    <row r="535" spans="1:2" x14ac:dyDescent="0.25">
      <c r="A535" s="16">
        <v>2254</v>
      </c>
      <c r="B535" s="17" t="s">
        <v>767</v>
      </c>
    </row>
    <row r="536" spans="1:2" x14ac:dyDescent="0.25">
      <c r="A536" s="16">
        <v>2255</v>
      </c>
      <c r="B536" s="17" t="s">
        <v>768</v>
      </c>
    </row>
    <row r="537" spans="1:2" x14ac:dyDescent="0.25">
      <c r="A537" s="16">
        <v>2256</v>
      </c>
      <c r="B537" s="17" t="s">
        <v>769</v>
      </c>
    </row>
    <row r="538" spans="1:2" x14ac:dyDescent="0.25">
      <c r="A538" s="16">
        <v>2257</v>
      </c>
      <c r="B538" s="17" t="s">
        <v>770</v>
      </c>
    </row>
    <row r="539" spans="1:2" x14ac:dyDescent="0.25">
      <c r="A539" s="16">
        <v>2258</v>
      </c>
      <c r="B539" s="17" t="s">
        <v>771</v>
      </c>
    </row>
    <row r="540" spans="1:2" x14ac:dyDescent="0.25">
      <c r="A540" s="16">
        <v>2259</v>
      </c>
      <c r="B540" s="17" t="s">
        <v>772</v>
      </c>
    </row>
    <row r="541" spans="1:2" x14ac:dyDescent="0.25">
      <c r="A541" s="16">
        <v>2260</v>
      </c>
      <c r="B541" s="17" t="s">
        <v>773</v>
      </c>
    </row>
    <row r="542" spans="1:2" x14ac:dyDescent="0.25">
      <c r="A542" s="16">
        <v>2263</v>
      </c>
      <c r="B542" s="17" t="s">
        <v>774</v>
      </c>
    </row>
    <row r="543" spans="1:2" x14ac:dyDescent="0.25">
      <c r="A543" s="16">
        <v>2264</v>
      </c>
      <c r="B543" s="17" t="s">
        <v>775</v>
      </c>
    </row>
    <row r="544" spans="1:2" x14ac:dyDescent="0.25">
      <c r="A544" s="16">
        <v>2265</v>
      </c>
      <c r="B544" s="17" t="s">
        <v>776</v>
      </c>
    </row>
    <row r="545" spans="1:2" x14ac:dyDescent="0.25">
      <c r="A545" s="16">
        <v>2266</v>
      </c>
      <c r="B545" s="17" t="s">
        <v>777</v>
      </c>
    </row>
    <row r="546" spans="1:2" x14ac:dyDescent="0.25">
      <c r="A546" s="16">
        <v>2268</v>
      </c>
      <c r="B546" s="17" t="s">
        <v>778</v>
      </c>
    </row>
    <row r="547" spans="1:2" x14ac:dyDescent="0.25">
      <c r="A547" s="16">
        <v>2269</v>
      </c>
      <c r="B547" s="17" t="s">
        <v>779</v>
      </c>
    </row>
    <row r="548" spans="1:2" x14ac:dyDescent="0.25">
      <c r="A548" s="16">
        <v>2270</v>
      </c>
      <c r="B548" s="17" t="s">
        <v>780</v>
      </c>
    </row>
    <row r="549" spans="1:2" x14ac:dyDescent="0.25">
      <c r="A549" s="16">
        <v>2272</v>
      </c>
      <c r="B549" s="17" t="s">
        <v>781</v>
      </c>
    </row>
    <row r="550" spans="1:2" x14ac:dyDescent="0.25">
      <c r="A550" s="16">
        <v>2273</v>
      </c>
      <c r="B550" s="17" t="s">
        <v>782</v>
      </c>
    </row>
    <row r="551" spans="1:2" x14ac:dyDescent="0.25">
      <c r="A551" s="16">
        <v>2274</v>
      </c>
      <c r="B551" s="17" t="s">
        <v>783</v>
      </c>
    </row>
    <row r="552" spans="1:2" x14ac:dyDescent="0.25">
      <c r="A552" s="16">
        <v>2275</v>
      </c>
      <c r="B552" s="17" t="s">
        <v>784</v>
      </c>
    </row>
    <row r="553" spans="1:2" x14ac:dyDescent="0.25">
      <c r="A553" s="16">
        <v>2276</v>
      </c>
      <c r="B553" s="17" t="s">
        <v>785</v>
      </c>
    </row>
    <row r="554" spans="1:2" x14ac:dyDescent="0.25">
      <c r="A554" s="16">
        <v>2278</v>
      </c>
      <c r="B554" s="17" t="s">
        <v>786</v>
      </c>
    </row>
    <row r="555" spans="1:2" x14ac:dyDescent="0.25">
      <c r="A555" s="16">
        <v>2279</v>
      </c>
      <c r="B555" s="17" t="s">
        <v>787</v>
      </c>
    </row>
    <row r="556" spans="1:2" x14ac:dyDescent="0.25">
      <c r="A556" s="16">
        <v>2280</v>
      </c>
      <c r="B556" s="17" t="s">
        <v>788</v>
      </c>
    </row>
    <row r="557" spans="1:2" x14ac:dyDescent="0.25">
      <c r="A557" s="16">
        <v>2281</v>
      </c>
      <c r="B557" s="17" t="s">
        <v>789</v>
      </c>
    </row>
    <row r="558" spans="1:2" x14ac:dyDescent="0.25">
      <c r="A558" s="16">
        <v>2282</v>
      </c>
      <c r="B558" s="17" t="s">
        <v>790</v>
      </c>
    </row>
    <row r="559" spans="1:2" x14ac:dyDescent="0.25">
      <c r="A559" s="16">
        <v>2283</v>
      </c>
      <c r="B559" s="17" t="s">
        <v>791</v>
      </c>
    </row>
    <row r="560" spans="1:2" x14ac:dyDescent="0.25">
      <c r="A560" s="16">
        <v>2284</v>
      </c>
      <c r="B560" s="17" t="s">
        <v>792</v>
      </c>
    </row>
    <row r="561" spans="1:2" x14ac:dyDescent="0.25">
      <c r="A561" s="16">
        <v>2285</v>
      </c>
      <c r="B561" s="17" t="s">
        <v>793</v>
      </c>
    </row>
    <row r="562" spans="1:2" x14ac:dyDescent="0.25">
      <c r="A562" s="16">
        <v>2288</v>
      </c>
      <c r="B562" s="17" t="s">
        <v>794</v>
      </c>
    </row>
    <row r="563" spans="1:2" x14ac:dyDescent="0.25">
      <c r="A563" s="16">
        <v>2289</v>
      </c>
      <c r="B563" s="17" t="s">
        <v>795</v>
      </c>
    </row>
    <row r="564" spans="1:2" x14ac:dyDescent="0.25">
      <c r="A564" s="16">
        <v>2290</v>
      </c>
      <c r="B564" s="17" t="s">
        <v>796</v>
      </c>
    </row>
    <row r="565" spans="1:2" x14ac:dyDescent="0.25">
      <c r="A565" s="16">
        <v>2292</v>
      </c>
      <c r="B565" s="17" t="s">
        <v>797</v>
      </c>
    </row>
    <row r="566" spans="1:2" x14ac:dyDescent="0.25">
      <c r="A566" s="16">
        <v>2301</v>
      </c>
      <c r="B566" s="17" t="s">
        <v>798</v>
      </c>
    </row>
    <row r="567" spans="1:2" x14ac:dyDescent="0.25">
      <c r="A567" s="16">
        <v>2302</v>
      </c>
      <c r="B567" s="17" t="s">
        <v>799</v>
      </c>
    </row>
    <row r="568" spans="1:2" x14ac:dyDescent="0.25">
      <c r="A568" s="16">
        <v>2304</v>
      </c>
      <c r="B568" s="17" t="s">
        <v>800</v>
      </c>
    </row>
    <row r="569" spans="1:2" x14ac:dyDescent="0.25">
      <c r="A569" s="16">
        <v>2305</v>
      </c>
      <c r="B569" s="17" t="s">
        <v>801</v>
      </c>
    </row>
    <row r="570" spans="1:2" x14ac:dyDescent="0.25">
      <c r="A570" s="16">
        <v>2306</v>
      </c>
      <c r="B570" s="17" t="s">
        <v>802</v>
      </c>
    </row>
    <row r="571" spans="1:2" x14ac:dyDescent="0.25">
      <c r="A571" s="16">
        <v>2307</v>
      </c>
      <c r="B571" s="17" t="s">
        <v>803</v>
      </c>
    </row>
    <row r="572" spans="1:2" x14ac:dyDescent="0.25">
      <c r="A572" s="16">
        <v>2308</v>
      </c>
      <c r="B572" s="17" t="s">
        <v>804</v>
      </c>
    </row>
    <row r="573" spans="1:2" x14ac:dyDescent="0.25">
      <c r="A573" s="16">
        <v>2311</v>
      </c>
      <c r="B573" s="17" t="s">
        <v>805</v>
      </c>
    </row>
    <row r="574" spans="1:2" x14ac:dyDescent="0.25">
      <c r="A574" s="16">
        <v>2312</v>
      </c>
      <c r="B574" s="17" t="s">
        <v>806</v>
      </c>
    </row>
    <row r="575" spans="1:2" x14ac:dyDescent="0.25">
      <c r="A575" s="16">
        <v>2313</v>
      </c>
      <c r="B575" s="17" t="s">
        <v>807</v>
      </c>
    </row>
    <row r="576" spans="1:2" x14ac:dyDescent="0.25">
      <c r="A576" s="16">
        <v>2314</v>
      </c>
      <c r="B576" s="17" t="s">
        <v>808</v>
      </c>
    </row>
    <row r="577" spans="1:2" x14ac:dyDescent="0.25">
      <c r="A577" s="16">
        <v>2323</v>
      </c>
      <c r="B577" s="17" t="s">
        <v>809</v>
      </c>
    </row>
    <row r="578" spans="1:2" x14ac:dyDescent="0.25">
      <c r="A578" s="16">
        <v>2325</v>
      </c>
      <c r="B578" s="17" t="s">
        <v>810</v>
      </c>
    </row>
    <row r="579" spans="1:2" x14ac:dyDescent="0.25">
      <c r="A579" s="16">
        <v>2326</v>
      </c>
      <c r="B579" s="17" t="s">
        <v>811</v>
      </c>
    </row>
    <row r="580" spans="1:2" x14ac:dyDescent="0.25">
      <c r="A580" s="16">
        <v>2327</v>
      </c>
      <c r="B580" s="17" t="s">
        <v>812</v>
      </c>
    </row>
    <row r="581" spans="1:2" x14ac:dyDescent="0.25">
      <c r="A581" s="16">
        <v>2329</v>
      </c>
      <c r="B581" s="17" t="s">
        <v>813</v>
      </c>
    </row>
    <row r="582" spans="1:2" x14ac:dyDescent="0.25">
      <c r="A582" s="16">
        <v>2330</v>
      </c>
      <c r="B582" s="17" t="s">
        <v>814</v>
      </c>
    </row>
    <row r="583" spans="1:2" x14ac:dyDescent="0.25">
      <c r="A583" s="16">
        <v>2331</v>
      </c>
      <c r="B583" s="17" t="s">
        <v>815</v>
      </c>
    </row>
    <row r="584" spans="1:2" x14ac:dyDescent="0.25">
      <c r="A584" s="16">
        <v>2337</v>
      </c>
      <c r="B584" s="17" t="s">
        <v>816</v>
      </c>
    </row>
    <row r="585" spans="1:2" x14ac:dyDescent="0.25">
      <c r="A585" s="16">
        <v>2338</v>
      </c>
      <c r="B585" s="17" t="s">
        <v>817</v>
      </c>
    </row>
    <row r="586" spans="1:2" x14ac:dyDescent="0.25">
      <c r="A586" s="16">
        <v>2339</v>
      </c>
      <c r="B586" s="17" t="s">
        <v>818</v>
      </c>
    </row>
    <row r="587" spans="1:2" x14ac:dyDescent="0.25">
      <c r="A587" s="16">
        <v>2340</v>
      </c>
      <c r="B587" s="17" t="s">
        <v>819</v>
      </c>
    </row>
    <row r="588" spans="1:2" x14ac:dyDescent="0.25">
      <c r="A588" s="16">
        <v>2343</v>
      </c>
      <c r="B588" s="17" t="s">
        <v>820</v>
      </c>
    </row>
    <row r="589" spans="1:2" x14ac:dyDescent="0.25">
      <c r="A589" s="16">
        <v>2344</v>
      </c>
      <c r="B589" s="17" t="s">
        <v>821</v>
      </c>
    </row>
    <row r="590" spans="1:2" x14ac:dyDescent="0.25">
      <c r="A590" s="16">
        <v>2345</v>
      </c>
      <c r="B590" s="17" t="s">
        <v>822</v>
      </c>
    </row>
    <row r="591" spans="1:2" x14ac:dyDescent="0.25">
      <c r="A591" s="16">
        <v>2346</v>
      </c>
      <c r="B591" s="17" t="s">
        <v>823</v>
      </c>
    </row>
    <row r="592" spans="1:2" x14ac:dyDescent="0.25">
      <c r="A592" s="16">
        <v>2347</v>
      </c>
      <c r="B592" s="17" t="s">
        <v>824</v>
      </c>
    </row>
    <row r="593" spans="1:2" x14ac:dyDescent="0.25">
      <c r="A593" s="16">
        <v>2348</v>
      </c>
      <c r="B593" s="17" t="s">
        <v>825</v>
      </c>
    </row>
    <row r="594" spans="1:2" x14ac:dyDescent="0.25">
      <c r="A594" s="16">
        <v>2349</v>
      </c>
      <c r="B594" s="17" t="s">
        <v>826</v>
      </c>
    </row>
    <row r="595" spans="1:2" x14ac:dyDescent="0.25">
      <c r="A595" s="16">
        <v>2350</v>
      </c>
      <c r="B595" s="17" t="s">
        <v>827</v>
      </c>
    </row>
    <row r="596" spans="1:2" x14ac:dyDescent="0.25">
      <c r="A596" s="16">
        <v>2351</v>
      </c>
      <c r="B596" s="17" t="s">
        <v>828</v>
      </c>
    </row>
    <row r="597" spans="1:2" x14ac:dyDescent="0.25">
      <c r="A597" s="16">
        <v>2352</v>
      </c>
      <c r="B597" s="17" t="s">
        <v>829</v>
      </c>
    </row>
    <row r="598" spans="1:2" x14ac:dyDescent="0.25">
      <c r="A598" s="16">
        <v>2353</v>
      </c>
      <c r="B598" s="17" t="s">
        <v>830</v>
      </c>
    </row>
    <row r="599" spans="1:2" x14ac:dyDescent="0.25">
      <c r="A599" s="16">
        <v>2354</v>
      </c>
      <c r="B599" s="17" t="s">
        <v>831</v>
      </c>
    </row>
    <row r="600" spans="1:2" x14ac:dyDescent="0.25">
      <c r="A600" s="16">
        <v>2355</v>
      </c>
      <c r="B600" s="17" t="s">
        <v>832</v>
      </c>
    </row>
    <row r="601" spans="1:2" x14ac:dyDescent="0.25">
      <c r="A601" s="16">
        <v>2356</v>
      </c>
      <c r="B601" s="17" t="s">
        <v>833</v>
      </c>
    </row>
    <row r="602" spans="1:2" x14ac:dyDescent="0.25">
      <c r="A602" s="16">
        <v>2359</v>
      </c>
      <c r="B602" s="17" t="s">
        <v>834</v>
      </c>
    </row>
    <row r="603" spans="1:2" x14ac:dyDescent="0.25">
      <c r="A603" s="16">
        <v>2360</v>
      </c>
      <c r="B603" s="17" t="s">
        <v>835</v>
      </c>
    </row>
    <row r="604" spans="1:2" x14ac:dyDescent="0.25">
      <c r="A604" s="16">
        <v>2361</v>
      </c>
      <c r="B604" s="17" t="s">
        <v>836</v>
      </c>
    </row>
    <row r="605" spans="1:2" x14ac:dyDescent="0.25">
      <c r="A605" s="16">
        <v>2362</v>
      </c>
      <c r="B605" s="17" t="s">
        <v>837</v>
      </c>
    </row>
    <row r="606" spans="1:2" x14ac:dyDescent="0.25">
      <c r="A606" s="16">
        <v>2363</v>
      </c>
      <c r="B606" s="17" t="s">
        <v>838</v>
      </c>
    </row>
    <row r="607" spans="1:2" x14ac:dyDescent="0.25">
      <c r="A607" s="16">
        <v>2364</v>
      </c>
      <c r="B607" s="17" t="s">
        <v>839</v>
      </c>
    </row>
    <row r="608" spans="1:2" x14ac:dyDescent="0.25">
      <c r="A608" s="16">
        <v>2365</v>
      </c>
      <c r="B608" s="17" t="s">
        <v>840</v>
      </c>
    </row>
    <row r="609" spans="1:2" x14ac:dyDescent="0.25">
      <c r="A609" s="16">
        <v>2366</v>
      </c>
      <c r="B609" s="17" t="s">
        <v>841</v>
      </c>
    </row>
    <row r="610" spans="1:2" x14ac:dyDescent="0.25">
      <c r="A610" s="16">
        <v>2367</v>
      </c>
      <c r="B610" s="17" t="s">
        <v>842</v>
      </c>
    </row>
    <row r="611" spans="1:2" x14ac:dyDescent="0.25">
      <c r="A611" s="16">
        <v>2368</v>
      </c>
      <c r="B611" s="17" t="s">
        <v>843</v>
      </c>
    </row>
    <row r="612" spans="1:2" x14ac:dyDescent="0.25">
      <c r="A612" s="16">
        <v>2370</v>
      </c>
      <c r="B612" s="17" t="s">
        <v>844</v>
      </c>
    </row>
    <row r="613" spans="1:2" x14ac:dyDescent="0.25">
      <c r="A613" s="16">
        <v>2371</v>
      </c>
      <c r="B613" s="17" t="s">
        <v>845</v>
      </c>
    </row>
    <row r="614" spans="1:2" x14ac:dyDescent="0.25">
      <c r="A614" s="16">
        <v>2372</v>
      </c>
      <c r="B614" s="17" t="s">
        <v>846</v>
      </c>
    </row>
    <row r="615" spans="1:2" x14ac:dyDescent="0.25">
      <c r="A615" s="16">
        <v>2374</v>
      </c>
      <c r="B615" s="17" t="s">
        <v>847</v>
      </c>
    </row>
    <row r="616" spans="1:2" x14ac:dyDescent="0.25">
      <c r="A616" s="16">
        <v>2375</v>
      </c>
      <c r="B616" s="17" t="s">
        <v>848</v>
      </c>
    </row>
    <row r="617" spans="1:2" x14ac:dyDescent="0.25">
      <c r="A617" s="16">
        <v>2376</v>
      </c>
      <c r="B617" s="17" t="s">
        <v>849</v>
      </c>
    </row>
    <row r="618" spans="1:2" x14ac:dyDescent="0.25">
      <c r="A618" s="16">
        <v>2377</v>
      </c>
      <c r="B618" s="17" t="s">
        <v>850</v>
      </c>
    </row>
    <row r="619" spans="1:2" x14ac:dyDescent="0.25">
      <c r="A619" s="16">
        <v>2378</v>
      </c>
      <c r="B619" s="17" t="s">
        <v>851</v>
      </c>
    </row>
    <row r="620" spans="1:2" x14ac:dyDescent="0.25">
      <c r="A620" s="16">
        <v>2380</v>
      </c>
      <c r="B620" s="17" t="s">
        <v>852</v>
      </c>
    </row>
    <row r="621" spans="1:2" x14ac:dyDescent="0.25">
      <c r="A621" s="16">
        <v>2382</v>
      </c>
      <c r="B621" s="17" t="s">
        <v>853</v>
      </c>
    </row>
    <row r="622" spans="1:2" x14ac:dyDescent="0.25">
      <c r="A622" s="16">
        <v>2383</v>
      </c>
      <c r="B622" s="17" t="s">
        <v>854</v>
      </c>
    </row>
    <row r="623" spans="1:2" x14ac:dyDescent="0.25">
      <c r="A623" s="16">
        <v>2384</v>
      </c>
      <c r="B623" s="17" t="s">
        <v>855</v>
      </c>
    </row>
    <row r="624" spans="1:2" x14ac:dyDescent="0.25">
      <c r="A624" s="16">
        <v>2385</v>
      </c>
      <c r="B624" s="17" t="s">
        <v>856</v>
      </c>
    </row>
    <row r="625" spans="1:2" x14ac:dyDescent="0.25">
      <c r="A625" s="16">
        <v>2386</v>
      </c>
      <c r="B625" s="17" t="s">
        <v>857</v>
      </c>
    </row>
    <row r="626" spans="1:2" x14ac:dyDescent="0.25">
      <c r="A626" s="16">
        <v>2387</v>
      </c>
      <c r="B626" s="17" t="s">
        <v>858</v>
      </c>
    </row>
    <row r="627" spans="1:2" x14ac:dyDescent="0.25">
      <c r="A627" s="16">
        <v>2388</v>
      </c>
      <c r="B627" s="17" t="s">
        <v>859</v>
      </c>
    </row>
    <row r="628" spans="1:2" x14ac:dyDescent="0.25">
      <c r="A628" s="16">
        <v>2389</v>
      </c>
      <c r="B628" s="17" t="s">
        <v>860</v>
      </c>
    </row>
    <row r="629" spans="1:2" x14ac:dyDescent="0.25">
      <c r="A629" s="16">
        <v>2390</v>
      </c>
      <c r="B629" s="17" t="s">
        <v>861</v>
      </c>
    </row>
    <row r="630" spans="1:2" x14ac:dyDescent="0.25">
      <c r="A630" s="16">
        <v>2392</v>
      </c>
      <c r="B630" s="17" t="s">
        <v>862</v>
      </c>
    </row>
    <row r="631" spans="1:2" x14ac:dyDescent="0.25">
      <c r="A631" s="16">
        <v>2393</v>
      </c>
      <c r="B631" s="17" t="s">
        <v>863</v>
      </c>
    </row>
    <row r="632" spans="1:2" x14ac:dyDescent="0.25">
      <c r="A632" s="16">
        <v>2396</v>
      </c>
      <c r="B632" s="17" t="s">
        <v>864</v>
      </c>
    </row>
    <row r="633" spans="1:2" x14ac:dyDescent="0.25">
      <c r="A633" s="16">
        <v>2397</v>
      </c>
      <c r="B633" s="17" t="s">
        <v>865</v>
      </c>
    </row>
    <row r="634" spans="1:2" x14ac:dyDescent="0.25">
      <c r="A634" s="16">
        <v>2398</v>
      </c>
      <c r="B634" s="17" t="s">
        <v>866</v>
      </c>
    </row>
    <row r="635" spans="1:2" x14ac:dyDescent="0.25">
      <c r="A635" s="16">
        <v>2399</v>
      </c>
      <c r="B635" s="17" t="s">
        <v>867</v>
      </c>
    </row>
    <row r="636" spans="1:2" x14ac:dyDescent="0.25">
      <c r="A636" s="16">
        <v>2400</v>
      </c>
      <c r="B636" s="17" t="s">
        <v>868</v>
      </c>
    </row>
    <row r="637" spans="1:2" x14ac:dyDescent="0.25">
      <c r="A637" s="16">
        <v>2402</v>
      </c>
      <c r="B637" s="17" t="s">
        <v>869</v>
      </c>
    </row>
    <row r="638" spans="1:2" x14ac:dyDescent="0.25">
      <c r="A638" s="16">
        <v>2403</v>
      </c>
      <c r="B638" s="17" t="s">
        <v>870</v>
      </c>
    </row>
    <row r="639" spans="1:2" x14ac:dyDescent="0.25">
      <c r="A639" s="16">
        <v>2404</v>
      </c>
      <c r="B639" s="17" t="s">
        <v>871</v>
      </c>
    </row>
    <row r="640" spans="1:2" x14ac:dyDescent="0.25">
      <c r="A640" s="16">
        <v>2405</v>
      </c>
      <c r="B640" s="17" t="s">
        <v>872</v>
      </c>
    </row>
    <row r="641" spans="1:2" x14ac:dyDescent="0.25">
      <c r="A641" s="16">
        <v>2406</v>
      </c>
      <c r="B641" s="17" t="s">
        <v>873</v>
      </c>
    </row>
    <row r="642" spans="1:2" x14ac:dyDescent="0.25">
      <c r="A642" s="16">
        <v>2408</v>
      </c>
      <c r="B642" s="17" t="s">
        <v>874</v>
      </c>
    </row>
    <row r="643" spans="1:2" x14ac:dyDescent="0.25">
      <c r="A643" s="16">
        <v>2409</v>
      </c>
      <c r="B643" s="17" t="s">
        <v>875</v>
      </c>
    </row>
    <row r="644" spans="1:2" x14ac:dyDescent="0.25">
      <c r="A644" s="16">
        <v>2411</v>
      </c>
      <c r="B644" s="17" t="s">
        <v>876</v>
      </c>
    </row>
    <row r="645" spans="1:2" x14ac:dyDescent="0.25">
      <c r="A645" s="16">
        <v>2413</v>
      </c>
      <c r="B645" s="17" t="s">
        <v>877</v>
      </c>
    </row>
    <row r="646" spans="1:2" x14ac:dyDescent="0.25">
      <c r="A646" s="16">
        <v>2415</v>
      </c>
      <c r="B646" s="17" t="s">
        <v>878</v>
      </c>
    </row>
    <row r="647" spans="1:2" x14ac:dyDescent="0.25">
      <c r="A647" s="16">
        <v>2417</v>
      </c>
      <c r="B647" s="17" t="s">
        <v>879</v>
      </c>
    </row>
    <row r="648" spans="1:2" x14ac:dyDescent="0.25">
      <c r="A648" s="16">
        <v>2418</v>
      </c>
      <c r="B648" s="17" t="s">
        <v>880</v>
      </c>
    </row>
    <row r="649" spans="1:2" x14ac:dyDescent="0.25">
      <c r="A649" s="16">
        <v>2419</v>
      </c>
      <c r="B649" s="17" t="s">
        <v>881</v>
      </c>
    </row>
    <row r="650" spans="1:2" x14ac:dyDescent="0.25">
      <c r="A650" s="16">
        <v>2420</v>
      </c>
      <c r="B650" s="17" t="s">
        <v>882</v>
      </c>
    </row>
    <row r="651" spans="1:2" x14ac:dyDescent="0.25">
      <c r="A651" s="16">
        <v>2421</v>
      </c>
      <c r="B651" s="17" t="s">
        <v>883</v>
      </c>
    </row>
    <row r="652" spans="1:2" x14ac:dyDescent="0.25">
      <c r="A652" s="16">
        <v>2423</v>
      </c>
      <c r="B652" s="17" t="s">
        <v>884</v>
      </c>
    </row>
    <row r="653" spans="1:2" x14ac:dyDescent="0.25">
      <c r="A653" s="16">
        <v>2424</v>
      </c>
      <c r="B653" s="17" t="s">
        <v>885</v>
      </c>
    </row>
    <row r="654" spans="1:2" x14ac:dyDescent="0.25">
      <c r="A654" s="16">
        <v>2425</v>
      </c>
      <c r="B654" s="17" t="s">
        <v>886</v>
      </c>
    </row>
    <row r="655" spans="1:2" x14ac:dyDescent="0.25">
      <c r="A655" s="16">
        <v>2427</v>
      </c>
      <c r="B655" s="17" t="s">
        <v>887</v>
      </c>
    </row>
    <row r="656" spans="1:2" x14ac:dyDescent="0.25">
      <c r="A656" s="16">
        <v>2431</v>
      </c>
      <c r="B656" s="17" t="s">
        <v>888</v>
      </c>
    </row>
    <row r="657" spans="1:2" x14ac:dyDescent="0.25">
      <c r="A657" s="16">
        <v>2433</v>
      </c>
      <c r="B657" s="17" t="s">
        <v>889</v>
      </c>
    </row>
    <row r="658" spans="1:2" x14ac:dyDescent="0.25">
      <c r="A658" s="16">
        <v>2435</v>
      </c>
      <c r="B658" s="17" t="s">
        <v>890</v>
      </c>
    </row>
    <row r="659" spans="1:2" x14ac:dyDescent="0.25">
      <c r="A659" s="16">
        <v>2436</v>
      </c>
      <c r="B659" s="17" t="s">
        <v>891</v>
      </c>
    </row>
    <row r="660" spans="1:2" x14ac:dyDescent="0.25">
      <c r="A660" s="16">
        <v>2437</v>
      </c>
      <c r="B660" s="17" t="s">
        <v>892</v>
      </c>
    </row>
    <row r="661" spans="1:2" x14ac:dyDescent="0.25">
      <c r="A661" s="16">
        <v>2438</v>
      </c>
      <c r="B661" s="17" t="s">
        <v>893</v>
      </c>
    </row>
    <row r="662" spans="1:2" x14ac:dyDescent="0.25">
      <c r="A662" s="16">
        <v>2439</v>
      </c>
      <c r="B662" s="17" t="s">
        <v>894</v>
      </c>
    </row>
    <row r="663" spans="1:2" x14ac:dyDescent="0.25">
      <c r="A663" s="16">
        <v>2441</v>
      </c>
      <c r="B663" s="17" t="s">
        <v>895</v>
      </c>
    </row>
    <row r="664" spans="1:2" x14ac:dyDescent="0.25">
      <c r="A664" s="16">
        <v>2442</v>
      </c>
      <c r="B664" s="17" t="s">
        <v>896</v>
      </c>
    </row>
    <row r="665" spans="1:2" x14ac:dyDescent="0.25">
      <c r="A665" s="16">
        <v>2443</v>
      </c>
      <c r="B665" s="17" t="s">
        <v>897</v>
      </c>
    </row>
    <row r="666" spans="1:2" x14ac:dyDescent="0.25">
      <c r="A666" s="16">
        <v>2444</v>
      </c>
      <c r="B666" s="17" t="s">
        <v>898</v>
      </c>
    </row>
    <row r="667" spans="1:2" x14ac:dyDescent="0.25">
      <c r="A667" s="16">
        <v>2446</v>
      </c>
      <c r="B667" s="17" t="s">
        <v>899</v>
      </c>
    </row>
    <row r="668" spans="1:2" x14ac:dyDescent="0.25">
      <c r="A668" s="16">
        <v>2449</v>
      </c>
      <c r="B668" s="17" t="s">
        <v>900</v>
      </c>
    </row>
    <row r="669" spans="1:2" x14ac:dyDescent="0.25">
      <c r="A669" s="16">
        <v>2450</v>
      </c>
      <c r="B669" s="17" t="s">
        <v>901</v>
      </c>
    </row>
    <row r="670" spans="1:2" x14ac:dyDescent="0.25">
      <c r="A670" s="16">
        <v>2451</v>
      </c>
      <c r="B670" s="17" t="s">
        <v>902</v>
      </c>
    </row>
    <row r="671" spans="1:2" x14ac:dyDescent="0.25">
      <c r="A671" s="16">
        <v>2452</v>
      </c>
      <c r="B671" s="17" t="s">
        <v>903</v>
      </c>
    </row>
    <row r="672" spans="1:2" x14ac:dyDescent="0.25">
      <c r="A672" s="16">
        <v>2453</v>
      </c>
      <c r="B672" s="17" t="s">
        <v>904</v>
      </c>
    </row>
    <row r="673" spans="1:2" x14ac:dyDescent="0.25">
      <c r="A673" s="16">
        <v>2456</v>
      </c>
      <c r="B673" s="17" t="s">
        <v>905</v>
      </c>
    </row>
    <row r="674" spans="1:2" x14ac:dyDescent="0.25">
      <c r="A674" s="16">
        <v>2458</v>
      </c>
      <c r="B674" s="17" t="s">
        <v>906</v>
      </c>
    </row>
    <row r="675" spans="1:2" x14ac:dyDescent="0.25">
      <c r="A675" s="16">
        <v>2460</v>
      </c>
      <c r="B675" s="17" t="s">
        <v>907</v>
      </c>
    </row>
    <row r="676" spans="1:2" x14ac:dyDescent="0.25">
      <c r="A676" s="16">
        <v>2461</v>
      </c>
      <c r="B676" s="17" t="s">
        <v>908</v>
      </c>
    </row>
    <row r="677" spans="1:2" x14ac:dyDescent="0.25">
      <c r="A677" s="16">
        <v>2464</v>
      </c>
      <c r="B677" s="17" t="s">
        <v>909</v>
      </c>
    </row>
    <row r="678" spans="1:2" x14ac:dyDescent="0.25">
      <c r="A678" s="16">
        <v>2465</v>
      </c>
      <c r="B678" s="17" t="s">
        <v>910</v>
      </c>
    </row>
    <row r="679" spans="1:2" x14ac:dyDescent="0.25">
      <c r="A679" s="16">
        <v>2468</v>
      </c>
      <c r="B679" s="17" t="s">
        <v>911</v>
      </c>
    </row>
    <row r="680" spans="1:2" x14ac:dyDescent="0.25">
      <c r="A680" s="16">
        <v>2469</v>
      </c>
      <c r="B680" s="17" t="s">
        <v>912</v>
      </c>
    </row>
    <row r="681" spans="1:2" x14ac:dyDescent="0.25">
      <c r="A681" s="16">
        <v>2470</v>
      </c>
      <c r="B681" s="17" t="s">
        <v>913</v>
      </c>
    </row>
    <row r="682" spans="1:2" x14ac:dyDescent="0.25">
      <c r="A682" s="16">
        <v>2471</v>
      </c>
      <c r="B682" s="17" t="s">
        <v>914</v>
      </c>
    </row>
    <row r="683" spans="1:2" x14ac:dyDescent="0.25">
      <c r="A683" s="16">
        <v>2473</v>
      </c>
      <c r="B683" s="17" t="s">
        <v>915</v>
      </c>
    </row>
    <row r="684" spans="1:2" x14ac:dyDescent="0.25">
      <c r="A684" s="16">
        <v>2474</v>
      </c>
      <c r="B684" s="17" t="s">
        <v>916</v>
      </c>
    </row>
    <row r="685" spans="1:2" x14ac:dyDescent="0.25">
      <c r="A685" s="16">
        <v>2475</v>
      </c>
      <c r="B685" s="17" t="s">
        <v>917</v>
      </c>
    </row>
    <row r="686" spans="1:2" x14ac:dyDescent="0.25">
      <c r="A686" s="16">
        <v>2476</v>
      </c>
      <c r="B686" s="17" t="s">
        <v>918</v>
      </c>
    </row>
    <row r="687" spans="1:2" x14ac:dyDescent="0.25">
      <c r="A687" s="16">
        <v>2477</v>
      </c>
      <c r="B687" s="17" t="s">
        <v>919</v>
      </c>
    </row>
    <row r="688" spans="1:2" x14ac:dyDescent="0.25">
      <c r="A688" s="16">
        <v>2478</v>
      </c>
      <c r="B688" s="17" t="s">
        <v>920</v>
      </c>
    </row>
    <row r="689" spans="1:2" x14ac:dyDescent="0.25">
      <c r="A689" s="16">
        <v>2479</v>
      </c>
      <c r="B689" s="17" t="s">
        <v>921</v>
      </c>
    </row>
    <row r="690" spans="1:2" x14ac:dyDescent="0.25">
      <c r="A690" s="16">
        <v>2480</v>
      </c>
      <c r="B690" s="17" t="s">
        <v>922</v>
      </c>
    </row>
    <row r="691" spans="1:2" x14ac:dyDescent="0.25">
      <c r="A691" s="16">
        <v>2481</v>
      </c>
      <c r="B691" s="17" t="s">
        <v>923</v>
      </c>
    </row>
    <row r="692" spans="1:2" x14ac:dyDescent="0.25">
      <c r="A692" s="16">
        <v>2483</v>
      </c>
      <c r="B692" s="17" t="s">
        <v>924</v>
      </c>
    </row>
    <row r="693" spans="1:2" x14ac:dyDescent="0.25">
      <c r="A693" s="16">
        <v>2484</v>
      </c>
      <c r="B693" s="17" t="s">
        <v>925</v>
      </c>
    </row>
    <row r="694" spans="1:2" x14ac:dyDescent="0.25">
      <c r="A694" s="16">
        <v>2485</v>
      </c>
      <c r="B694" s="17" t="s">
        <v>926</v>
      </c>
    </row>
    <row r="695" spans="1:2" x14ac:dyDescent="0.25">
      <c r="A695" s="16">
        <v>2486</v>
      </c>
      <c r="B695" s="17" t="s">
        <v>927</v>
      </c>
    </row>
    <row r="696" spans="1:2" x14ac:dyDescent="0.25">
      <c r="A696" s="16">
        <v>2488</v>
      </c>
      <c r="B696" s="17" t="s">
        <v>928</v>
      </c>
    </row>
    <row r="697" spans="1:2" x14ac:dyDescent="0.25">
      <c r="A697" s="16">
        <v>2489</v>
      </c>
      <c r="B697" s="17" t="s">
        <v>929</v>
      </c>
    </row>
    <row r="698" spans="1:2" x14ac:dyDescent="0.25">
      <c r="A698" s="16">
        <v>2491</v>
      </c>
      <c r="B698" s="17" t="s">
        <v>930</v>
      </c>
    </row>
    <row r="699" spans="1:2" x14ac:dyDescent="0.25">
      <c r="A699" s="16">
        <v>2492</v>
      </c>
      <c r="B699" s="17" t="s">
        <v>931</v>
      </c>
    </row>
    <row r="700" spans="1:2" x14ac:dyDescent="0.25">
      <c r="A700" s="16">
        <v>2493</v>
      </c>
      <c r="B700" s="17" t="s">
        <v>932</v>
      </c>
    </row>
    <row r="701" spans="1:2" x14ac:dyDescent="0.25">
      <c r="A701" s="16">
        <v>2494</v>
      </c>
      <c r="B701" s="17" t="s">
        <v>933</v>
      </c>
    </row>
    <row r="702" spans="1:2" x14ac:dyDescent="0.25">
      <c r="A702" s="16">
        <v>2495</v>
      </c>
      <c r="B702" s="17" t="s">
        <v>934</v>
      </c>
    </row>
    <row r="703" spans="1:2" x14ac:dyDescent="0.25">
      <c r="A703" s="16">
        <v>2496</v>
      </c>
      <c r="B703" s="17" t="s">
        <v>935</v>
      </c>
    </row>
    <row r="704" spans="1:2" x14ac:dyDescent="0.25">
      <c r="A704" s="16">
        <v>2498</v>
      </c>
      <c r="B704" s="17" t="s">
        <v>936</v>
      </c>
    </row>
    <row r="705" spans="1:2" x14ac:dyDescent="0.25">
      <c r="A705" s="16">
        <v>2499</v>
      </c>
      <c r="B705" s="17" t="s">
        <v>937</v>
      </c>
    </row>
    <row r="706" spans="1:2" x14ac:dyDescent="0.25">
      <c r="A706" s="16">
        <v>2500</v>
      </c>
      <c r="B706" s="17" t="s">
        <v>938</v>
      </c>
    </row>
    <row r="707" spans="1:2" x14ac:dyDescent="0.25">
      <c r="A707" s="16">
        <v>2501</v>
      </c>
      <c r="B707" s="17" t="s">
        <v>939</v>
      </c>
    </row>
    <row r="708" spans="1:2" x14ac:dyDescent="0.25">
      <c r="A708" s="16">
        <v>2502</v>
      </c>
      <c r="B708" s="17" t="s">
        <v>940</v>
      </c>
    </row>
    <row r="709" spans="1:2" x14ac:dyDescent="0.25">
      <c r="A709" s="16">
        <v>2503</v>
      </c>
      <c r="B709" s="17" t="s">
        <v>941</v>
      </c>
    </row>
    <row r="710" spans="1:2" x14ac:dyDescent="0.25">
      <c r="A710" s="16">
        <v>2504</v>
      </c>
      <c r="B710" s="17" t="s">
        <v>942</v>
      </c>
    </row>
    <row r="711" spans="1:2" x14ac:dyDescent="0.25">
      <c r="A711" s="16">
        <v>2506</v>
      </c>
      <c r="B711" s="17" t="s">
        <v>943</v>
      </c>
    </row>
    <row r="712" spans="1:2" x14ac:dyDescent="0.25">
      <c r="A712" s="16">
        <v>2507</v>
      </c>
      <c r="B712" s="17" t="s">
        <v>944</v>
      </c>
    </row>
    <row r="713" spans="1:2" x14ac:dyDescent="0.25">
      <c r="A713" s="16">
        <v>2509</v>
      </c>
      <c r="B713" s="17" t="s">
        <v>945</v>
      </c>
    </row>
    <row r="714" spans="1:2" x14ac:dyDescent="0.25">
      <c r="A714" s="16">
        <v>2510</v>
      </c>
      <c r="B714" s="17" t="s">
        <v>946</v>
      </c>
    </row>
    <row r="715" spans="1:2" x14ac:dyDescent="0.25">
      <c r="A715" s="16">
        <v>2511</v>
      </c>
      <c r="B715" s="17" t="s">
        <v>947</v>
      </c>
    </row>
    <row r="716" spans="1:2" x14ac:dyDescent="0.25">
      <c r="A716" s="16">
        <v>2512</v>
      </c>
      <c r="B716" s="17" t="s">
        <v>948</v>
      </c>
    </row>
    <row r="717" spans="1:2" x14ac:dyDescent="0.25">
      <c r="A717" s="16">
        <v>2513</v>
      </c>
      <c r="B717" s="17" t="s">
        <v>949</v>
      </c>
    </row>
    <row r="718" spans="1:2" x14ac:dyDescent="0.25">
      <c r="A718" s="16">
        <v>2514</v>
      </c>
      <c r="B718" s="17" t="s">
        <v>950</v>
      </c>
    </row>
    <row r="719" spans="1:2" x14ac:dyDescent="0.25">
      <c r="A719" s="16">
        <v>2516</v>
      </c>
      <c r="B719" s="17" t="s">
        <v>951</v>
      </c>
    </row>
    <row r="720" spans="1:2" x14ac:dyDescent="0.25">
      <c r="A720" s="16">
        <v>2517</v>
      </c>
      <c r="B720" s="17" t="s">
        <v>952</v>
      </c>
    </row>
    <row r="721" spans="1:2" x14ac:dyDescent="0.25">
      <c r="A721" s="16">
        <v>2518</v>
      </c>
      <c r="B721" s="17" t="s">
        <v>953</v>
      </c>
    </row>
    <row r="722" spans="1:2" x14ac:dyDescent="0.25">
      <c r="A722" s="16">
        <v>2519</v>
      </c>
      <c r="B722" s="17" t="s">
        <v>954</v>
      </c>
    </row>
    <row r="723" spans="1:2" x14ac:dyDescent="0.25">
      <c r="A723" s="16">
        <v>2520</v>
      </c>
      <c r="B723" s="17" t="s">
        <v>955</v>
      </c>
    </row>
    <row r="724" spans="1:2" x14ac:dyDescent="0.25">
      <c r="A724" s="16">
        <v>2523</v>
      </c>
      <c r="B724" s="17" t="s">
        <v>956</v>
      </c>
    </row>
    <row r="725" spans="1:2" x14ac:dyDescent="0.25">
      <c r="A725" s="16">
        <v>2524</v>
      </c>
      <c r="B725" s="17" t="s">
        <v>957</v>
      </c>
    </row>
    <row r="726" spans="1:2" x14ac:dyDescent="0.25">
      <c r="A726" s="16">
        <v>2525</v>
      </c>
      <c r="B726" s="17" t="s">
        <v>958</v>
      </c>
    </row>
    <row r="727" spans="1:2" x14ac:dyDescent="0.25">
      <c r="A727" s="16">
        <v>2526</v>
      </c>
      <c r="B727" s="17" t="s">
        <v>959</v>
      </c>
    </row>
    <row r="728" spans="1:2" x14ac:dyDescent="0.25">
      <c r="A728" s="16">
        <v>2527</v>
      </c>
      <c r="B728" s="17" t="s">
        <v>960</v>
      </c>
    </row>
    <row r="729" spans="1:2" x14ac:dyDescent="0.25">
      <c r="A729" s="16">
        <v>2529</v>
      </c>
      <c r="B729" s="17" t="s">
        <v>961</v>
      </c>
    </row>
    <row r="730" spans="1:2" x14ac:dyDescent="0.25">
      <c r="A730" s="16">
        <v>2530</v>
      </c>
      <c r="B730" s="17" t="s">
        <v>962</v>
      </c>
    </row>
    <row r="731" spans="1:2" x14ac:dyDescent="0.25">
      <c r="A731" s="16">
        <v>2531</v>
      </c>
      <c r="B731" s="17" t="s">
        <v>963</v>
      </c>
    </row>
    <row r="732" spans="1:2" x14ac:dyDescent="0.25">
      <c r="A732" s="16">
        <v>2532</v>
      </c>
      <c r="B732" s="17" t="s">
        <v>964</v>
      </c>
    </row>
    <row r="733" spans="1:2" x14ac:dyDescent="0.25">
      <c r="A733" s="16">
        <v>2533</v>
      </c>
      <c r="B733" s="17" t="s">
        <v>965</v>
      </c>
    </row>
    <row r="734" spans="1:2" x14ac:dyDescent="0.25">
      <c r="A734" s="16">
        <v>2534</v>
      </c>
      <c r="B734" s="17" t="s">
        <v>966</v>
      </c>
    </row>
    <row r="735" spans="1:2" x14ac:dyDescent="0.25">
      <c r="A735" s="16">
        <v>2536</v>
      </c>
      <c r="B735" s="17" t="s">
        <v>967</v>
      </c>
    </row>
    <row r="736" spans="1:2" x14ac:dyDescent="0.25">
      <c r="A736" s="16">
        <v>2537</v>
      </c>
      <c r="B736" s="17" t="s">
        <v>968</v>
      </c>
    </row>
    <row r="737" spans="1:2" x14ac:dyDescent="0.25">
      <c r="A737" s="16">
        <v>2538</v>
      </c>
      <c r="B737" s="17" t="s">
        <v>969</v>
      </c>
    </row>
    <row r="738" spans="1:2" x14ac:dyDescent="0.25">
      <c r="A738" s="16">
        <v>2539</v>
      </c>
      <c r="B738" s="17" t="s">
        <v>970</v>
      </c>
    </row>
    <row r="739" spans="1:2" x14ac:dyDescent="0.25">
      <c r="A739" s="16">
        <v>2541</v>
      </c>
      <c r="B739" s="17" t="s">
        <v>971</v>
      </c>
    </row>
    <row r="740" spans="1:2" x14ac:dyDescent="0.25">
      <c r="A740" s="16">
        <v>2542</v>
      </c>
      <c r="B740" s="17" t="s">
        <v>972</v>
      </c>
    </row>
    <row r="741" spans="1:2" x14ac:dyDescent="0.25">
      <c r="A741" s="16">
        <v>2544</v>
      </c>
      <c r="B741" s="17" t="s">
        <v>973</v>
      </c>
    </row>
    <row r="742" spans="1:2" x14ac:dyDescent="0.25">
      <c r="A742" s="16">
        <v>2545</v>
      </c>
      <c r="B742" s="17" t="s">
        <v>974</v>
      </c>
    </row>
    <row r="743" spans="1:2" x14ac:dyDescent="0.25">
      <c r="A743" s="16">
        <v>2546</v>
      </c>
      <c r="B743" s="17" t="s">
        <v>975</v>
      </c>
    </row>
    <row r="744" spans="1:2" x14ac:dyDescent="0.25">
      <c r="A744" s="16">
        <v>2547</v>
      </c>
      <c r="B744" s="17" t="s">
        <v>976</v>
      </c>
    </row>
    <row r="745" spans="1:2" x14ac:dyDescent="0.25">
      <c r="A745" s="16">
        <v>2548</v>
      </c>
      <c r="B745" s="17" t="s">
        <v>977</v>
      </c>
    </row>
    <row r="746" spans="1:2" x14ac:dyDescent="0.25">
      <c r="A746" s="16">
        <v>2549</v>
      </c>
      <c r="B746" s="17" t="s">
        <v>978</v>
      </c>
    </row>
    <row r="747" spans="1:2" x14ac:dyDescent="0.25">
      <c r="A747" s="16">
        <v>2553</v>
      </c>
      <c r="B747" s="17" t="s">
        <v>979</v>
      </c>
    </row>
    <row r="748" spans="1:2" x14ac:dyDescent="0.25">
      <c r="A748" s="16">
        <v>2554</v>
      </c>
      <c r="B748" s="17" t="s">
        <v>980</v>
      </c>
    </row>
    <row r="749" spans="1:2" x14ac:dyDescent="0.25">
      <c r="A749" s="16">
        <v>2555</v>
      </c>
      <c r="B749" s="17" t="s">
        <v>981</v>
      </c>
    </row>
    <row r="750" spans="1:2" x14ac:dyDescent="0.25">
      <c r="A750" s="16">
        <v>2555</v>
      </c>
      <c r="B750" s="17" t="s">
        <v>982</v>
      </c>
    </row>
    <row r="751" spans="1:2" x14ac:dyDescent="0.25">
      <c r="A751" s="16">
        <v>2556</v>
      </c>
      <c r="B751" s="17" t="s">
        <v>983</v>
      </c>
    </row>
    <row r="752" spans="1:2" x14ac:dyDescent="0.25">
      <c r="A752" s="16">
        <v>2557</v>
      </c>
      <c r="B752" s="17" t="s">
        <v>984</v>
      </c>
    </row>
    <row r="753" spans="1:2" x14ac:dyDescent="0.25">
      <c r="A753" s="16">
        <v>2558</v>
      </c>
      <c r="B753" s="17" t="s">
        <v>985</v>
      </c>
    </row>
    <row r="754" spans="1:2" x14ac:dyDescent="0.25">
      <c r="A754" s="16">
        <v>2560</v>
      </c>
      <c r="B754" s="17" t="s">
        <v>986</v>
      </c>
    </row>
    <row r="755" spans="1:2" x14ac:dyDescent="0.25">
      <c r="A755" s="16">
        <v>2561</v>
      </c>
      <c r="B755" s="17" t="s">
        <v>987</v>
      </c>
    </row>
    <row r="756" spans="1:2" x14ac:dyDescent="0.25">
      <c r="A756" s="16">
        <v>2562</v>
      </c>
      <c r="B756" s="17" t="s">
        <v>988</v>
      </c>
    </row>
    <row r="757" spans="1:2" x14ac:dyDescent="0.25">
      <c r="A757" s="16">
        <v>2563</v>
      </c>
      <c r="B757" s="17" t="s">
        <v>989</v>
      </c>
    </row>
    <row r="758" spans="1:2" x14ac:dyDescent="0.25">
      <c r="A758" s="16">
        <v>2564</v>
      </c>
      <c r="B758" s="17" t="s">
        <v>990</v>
      </c>
    </row>
    <row r="759" spans="1:2" x14ac:dyDescent="0.25">
      <c r="A759" s="16">
        <v>2565</v>
      </c>
      <c r="B759" s="17" t="s">
        <v>991</v>
      </c>
    </row>
    <row r="760" spans="1:2" x14ac:dyDescent="0.25">
      <c r="A760" s="16">
        <v>2567</v>
      </c>
      <c r="B760" s="17" t="s">
        <v>992</v>
      </c>
    </row>
    <row r="761" spans="1:2" x14ac:dyDescent="0.25">
      <c r="A761" s="16">
        <v>2568</v>
      </c>
      <c r="B761" s="17" t="s">
        <v>993</v>
      </c>
    </row>
    <row r="762" spans="1:2" x14ac:dyDescent="0.25">
      <c r="A762" s="16">
        <v>2569</v>
      </c>
      <c r="B762" s="17" t="s">
        <v>994</v>
      </c>
    </row>
    <row r="763" spans="1:2" x14ac:dyDescent="0.25">
      <c r="A763" s="16">
        <v>2570</v>
      </c>
      <c r="B763" s="17" t="s">
        <v>995</v>
      </c>
    </row>
    <row r="764" spans="1:2" x14ac:dyDescent="0.25">
      <c r="A764" s="16">
        <v>2571</v>
      </c>
      <c r="B764" s="17" t="s">
        <v>996</v>
      </c>
    </row>
    <row r="765" spans="1:2" x14ac:dyDescent="0.25">
      <c r="A765" s="16">
        <v>2572</v>
      </c>
      <c r="B765" s="17" t="s">
        <v>997</v>
      </c>
    </row>
    <row r="766" spans="1:2" x14ac:dyDescent="0.25">
      <c r="A766" s="16">
        <v>2573</v>
      </c>
      <c r="B766" s="17" t="s">
        <v>998</v>
      </c>
    </row>
    <row r="767" spans="1:2" x14ac:dyDescent="0.25">
      <c r="A767" s="16">
        <v>2574</v>
      </c>
      <c r="B767" s="17" t="s">
        <v>999</v>
      </c>
    </row>
    <row r="768" spans="1:2" x14ac:dyDescent="0.25">
      <c r="A768" s="16">
        <v>2575</v>
      </c>
      <c r="B768" s="17" t="s">
        <v>1000</v>
      </c>
    </row>
    <row r="769" spans="1:2" x14ac:dyDescent="0.25">
      <c r="A769" s="16">
        <v>2576</v>
      </c>
      <c r="B769" s="17" t="s">
        <v>1001</v>
      </c>
    </row>
    <row r="770" spans="1:2" x14ac:dyDescent="0.25">
      <c r="A770" s="16">
        <v>2578</v>
      </c>
      <c r="B770" s="17" t="s">
        <v>1002</v>
      </c>
    </row>
    <row r="771" spans="1:2" x14ac:dyDescent="0.25">
      <c r="A771" s="16">
        <v>2579</v>
      </c>
      <c r="B771" s="17" t="s">
        <v>1003</v>
      </c>
    </row>
    <row r="772" spans="1:2" x14ac:dyDescent="0.25">
      <c r="A772" s="16">
        <v>2580</v>
      </c>
      <c r="B772" s="17" t="s">
        <v>1004</v>
      </c>
    </row>
    <row r="773" spans="1:2" x14ac:dyDescent="0.25">
      <c r="A773" s="16">
        <v>2581</v>
      </c>
      <c r="B773" s="17" t="s">
        <v>1005</v>
      </c>
    </row>
    <row r="774" spans="1:2" x14ac:dyDescent="0.25">
      <c r="A774" s="16">
        <v>2582</v>
      </c>
      <c r="B774" s="17" t="s">
        <v>1006</v>
      </c>
    </row>
    <row r="775" spans="1:2" x14ac:dyDescent="0.25">
      <c r="A775" s="16">
        <v>2584</v>
      </c>
      <c r="B775" s="17" t="s">
        <v>1007</v>
      </c>
    </row>
    <row r="776" spans="1:2" x14ac:dyDescent="0.25">
      <c r="A776" s="16">
        <v>2585</v>
      </c>
      <c r="B776" s="17" t="s">
        <v>1008</v>
      </c>
    </row>
    <row r="777" spans="1:2" x14ac:dyDescent="0.25">
      <c r="A777" s="16">
        <v>2586</v>
      </c>
      <c r="B777" s="17" t="s">
        <v>1009</v>
      </c>
    </row>
    <row r="778" spans="1:2" x14ac:dyDescent="0.25">
      <c r="A778" s="16">
        <v>2587</v>
      </c>
      <c r="B778" s="17" t="s">
        <v>1010</v>
      </c>
    </row>
    <row r="779" spans="1:2" x14ac:dyDescent="0.25">
      <c r="A779" s="16">
        <v>2589</v>
      </c>
      <c r="B779" s="17" t="s">
        <v>1011</v>
      </c>
    </row>
    <row r="780" spans="1:2" x14ac:dyDescent="0.25">
      <c r="A780" s="16">
        <v>2591</v>
      </c>
      <c r="B780" s="17" t="s">
        <v>1012</v>
      </c>
    </row>
    <row r="781" spans="1:2" x14ac:dyDescent="0.25">
      <c r="A781" s="16">
        <v>2593</v>
      </c>
      <c r="B781" s="17" t="s">
        <v>1013</v>
      </c>
    </row>
    <row r="782" spans="1:2" x14ac:dyDescent="0.25">
      <c r="A782" s="16">
        <v>2594</v>
      </c>
      <c r="B782" s="17" t="s">
        <v>1014</v>
      </c>
    </row>
    <row r="783" spans="1:2" x14ac:dyDescent="0.25">
      <c r="A783" s="16">
        <v>2595</v>
      </c>
      <c r="B783" s="17" t="s">
        <v>1015</v>
      </c>
    </row>
    <row r="784" spans="1:2" x14ac:dyDescent="0.25">
      <c r="A784" s="16">
        <v>2596</v>
      </c>
      <c r="B784" s="17" t="s">
        <v>1016</v>
      </c>
    </row>
    <row r="785" spans="1:2" x14ac:dyDescent="0.25">
      <c r="A785" s="16">
        <v>2600</v>
      </c>
      <c r="B785" s="17" t="s">
        <v>1017</v>
      </c>
    </row>
    <row r="786" spans="1:2" x14ac:dyDescent="0.25">
      <c r="A786" s="16">
        <v>5000</v>
      </c>
      <c r="B786" s="17" t="s">
        <v>1018</v>
      </c>
    </row>
    <row r="787" spans="1:2" x14ac:dyDescent="0.25">
      <c r="A787" s="16">
        <v>7217</v>
      </c>
      <c r="B787" s="17" t="s">
        <v>1019</v>
      </c>
    </row>
    <row r="788" spans="1:2" x14ac:dyDescent="0.25">
      <c r="A788" s="16">
        <v>7335</v>
      </c>
      <c r="B788" s="17" t="s">
        <v>1020</v>
      </c>
    </row>
    <row r="789" spans="1:2" x14ac:dyDescent="0.25">
      <c r="A789" s="16">
        <v>9018</v>
      </c>
      <c r="B789" s="17" t="s">
        <v>1021</v>
      </c>
    </row>
    <row r="790" spans="1:2" x14ac:dyDescent="0.25">
      <c r="A790" s="16">
        <v>9027</v>
      </c>
      <c r="B790" s="17" t="s">
        <v>1022</v>
      </c>
    </row>
    <row r="791" spans="1:2" x14ac:dyDescent="0.25">
      <c r="A791" s="16">
        <v>9081</v>
      </c>
      <c r="B791" s="17" t="s">
        <v>1023</v>
      </c>
    </row>
    <row r="792" spans="1:2" x14ac:dyDescent="0.25">
      <c r="A792" s="16">
        <v>9084</v>
      </c>
      <c r="B792" s="17" t="s">
        <v>1024</v>
      </c>
    </row>
    <row r="793" spans="1:2" x14ac:dyDescent="0.25">
      <c r="A793" s="16">
        <v>9140</v>
      </c>
      <c r="B793" s="17" t="s">
        <v>1025</v>
      </c>
    </row>
    <row r="794" spans="1:2" x14ac:dyDescent="0.25">
      <c r="A794" s="16">
        <v>9146</v>
      </c>
      <c r="B794" s="17" t="s">
        <v>1026</v>
      </c>
    </row>
    <row r="795" spans="1:2" x14ac:dyDescent="0.25">
      <c r="A795" s="16">
        <v>9147</v>
      </c>
      <c r="B795" s="17" t="s">
        <v>1027</v>
      </c>
    </row>
    <row r="796" spans="1:2" x14ac:dyDescent="0.25">
      <c r="A796" s="16">
        <v>9174</v>
      </c>
      <c r="B796" s="17" t="s">
        <v>1028</v>
      </c>
    </row>
    <row r="797" spans="1:2" x14ac:dyDescent="0.25">
      <c r="A797" s="16">
        <v>9176</v>
      </c>
      <c r="B797" s="17" t="s">
        <v>1029</v>
      </c>
    </row>
    <row r="798" spans="1:2" x14ac:dyDescent="0.25">
      <c r="A798" s="16">
        <v>9193</v>
      </c>
      <c r="B798" s="17" t="s">
        <v>1030</v>
      </c>
    </row>
    <row r="799" spans="1:2" x14ac:dyDescent="0.25">
      <c r="A799" s="16">
        <v>9224</v>
      </c>
      <c r="B799" s="17" t="s">
        <v>1031</v>
      </c>
    </row>
    <row r="800" spans="1:2" x14ac:dyDescent="0.25">
      <c r="A800" s="16">
        <v>9231</v>
      </c>
      <c r="B800" s="17" t="s">
        <v>1032</v>
      </c>
    </row>
    <row r="801" spans="1:2" x14ac:dyDescent="0.25">
      <c r="A801" s="16">
        <v>9302</v>
      </c>
      <c r="B801" s="17" t="s">
        <v>1033</v>
      </c>
    </row>
    <row r="802" spans="1:2" x14ac:dyDescent="0.25">
      <c r="A802" s="16">
        <v>9381</v>
      </c>
      <c r="B802" s="17" t="s">
        <v>1034</v>
      </c>
    </row>
    <row r="803" spans="1:2" x14ac:dyDescent="0.25">
      <c r="A803" s="16">
        <v>9386</v>
      </c>
      <c r="B803" s="17" t="s">
        <v>1035</v>
      </c>
    </row>
    <row r="804" spans="1:2" x14ac:dyDescent="0.25">
      <c r="A804" s="16">
        <v>9402</v>
      </c>
      <c r="B804" s="17" t="s">
        <v>1036</v>
      </c>
    </row>
    <row r="805" spans="1:2" x14ac:dyDescent="0.25">
      <c r="A805" s="16">
        <v>9402</v>
      </c>
      <c r="B805" s="17" t="s">
        <v>1037</v>
      </c>
    </row>
    <row r="806" spans="1:2" x14ac:dyDescent="0.25">
      <c r="A806" s="16">
        <v>9410</v>
      </c>
      <c r="B806" s="17" t="s">
        <v>1038</v>
      </c>
    </row>
    <row r="807" spans="1:2" x14ac:dyDescent="0.25">
      <c r="A807" s="16">
        <v>9423</v>
      </c>
      <c r="B807" s="17" t="s">
        <v>1039</v>
      </c>
    </row>
    <row r="808" spans="1:2" x14ac:dyDescent="0.25">
      <c r="A808" s="16">
        <v>9437</v>
      </c>
      <c r="B808" s="17" t="s">
        <v>1040</v>
      </c>
    </row>
    <row r="809" spans="1:2" x14ac:dyDescent="0.25">
      <c r="A809" s="16">
        <v>9445</v>
      </c>
      <c r="B809" s="17" t="s">
        <v>1041</v>
      </c>
    </row>
    <row r="810" spans="1:2" x14ac:dyDescent="0.25">
      <c r="A810" s="16">
        <v>9498</v>
      </c>
      <c r="B810" s="17" t="s">
        <v>1042</v>
      </c>
    </row>
    <row r="811" spans="1:2" x14ac:dyDescent="0.25">
      <c r="A811" s="16">
        <v>9548</v>
      </c>
      <c r="B811" s="17" t="s">
        <v>1043</v>
      </c>
    </row>
    <row r="812" spans="1:2" x14ac:dyDescent="0.25">
      <c r="A812" s="16">
        <v>9571</v>
      </c>
      <c r="B812" s="17" t="s">
        <v>1044</v>
      </c>
    </row>
    <row r="813" spans="1:2" x14ac:dyDescent="0.25">
      <c r="A813" s="16">
        <v>9591</v>
      </c>
      <c r="B813" s="17" t="s">
        <v>1045</v>
      </c>
    </row>
    <row r="814" spans="1:2" x14ac:dyDescent="0.25">
      <c r="A814" s="16">
        <v>9658</v>
      </c>
      <c r="B814" s="17" t="s">
        <v>1046</v>
      </c>
    </row>
    <row r="815" spans="1:2" x14ac:dyDescent="0.25">
      <c r="A815" s="16">
        <v>9686</v>
      </c>
      <c r="B815" s="17" t="s">
        <v>1047</v>
      </c>
    </row>
    <row r="816" spans="1:2" x14ac:dyDescent="0.25">
      <c r="A816" s="16">
        <v>9709</v>
      </c>
      <c r="B816" s="17" t="s">
        <v>1048</v>
      </c>
    </row>
    <row r="817" spans="1:2" x14ac:dyDescent="0.25">
      <c r="A817" s="16">
        <v>9738</v>
      </c>
      <c r="B817" s="17" t="s">
        <v>1049</v>
      </c>
    </row>
    <row r="818" spans="1:2" x14ac:dyDescent="0.25">
      <c r="A818" s="16">
        <v>9747</v>
      </c>
      <c r="B818" s="17" t="s">
        <v>1050</v>
      </c>
    </row>
    <row r="819" spans="1:2" x14ac:dyDescent="0.25">
      <c r="A819" s="16">
        <v>9749</v>
      </c>
      <c r="B819" s="17" t="s">
        <v>1051</v>
      </c>
    </row>
    <row r="820" spans="1:2" x14ac:dyDescent="0.25">
      <c r="A820" s="16">
        <v>9822</v>
      </c>
      <c r="B820" s="17" t="s">
        <v>1052</v>
      </c>
    </row>
    <row r="821" spans="1:2" x14ac:dyDescent="0.25">
      <c r="A821" s="16">
        <v>9842</v>
      </c>
      <c r="B821" s="17" t="s">
        <v>1053</v>
      </c>
    </row>
    <row r="822" spans="1:2" x14ac:dyDescent="0.25">
      <c r="A822" s="16">
        <v>9852</v>
      </c>
      <c r="B822" s="17" t="s">
        <v>1054</v>
      </c>
    </row>
    <row r="823" spans="1:2" x14ac:dyDescent="0.25">
      <c r="A823" s="16">
        <v>9871</v>
      </c>
      <c r="B823" s="17" t="s">
        <v>1055</v>
      </c>
    </row>
    <row r="824" spans="1:2" x14ac:dyDescent="0.25">
      <c r="A824" s="16">
        <v>9887</v>
      </c>
      <c r="B824" s="17" t="s">
        <v>1056</v>
      </c>
    </row>
    <row r="825" spans="1:2" x14ac:dyDescent="0.25">
      <c r="A825" s="16">
        <v>9899</v>
      </c>
      <c r="B825" s="17" t="s">
        <v>1057</v>
      </c>
    </row>
    <row r="826" spans="1:2" x14ac:dyDescent="0.25">
      <c r="A826" s="16">
        <v>9912</v>
      </c>
      <c r="B826" s="17" t="s">
        <v>1058</v>
      </c>
    </row>
    <row r="827" spans="1:2" x14ac:dyDescent="0.25">
      <c r="A827" s="16">
        <v>9932</v>
      </c>
      <c r="B827" s="17" t="s">
        <v>1059</v>
      </c>
    </row>
    <row r="828" spans="1:2" x14ac:dyDescent="0.25">
      <c r="A828" s="16">
        <v>9940</v>
      </c>
      <c r="B828" s="17" t="s">
        <v>1060</v>
      </c>
    </row>
    <row r="829" spans="1:2" x14ac:dyDescent="0.25">
      <c r="A829" s="16">
        <v>9963</v>
      </c>
      <c r="B829" s="17" t="s">
        <v>1061</v>
      </c>
    </row>
    <row r="830" spans="1:2" x14ac:dyDescent="0.25">
      <c r="A830" s="16">
        <v>9977</v>
      </c>
      <c r="B830" s="17" t="s">
        <v>1062</v>
      </c>
    </row>
    <row r="831" spans="1:2" x14ac:dyDescent="0.25">
      <c r="A831" s="16">
        <v>10013</v>
      </c>
      <c r="B831" s="17" t="s">
        <v>1063</v>
      </c>
    </row>
    <row r="832" spans="1:2" x14ac:dyDescent="0.25">
      <c r="A832" s="16">
        <v>10017</v>
      </c>
      <c r="B832" s="17" t="s">
        <v>1064</v>
      </c>
    </row>
    <row r="833" spans="1:2" x14ac:dyDescent="0.25">
      <c r="A833" s="16">
        <v>10028</v>
      </c>
      <c r="B833" s="17" t="s">
        <v>1065</v>
      </c>
    </row>
    <row r="834" spans="1:2" x14ac:dyDescent="0.25">
      <c r="A834" s="16">
        <v>10032</v>
      </c>
      <c r="B834" s="17" t="s">
        <v>1066</v>
      </c>
    </row>
    <row r="835" spans="1:2" x14ac:dyDescent="0.25">
      <c r="A835" s="16">
        <v>10037</v>
      </c>
      <c r="B835" s="17" t="s">
        <v>1067</v>
      </c>
    </row>
    <row r="836" spans="1:2" x14ac:dyDescent="0.25">
      <c r="A836" s="16">
        <v>10042</v>
      </c>
      <c r="B836" s="17" t="s">
        <v>1068</v>
      </c>
    </row>
    <row r="837" spans="1:2" x14ac:dyDescent="0.25">
      <c r="A837" s="16">
        <v>10046</v>
      </c>
      <c r="B837" s="17" t="s">
        <v>1069</v>
      </c>
    </row>
    <row r="838" spans="1:2" x14ac:dyDescent="0.25">
      <c r="A838" s="16">
        <v>10054</v>
      </c>
      <c r="B838" s="17" t="s">
        <v>1070</v>
      </c>
    </row>
    <row r="839" spans="1:2" x14ac:dyDescent="0.25">
      <c r="A839" s="16">
        <v>10057</v>
      </c>
      <c r="B839" s="17" t="s">
        <v>1071</v>
      </c>
    </row>
    <row r="840" spans="1:2" x14ac:dyDescent="0.25">
      <c r="A840" s="16">
        <v>10079</v>
      </c>
      <c r="B840" s="17" t="s">
        <v>1072</v>
      </c>
    </row>
    <row r="841" spans="1:2" x14ac:dyDescent="0.25">
      <c r="A841" s="16">
        <v>10085</v>
      </c>
      <c r="B841" s="17" t="s">
        <v>1073</v>
      </c>
    </row>
    <row r="842" spans="1:2" x14ac:dyDescent="0.25">
      <c r="A842" s="16">
        <v>10086</v>
      </c>
      <c r="B842" s="17" t="s">
        <v>1074</v>
      </c>
    </row>
    <row r="843" spans="1:2" x14ac:dyDescent="0.25">
      <c r="A843" s="16">
        <v>10088</v>
      </c>
      <c r="B843" s="17" t="s">
        <v>1075</v>
      </c>
    </row>
    <row r="844" spans="1:2" x14ac:dyDescent="0.25">
      <c r="A844" s="16">
        <v>10090</v>
      </c>
      <c r="B844" s="17" t="s">
        <v>1076</v>
      </c>
    </row>
    <row r="845" spans="1:2" x14ac:dyDescent="0.25">
      <c r="A845" s="16">
        <v>10091</v>
      </c>
      <c r="B845" s="17" t="s">
        <v>1077</v>
      </c>
    </row>
    <row r="846" spans="1:2" x14ac:dyDescent="0.25">
      <c r="A846" s="16">
        <v>10111</v>
      </c>
      <c r="B846" s="17" t="s">
        <v>1078</v>
      </c>
    </row>
    <row r="847" spans="1:2" x14ac:dyDescent="0.25">
      <c r="A847" s="16">
        <v>10114</v>
      </c>
      <c r="B847" s="17" t="s">
        <v>1079</v>
      </c>
    </row>
    <row r="848" spans="1:2" x14ac:dyDescent="0.25">
      <c r="A848" s="16">
        <v>10125</v>
      </c>
      <c r="B848" s="17" t="s">
        <v>1080</v>
      </c>
    </row>
    <row r="849" spans="1:2" x14ac:dyDescent="0.25">
      <c r="A849" s="16">
        <v>10129</v>
      </c>
      <c r="B849" s="17" t="s">
        <v>1081</v>
      </c>
    </row>
    <row r="850" spans="1:2" x14ac:dyDescent="0.25">
      <c r="A850" s="16">
        <v>10140</v>
      </c>
      <c r="B850" s="17" t="s">
        <v>1082</v>
      </c>
    </row>
    <row r="851" spans="1:2" x14ac:dyDescent="0.25">
      <c r="A851" s="16">
        <v>10309</v>
      </c>
      <c r="B851" s="17" t="s">
        <v>1083</v>
      </c>
    </row>
    <row r="852" spans="1:2" x14ac:dyDescent="0.25">
      <c r="A852" s="16">
        <v>10320</v>
      </c>
      <c r="B852" s="17" t="s">
        <v>1084</v>
      </c>
    </row>
    <row r="853" spans="1:2" x14ac:dyDescent="0.25">
      <c r="A853" s="16">
        <v>10326</v>
      </c>
      <c r="B853" s="17" t="s">
        <v>1085</v>
      </c>
    </row>
    <row r="854" spans="1:2" x14ac:dyDescent="0.25">
      <c r="A854" s="16">
        <v>10600</v>
      </c>
      <c r="B854" s="17" t="s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Rivero</dc:creator>
  <cp:lastModifiedBy>Cristian Rivero</cp:lastModifiedBy>
  <dcterms:created xsi:type="dcterms:W3CDTF">2026-06-30T10:31:25Z</dcterms:created>
  <dcterms:modified xsi:type="dcterms:W3CDTF">2026-06-30T10:52:42Z</dcterms:modified>
</cp:coreProperties>
</file>