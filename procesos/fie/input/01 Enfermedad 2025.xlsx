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LABORAL\LAB Seccion 3\2025\Listado Controles\02 Listado INCAPACIDAD TEMPORAL\"/>
    </mc:Choice>
  </mc:AlternateContent>
  <bookViews>
    <workbookView xWindow="120" yWindow="165" windowWidth="13905" windowHeight="6225" activeTab="9"/>
  </bookViews>
  <sheets>
    <sheet name="ENE25" sheetId="35" r:id="rId1"/>
    <sheet name="FEB25" sheetId="36" r:id="rId2"/>
    <sheet name="MAR25" sheetId="37" r:id="rId3"/>
    <sheet name="ABR25" sheetId="38" r:id="rId4"/>
    <sheet name="MAY25" sheetId="39" r:id="rId5"/>
    <sheet name="JUN25" sheetId="40" r:id="rId6"/>
    <sheet name="JUL25" sheetId="41" r:id="rId7"/>
    <sheet name="AGO25" sheetId="42" r:id="rId8"/>
    <sheet name="SEP25" sheetId="43" r:id="rId9"/>
    <sheet name="OCT25" sheetId="44" r:id="rId10"/>
  </sheets>
  <calcPr calcId="152511"/>
</workbook>
</file>

<file path=xl/calcChain.xml><?xml version="1.0" encoding="utf-8"?>
<calcChain xmlns="http://schemas.openxmlformats.org/spreadsheetml/2006/main">
  <c r="P87" i="44" l="1"/>
  <c r="K87" i="44"/>
  <c r="V87" i="44" s="1"/>
  <c r="S87" i="44" l="1"/>
  <c r="Q87" i="44"/>
  <c r="R87" i="44"/>
  <c r="T87" i="44"/>
  <c r="K9" i="44"/>
  <c r="V9" i="44" s="1"/>
  <c r="U87" i="44" l="1"/>
  <c r="Q9" i="44"/>
  <c r="R9" i="44"/>
  <c r="T9" i="44"/>
  <c r="S9" i="44"/>
  <c r="U9" i="44" s="1"/>
  <c r="P9" i="44"/>
  <c r="P11" i="44"/>
  <c r="P68" i="44" l="1"/>
  <c r="K68" i="44"/>
  <c r="V68" i="44" s="1"/>
  <c r="P49" i="44"/>
  <c r="K49" i="44"/>
  <c r="V49" i="44" s="1"/>
  <c r="P40" i="44"/>
  <c r="K40" i="44"/>
  <c r="V40" i="44" s="1"/>
  <c r="P7" i="44"/>
  <c r="K7" i="44"/>
  <c r="V7" i="44" l="1"/>
  <c r="Q7" i="44"/>
  <c r="Q68" i="44"/>
  <c r="R68" i="44"/>
  <c r="S68" i="44"/>
  <c r="T68" i="44"/>
  <c r="Q49" i="44"/>
  <c r="R49" i="44"/>
  <c r="S49" i="44"/>
  <c r="T49" i="44"/>
  <c r="Q40" i="44"/>
  <c r="R40" i="44"/>
  <c r="S40" i="44"/>
  <c r="T40" i="44"/>
  <c r="R7" i="44"/>
  <c r="S7" i="44"/>
  <c r="T7" i="44"/>
  <c r="P73" i="44"/>
  <c r="K73" i="44"/>
  <c r="V73" i="44" s="1"/>
  <c r="K96" i="44"/>
  <c r="S96" i="44" s="1"/>
  <c r="P66" i="44"/>
  <c r="K66" i="44"/>
  <c r="Q66" i="44" s="1"/>
  <c r="P12" i="44"/>
  <c r="K11" i="44"/>
  <c r="R11" i="44" s="1"/>
  <c r="P48" i="44"/>
  <c r="P47" i="44"/>
  <c r="K47" i="44"/>
  <c r="Q47" i="44" s="1"/>
  <c r="P29" i="44"/>
  <c r="P31" i="44"/>
  <c r="P93" i="44"/>
  <c r="K93" i="44"/>
  <c r="P65" i="44"/>
  <c r="K65" i="44"/>
  <c r="R65" i="44" s="1"/>
  <c r="P13" i="44"/>
  <c r="K13" i="44"/>
  <c r="Q13" i="44" s="1"/>
  <c r="P30" i="44"/>
  <c r="K30" i="44"/>
  <c r="P18" i="44"/>
  <c r="K18" i="44"/>
  <c r="S18" i="44" s="1"/>
  <c r="P33" i="44"/>
  <c r="K33" i="44"/>
  <c r="T33" i="44" s="1"/>
  <c r="P16" i="44"/>
  <c r="K16" i="44"/>
  <c r="Q16" i="44" s="1"/>
  <c r="K22" i="44"/>
  <c r="V22" i="44" s="1"/>
  <c r="P22" i="44"/>
  <c r="K38" i="44"/>
  <c r="P38" i="44"/>
  <c r="P98" i="44"/>
  <c r="K98" i="44"/>
  <c r="S98" i="44" s="1"/>
  <c r="P96" i="44"/>
  <c r="P95" i="44"/>
  <c r="P94" i="44"/>
  <c r="K94" i="44"/>
  <c r="Q94" i="44" s="1"/>
  <c r="P92" i="44"/>
  <c r="K92" i="44"/>
  <c r="V92" i="44" s="1"/>
  <c r="P56" i="44"/>
  <c r="P55" i="44"/>
  <c r="K55" i="44"/>
  <c r="T55" i="44" s="1"/>
  <c r="P91" i="44"/>
  <c r="P89" i="44"/>
  <c r="K89" i="44"/>
  <c r="S89" i="44" s="1"/>
  <c r="P85" i="44"/>
  <c r="K85" i="44"/>
  <c r="P82" i="44"/>
  <c r="K82" i="44"/>
  <c r="V82" i="44" s="1"/>
  <c r="P80" i="44"/>
  <c r="P79" i="44"/>
  <c r="K79" i="44"/>
  <c r="S79" i="44" s="1"/>
  <c r="P77" i="44"/>
  <c r="V75" i="44"/>
  <c r="T75" i="44"/>
  <c r="S75" i="44"/>
  <c r="U75" i="44" s="1"/>
  <c r="R75" i="44"/>
  <c r="Q75" i="44"/>
  <c r="P75" i="44"/>
  <c r="P71" i="44"/>
  <c r="K71" i="44"/>
  <c r="V71" i="44" s="1"/>
  <c r="P69" i="44"/>
  <c r="K69" i="44"/>
  <c r="Q69" i="44" s="1"/>
  <c r="P63" i="44"/>
  <c r="K63" i="44"/>
  <c r="R63" i="44" s="1"/>
  <c r="P61" i="44"/>
  <c r="P59" i="44"/>
  <c r="K59" i="44"/>
  <c r="P58" i="44"/>
  <c r="P57" i="44"/>
  <c r="K57" i="44"/>
  <c r="Q57" i="44" s="1"/>
  <c r="U54" i="44"/>
  <c r="P54" i="44"/>
  <c r="P53" i="44"/>
  <c r="P51" i="44"/>
  <c r="P50" i="44"/>
  <c r="K50" i="44"/>
  <c r="V50" i="44" s="1"/>
  <c r="P45" i="44"/>
  <c r="K45" i="44"/>
  <c r="P44" i="44"/>
  <c r="P43" i="44"/>
  <c r="P42" i="44"/>
  <c r="K42" i="44"/>
  <c r="S42" i="44" s="1"/>
  <c r="P41" i="44"/>
  <c r="K41" i="44"/>
  <c r="V41" i="44" s="1"/>
  <c r="P39" i="44"/>
  <c r="P37" i="44"/>
  <c r="K37" i="44"/>
  <c r="T37" i="44" s="1"/>
  <c r="P36" i="44"/>
  <c r="P35" i="44"/>
  <c r="K35" i="44"/>
  <c r="Q35" i="44" s="1"/>
  <c r="P32" i="44"/>
  <c r="P28" i="44"/>
  <c r="K28" i="44"/>
  <c r="S28" i="44" s="1"/>
  <c r="P27" i="44"/>
  <c r="K27" i="44"/>
  <c r="R27" i="44" s="1"/>
  <c r="P26" i="44"/>
  <c r="K26" i="44"/>
  <c r="T26" i="44" s="1"/>
  <c r="P25" i="44"/>
  <c r="P24" i="44"/>
  <c r="K24" i="44"/>
  <c r="Q24" i="44" s="1"/>
  <c r="P23" i="44"/>
  <c r="K23" i="44"/>
  <c r="P21" i="44"/>
  <c r="P20" i="44"/>
  <c r="K20" i="44"/>
  <c r="R20" i="44" s="1"/>
  <c r="P19" i="44"/>
  <c r="K19" i="44"/>
  <c r="V19" i="44" s="1"/>
  <c r="P17" i="44"/>
  <c r="K17" i="44"/>
  <c r="S17" i="44" s="1"/>
  <c r="P14" i="44"/>
  <c r="K14" i="44"/>
  <c r="T14" i="44" s="1"/>
  <c r="P6" i="44"/>
  <c r="P5" i="44"/>
  <c r="P4" i="44"/>
  <c r="K21" i="43"/>
  <c r="P21" i="43"/>
  <c r="P29" i="43"/>
  <c r="K29" i="43"/>
  <c r="Q29" i="43" s="1"/>
  <c r="V29" i="43"/>
  <c r="P84" i="43"/>
  <c r="K84" i="43"/>
  <c r="P58" i="43"/>
  <c r="K58" i="43"/>
  <c r="V58" i="43"/>
  <c r="P82" i="43"/>
  <c r="P81" i="43"/>
  <c r="K81" i="43"/>
  <c r="V81" i="43" s="1"/>
  <c r="P83" i="43"/>
  <c r="K83" i="43"/>
  <c r="Q83" i="43" s="1"/>
  <c r="P12" i="43"/>
  <c r="K12" i="43"/>
  <c r="P10" i="43"/>
  <c r="K10" i="43"/>
  <c r="R10" i="43" s="1"/>
  <c r="P94" i="43"/>
  <c r="K94" i="43"/>
  <c r="P89" i="43"/>
  <c r="K89" i="43"/>
  <c r="V89" i="43" s="1"/>
  <c r="S89" i="43"/>
  <c r="U89" i="43" s="1"/>
  <c r="P66" i="43"/>
  <c r="P70" i="43"/>
  <c r="P49" i="43"/>
  <c r="K49" i="43"/>
  <c r="V49" i="43"/>
  <c r="P25" i="43"/>
  <c r="P16" i="43"/>
  <c r="K16" i="43"/>
  <c r="T16" i="43" s="1"/>
  <c r="R16" i="43"/>
  <c r="P60" i="43"/>
  <c r="K60" i="43"/>
  <c r="U48" i="43"/>
  <c r="P48" i="43"/>
  <c r="P47" i="43"/>
  <c r="K54" i="43"/>
  <c r="R54" i="43" s="1"/>
  <c r="P54" i="43"/>
  <c r="P96" i="43"/>
  <c r="P95" i="43"/>
  <c r="K95" i="43"/>
  <c r="T95" i="43"/>
  <c r="P40" i="43"/>
  <c r="K40" i="43"/>
  <c r="V40" i="43" s="1"/>
  <c r="S40" i="43"/>
  <c r="Q40" i="43"/>
  <c r="P62" i="43"/>
  <c r="K62" i="43"/>
  <c r="P72" i="43"/>
  <c r="K72" i="43"/>
  <c r="S72" i="43"/>
  <c r="P80" i="42"/>
  <c r="K80" i="42"/>
  <c r="S80" i="42" s="1"/>
  <c r="K83" i="42"/>
  <c r="T83" i="42" s="1"/>
  <c r="P83" i="42"/>
  <c r="P98" i="42"/>
  <c r="P97" i="42"/>
  <c r="K97" i="42"/>
  <c r="Q97" i="42"/>
  <c r="P87" i="43"/>
  <c r="K87" i="43"/>
  <c r="T87" i="43" s="1"/>
  <c r="P86" i="43"/>
  <c r="P85" i="43"/>
  <c r="K85" i="43"/>
  <c r="V85" i="43" s="1"/>
  <c r="T85" i="43"/>
  <c r="P80" i="43"/>
  <c r="P78" i="43"/>
  <c r="K78" i="43"/>
  <c r="S78" i="43" s="1"/>
  <c r="U78" i="43" s="1"/>
  <c r="P74" i="43"/>
  <c r="K74" i="43"/>
  <c r="R74" i="43"/>
  <c r="P69" i="43"/>
  <c r="K69" i="43"/>
  <c r="Q69" i="43" s="1"/>
  <c r="P68" i="43"/>
  <c r="K68" i="43"/>
  <c r="R68" i="43" s="1"/>
  <c r="V64" i="43"/>
  <c r="T64" i="43"/>
  <c r="S64" i="43"/>
  <c r="U64" i="43"/>
  <c r="R64" i="43"/>
  <c r="Q64" i="43"/>
  <c r="P64" i="43"/>
  <c r="P63" i="43"/>
  <c r="K63" i="43"/>
  <c r="P56" i="43"/>
  <c r="P52" i="43"/>
  <c r="K52" i="43"/>
  <c r="T52" i="43"/>
  <c r="P51" i="43"/>
  <c r="P50" i="43"/>
  <c r="K50" i="43"/>
  <c r="R50" i="43"/>
  <c r="P45" i="43"/>
  <c r="P44" i="43"/>
  <c r="K44" i="43"/>
  <c r="S44" i="43" s="1"/>
  <c r="P43" i="43"/>
  <c r="P42" i="43"/>
  <c r="K42" i="43"/>
  <c r="P38" i="43"/>
  <c r="K38" i="43"/>
  <c r="Q38" i="43" s="1"/>
  <c r="P37" i="43"/>
  <c r="P36" i="43"/>
  <c r="P35" i="43"/>
  <c r="K35" i="43"/>
  <c r="P34" i="43"/>
  <c r="K34" i="43"/>
  <c r="Q34" i="43"/>
  <c r="P32" i="43"/>
  <c r="K32" i="43"/>
  <c r="P31" i="43"/>
  <c r="P30" i="43"/>
  <c r="K30" i="43"/>
  <c r="R30" i="43"/>
  <c r="Q30" i="43"/>
  <c r="P28" i="43"/>
  <c r="P27" i="43"/>
  <c r="K27" i="43"/>
  <c r="R27" i="43" s="1"/>
  <c r="K25" i="43"/>
  <c r="P24" i="43"/>
  <c r="P23" i="43"/>
  <c r="P22" i="43"/>
  <c r="K22" i="43"/>
  <c r="S22" i="43"/>
  <c r="P20" i="43"/>
  <c r="K20" i="43"/>
  <c r="P19" i="43"/>
  <c r="K19" i="43"/>
  <c r="P18" i="43"/>
  <c r="P17" i="43"/>
  <c r="K17" i="43"/>
  <c r="V17" i="43" s="1"/>
  <c r="P15" i="43"/>
  <c r="P14" i="43"/>
  <c r="K14" i="43"/>
  <c r="P13" i="43"/>
  <c r="K13" i="43"/>
  <c r="P8" i="43"/>
  <c r="K8" i="43"/>
  <c r="R8" i="43"/>
  <c r="P6" i="43"/>
  <c r="P5" i="43"/>
  <c r="P4" i="43"/>
  <c r="U62" i="42"/>
  <c r="P51" i="42"/>
  <c r="K51" i="42"/>
  <c r="R51" i="42" s="1"/>
  <c r="P69" i="42"/>
  <c r="K69" i="42"/>
  <c r="S69" i="42" s="1"/>
  <c r="Q69" i="42"/>
  <c r="R69" i="42"/>
  <c r="P56" i="42"/>
  <c r="P58" i="42"/>
  <c r="K67" i="42"/>
  <c r="T67" i="42" s="1"/>
  <c r="P67" i="42"/>
  <c r="P33" i="42"/>
  <c r="K33" i="42"/>
  <c r="V33" i="42" s="1"/>
  <c r="Q33" i="42"/>
  <c r="P84" i="42"/>
  <c r="K84" i="42"/>
  <c r="V84" i="42" s="1"/>
  <c r="K39" i="42"/>
  <c r="Q39" i="42" s="1"/>
  <c r="T39" i="42"/>
  <c r="P39" i="42"/>
  <c r="K30" i="42"/>
  <c r="P30" i="42"/>
  <c r="K31" i="42"/>
  <c r="V31" i="42"/>
  <c r="P31" i="42"/>
  <c r="K34" i="42"/>
  <c r="P34" i="42"/>
  <c r="P35" i="42"/>
  <c r="K36" i="42"/>
  <c r="Q36" i="42" s="1"/>
  <c r="P36" i="42"/>
  <c r="K37" i="42"/>
  <c r="Q37" i="42" s="1"/>
  <c r="P37" i="42"/>
  <c r="P38" i="42"/>
  <c r="P9" i="42"/>
  <c r="P47" i="42"/>
  <c r="P40" i="42"/>
  <c r="K40" i="42"/>
  <c r="Q40" i="42"/>
  <c r="K57" i="42"/>
  <c r="R57" i="42"/>
  <c r="P57" i="42"/>
  <c r="P63" i="42"/>
  <c r="K63" i="42"/>
  <c r="V63" i="42"/>
  <c r="P53" i="42"/>
  <c r="K53" i="42"/>
  <c r="S53" i="42"/>
  <c r="U53" i="42" s="1"/>
  <c r="U54" i="42" s="1"/>
  <c r="P55" i="42"/>
  <c r="K55" i="42"/>
  <c r="Q55" i="42"/>
  <c r="T55" i="42"/>
  <c r="P70" i="42"/>
  <c r="K70" i="42"/>
  <c r="Q70" i="42" s="1"/>
  <c r="V70" i="42"/>
  <c r="P89" i="42"/>
  <c r="K89" i="42"/>
  <c r="S89" i="42" s="1"/>
  <c r="P66" i="42"/>
  <c r="K66" i="42"/>
  <c r="P45" i="42"/>
  <c r="K45" i="42"/>
  <c r="P28" i="42"/>
  <c r="P25" i="42"/>
  <c r="P4" i="42"/>
  <c r="P5" i="42"/>
  <c r="P6" i="42"/>
  <c r="K8" i="42"/>
  <c r="P8" i="42"/>
  <c r="K11" i="42"/>
  <c r="Q11" i="42" s="1"/>
  <c r="S11" i="42"/>
  <c r="P11" i="42"/>
  <c r="P12" i="42"/>
  <c r="P15" i="42"/>
  <c r="U15" i="42"/>
  <c r="K16" i="42"/>
  <c r="P16" i="42"/>
  <c r="K17" i="42"/>
  <c r="P17" i="42"/>
  <c r="P18" i="42"/>
  <c r="K19" i="42"/>
  <c r="P19" i="42"/>
  <c r="P20" i="42"/>
  <c r="K21" i="42"/>
  <c r="S21" i="42" s="1"/>
  <c r="U21" i="42" s="1"/>
  <c r="P21" i="42"/>
  <c r="K22" i="42"/>
  <c r="T22" i="42" s="1"/>
  <c r="P22" i="42"/>
  <c r="P23" i="42"/>
  <c r="K24" i="42"/>
  <c r="T24" i="42" s="1"/>
  <c r="P24" i="42"/>
  <c r="K26" i="42"/>
  <c r="R26" i="42" s="1"/>
  <c r="P26" i="42"/>
  <c r="K27" i="42"/>
  <c r="R27" i="42"/>
  <c r="P27" i="42"/>
  <c r="P29" i="42"/>
  <c r="P41" i="42"/>
  <c r="K42" i="42"/>
  <c r="V42" i="42" s="1"/>
  <c r="S42" i="42"/>
  <c r="U42" i="42" s="1"/>
  <c r="P42" i="42"/>
  <c r="K44" i="42"/>
  <c r="P44" i="42"/>
  <c r="K46" i="42"/>
  <c r="S46" i="42"/>
  <c r="P46" i="42"/>
  <c r="K48" i="42"/>
  <c r="S48" i="42"/>
  <c r="U48" i="42" s="1"/>
  <c r="P48" i="42"/>
  <c r="P49" i="42"/>
  <c r="P50" i="42"/>
  <c r="P61" i="42"/>
  <c r="K65" i="42"/>
  <c r="V65" i="42" s="1"/>
  <c r="P65" i="42"/>
  <c r="P68" i="42"/>
  <c r="P71" i="42"/>
  <c r="K73" i="42"/>
  <c r="V73" i="42" s="1"/>
  <c r="T73" i="42"/>
  <c r="P73" i="42"/>
  <c r="P75" i="42"/>
  <c r="Q75" i="42"/>
  <c r="R75" i="42"/>
  <c r="S75" i="42"/>
  <c r="T75" i="42"/>
  <c r="U75" i="42" s="1"/>
  <c r="V75" i="42"/>
  <c r="K77" i="42"/>
  <c r="S77" i="42" s="1"/>
  <c r="P77" i="42"/>
  <c r="K78" i="42"/>
  <c r="P78" i="42"/>
  <c r="K81" i="42"/>
  <c r="V81" i="42" s="1"/>
  <c r="Q81" i="42"/>
  <c r="P81" i="42"/>
  <c r="P86" i="42"/>
  <c r="K87" i="42"/>
  <c r="P87" i="42"/>
  <c r="P88" i="42"/>
  <c r="K95" i="42"/>
  <c r="V95" i="42"/>
  <c r="P95" i="42"/>
  <c r="P96" i="42"/>
  <c r="P4" i="41"/>
  <c r="P5" i="41"/>
  <c r="P6" i="41"/>
  <c r="K8" i="41"/>
  <c r="S8" i="41" s="1"/>
  <c r="P8" i="41"/>
  <c r="K9" i="41"/>
  <c r="Q9" i="41"/>
  <c r="P9" i="41"/>
  <c r="K11" i="41"/>
  <c r="Q11" i="41"/>
  <c r="R11" i="41"/>
  <c r="P11" i="41"/>
  <c r="P12" i="41"/>
  <c r="K13" i="41"/>
  <c r="P13" i="41"/>
  <c r="P16" i="41"/>
  <c r="K17" i="41"/>
  <c r="V17" i="41" s="1"/>
  <c r="P17" i="41"/>
  <c r="K18" i="41"/>
  <c r="P18" i="41"/>
  <c r="K19" i="41"/>
  <c r="P19" i="41"/>
  <c r="P20" i="41"/>
  <c r="P21" i="41"/>
  <c r="K22" i="41"/>
  <c r="R22" i="41" s="1"/>
  <c r="P22" i="41"/>
  <c r="P23" i="41"/>
  <c r="K24" i="41"/>
  <c r="S24" i="41" s="1"/>
  <c r="U24" i="41" s="1"/>
  <c r="P24" i="41"/>
  <c r="K25" i="41"/>
  <c r="R25" i="41" s="1"/>
  <c r="P25" i="41"/>
  <c r="K26" i="41"/>
  <c r="Q26" i="41" s="1"/>
  <c r="P26" i="41"/>
  <c r="P27" i="41"/>
  <c r="K28" i="41"/>
  <c r="V28" i="41"/>
  <c r="P28" i="41"/>
  <c r="P29" i="41"/>
  <c r="P30" i="41"/>
  <c r="K31" i="41"/>
  <c r="Q31" i="41" s="1"/>
  <c r="S31" i="41"/>
  <c r="U31" i="41" s="1"/>
  <c r="P31" i="41"/>
  <c r="K32" i="41"/>
  <c r="P32" i="41"/>
  <c r="P33" i="41"/>
  <c r="K34" i="41"/>
  <c r="P34" i="41"/>
  <c r="P35" i="41"/>
  <c r="K36" i="41"/>
  <c r="P36" i="41"/>
  <c r="P37" i="41"/>
  <c r="K38" i="41"/>
  <c r="V38" i="41" s="1"/>
  <c r="P38" i="41"/>
  <c r="K40" i="41"/>
  <c r="T40" i="41" s="1"/>
  <c r="P40" i="41"/>
  <c r="P41" i="41"/>
  <c r="K42" i="41"/>
  <c r="P42" i="41"/>
  <c r="P43" i="41"/>
  <c r="K44" i="41"/>
  <c r="V44" i="41" s="1"/>
  <c r="P44" i="41"/>
  <c r="P45" i="41"/>
  <c r="P46" i="41"/>
  <c r="K47" i="41"/>
  <c r="S47" i="41"/>
  <c r="P47" i="41"/>
  <c r="K49" i="41"/>
  <c r="P49" i="41"/>
  <c r="P50" i="41"/>
  <c r="P51" i="41"/>
  <c r="K52" i="41"/>
  <c r="S52" i="41"/>
  <c r="P52" i="41"/>
  <c r="K53" i="41"/>
  <c r="P53" i="41"/>
  <c r="P54" i="41"/>
  <c r="P55" i="41"/>
  <c r="P57" i="41"/>
  <c r="K59" i="41"/>
  <c r="P59" i="41"/>
  <c r="K60" i="41"/>
  <c r="V60" i="41"/>
  <c r="R60" i="41"/>
  <c r="P60" i="41"/>
  <c r="P61" i="41"/>
  <c r="K62" i="41"/>
  <c r="T62" i="41"/>
  <c r="P62" i="41"/>
  <c r="K63" i="41"/>
  <c r="P63" i="41"/>
  <c r="P65" i="41"/>
  <c r="K67" i="41"/>
  <c r="Q67" i="41" s="1"/>
  <c r="P67" i="41"/>
  <c r="K69" i="41"/>
  <c r="S69" i="41" s="1"/>
  <c r="U69" i="41" s="1"/>
  <c r="P69" i="41"/>
  <c r="P70" i="41"/>
  <c r="Q70" i="41"/>
  <c r="R70" i="41"/>
  <c r="S70" i="41"/>
  <c r="U70" i="41"/>
  <c r="T70" i="41"/>
  <c r="V70" i="41"/>
  <c r="K72" i="41"/>
  <c r="Q72" i="41" s="1"/>
  <c r="P72" i="41"/>
  <c r="K73" i="41"/>
  <c r="P73" i="41"/>
  <c r="K75" i="41"/>
  <c r="R75" i="41"/>
  <c r="P75" i="41"/>
  <c r="K76" i="41"/>
  <c r="P76" i="41"/>
  <c r="P77" i="41"/>
  <c r="K78" i="41"/>
  <c r="R78" i="41" s="1"/>
  <c r="P78" i="41"/>
  <c r="P79" i="41"/>
  <c r="K80" i="41"/>
  <c r="V80" i="41"/>
  <c r="P80" i="41"/>
  <c r="P81" i="41"/>
  <c r="K85" i="41"/>
  <c r="P85" i="41"/>
  <c r="P86" i="41"/>
  <c r="K87" i="41"/>
  <c r="P87" i="41"/>
  <c r="P88" i="41"/>
  <c r="K89" i="41"/>
  <c r="P89" i="41"/>
  <c r="P90" i="41"/>
  <c r="K91" i="41"/>
  <c r="P91" i="41"/>
  <c r="P92" i="41"/>
  <c r="P4" i="40"/>
  <c r="P5" i="40"/>
  <c r="K7" i="40"/>
  <c r="P7" i="40"/>
  <c r="P8" i="40"/>
  <c r="U8" i="40"/>
  <c r="K9" i="40"/>
  <c r="P9" i="40"/>
  <c r="P13" i="40"/>
  <c r="U13" i="40"/>
  <c r="K14" i="40"/>
  <c r="P14" i="40"/>
  <c r="K15" i="40"/>
  <c r="R15" i="40" s="1"/>
  <c r="P15" i="40"/>
  <c r="K16" i="40"/>
  <c r="P16" i="40"/>
  <c r="P17" i="40"/>
  <c r="K18" i="40"/>
  <c r="P18" i="40"/>
  <c r="K19" i="40"/>
  <c r="P19" i="40"/>
  <c r="P20" i="40"/>
  <c r="K21" i="40"/>
  <c r="S21" i="40" s="1"/>
  <c r="P21" i="40"/>
  <c r="P22" i="40"/>
  <c r="K23" i="40"/>
  <c r="P23" i="40"/>
  <c r="P24" i="40"/>
  <c r="P25" i="40"/>
  <c r="K26" i="40"/>
  <c r="P26" i="40"/>
  <c r="P27" i="40"/>
  <c r="K28" i="40"/>
  <c r="P28" i="40"/>
  <c r="P29" i="40"/>
  <c r="K30" i="40"/>
  <c r="V30" i="40"/>
  <c r="P30" i="40"/>
  <c r="P31" i="40"/>
  <c r="K32" i="40"/>
  <c r="P32" i="40"/>
  <c r="K34" i="40"/>
  <c r="P34" i="40"/>
  <c r="K35" i="40"/>
  <c r="T35" i="40"/>
  <c r="R35" i="40"/>
  <c r="P35" i="40"/>
  <c r="K36" i="40"/>
  <c r="P36" i="40"/>
  <c r="P37" i="40"/>
  <c r="P38" i="40"/>
  <c r="K39" i="40"/>
  <c r="T39" i="40" s="1"/>
  <c r="S39" i="40"/>
  <c r="U39" i="40" s="1"/>
  <c r="P39" i="40"/>
  <c r="P40" i="40"/>
  <c r="K41" i="40"/>
  <c r="P41" i="40"/>
  <c r="P42" i="40"/>
  <c r="P43" i="40"/>
  <c r="K44" i="40"/>
  <c r="S44" i="40" s="1"/>
  <c r="Q44" i="40"/>
  <c r="M44" i="40"/>
  <c r="P45" i="40"/>
  <c r="K46" i="40"/>
  <c r="V46" i="40" s="1"/>
  <c r="P46" i="40"/>
  <c r="K47" i="40"/>
  <c r="V47" i="40" s="1"/>
  <c r="P47" i="40"/>
  <c r="P48" i="40"/>
  <c r="K49" i="40"/>
  <c r="R49" i="40"/>
  <c r="P49" i="40"/>
  <c r="K51" i="40"/>
  <c r="V51" i="40" s="1"/>
  <c r="P51" i="40"/>
  <c r="K53" i="40"/>
  <c r="R53" i="40"/>
  <c r="P53" i="40"/>
  <c r="P54" i="40"/>
  <c r="Q54" i="40"/>
  <c r="R54" i="40"/>
  <c r="S54" i="40"/>
  <c r="U54" i="40" s="1"/>
  <c r="T54" i="40"/>
  <c r="V54" i="40"/>
  <c r="K56" i="40"/>
  <c r="T56" i="40"/>
  <c r="P56" i="40"/>
  <c r="K58" i="40"/>
  <c r="P58" i="40"/>
  <c r="P61" i="40"/>
  <c r="K62" i="40"/>
  <c r="R62" i="40"/>
  <c r="P62" i="40"/>
  <c r="P63" i="40"/>
  <c r="K64" i="40"/>
  <c r="P64" i="40"/>
  <c r="P65" i="40"/>
  <c r="K66" i="40"/>
  <c r="R66" i="40" s="1"/>
  <c r="V66" i="40"/>
  <c r="P66" i="40"/>
  <c r="P67" i="40"/>
  <c r="K68" i="40"/>
  <c r="R68" i="40"/>
  <c r="P68" i="40"/>
  <c r="P69" i="40"/>
  <c r="K71" i="40"/>
  <c r="R71" i="40" s="1"/>
  <c r="Q71" i="40"/>
  <c r="P71" i="40"/>
  <c r="P72" i="40"/>
  <c r="P4" i="39"/>
  <c r="P5" i="39"/>
  <c r="K6" i="39"/>
  <c r="R6" i="39" s="1"/>
  <c r="P6" i="39"/>
  <c r="K7" i="39"/>
  <c r="S7" i="39" s="1"/>
  <c r="P7" i="39"/>
  <c r="P8" i="39"/>
  <c r="K9" i="39"/>
  <c r="T9" i="39" s="1"/>
  <c r="S9" i="39"/>
  <c r="P9" i="39"/>
  <c r="P10" i="39"/>
  <c r="K11" i="39"/>
  <c r="S11" i="39" s="1"/>
  <c r="P11" i="39"/>
  <c r="K12" i="39"/>
  <c r="Q12" i="39"/>
  <c r="S12" i="39"/>
  <c r="P12" i="39"/>
  <c r="P13" i="39"/>
  <c r="P14" i="39"/>
  <c r="K15" i="39"/>
  <c r="Q15" i="39"/>
  <c r="P15" i="39"/>
  <c r="P16" i="39"/>
  <c r="P20" i="39"/>
  <c r="K21" i="39"/>
  <c r="Q21" i="39" s="1"/>
  <c r="P21" i="39"/>
  <c r="K22" i="39"/>
  <c r="V22" i="39" s="1"/>
  <c r="P22" i="39"/>
  <c r="K23" i="39"/>
  <c r="V23" i="39" s="1"/>
  <c r="P23" i="39"/>
  <c r="K24" i="39"/>
  <c r="T24" i="39" s="1"/>
  <c r="Q24" i="39"/>
  <c r="P24" i="39"/>
  <c r="K25" i="39"/>
  <c r="T25" i="39"/>
  <c r="P25" i="39"/>
  <c r="K26" i="39"/>
  <c r="Q26" i="39" s="1"/>
  <c r="S26" i="39"/>
  <c r="P26" i="39"/>
  <c r="K27" i="39"/>
  <c r="T27" i="39" s="1"/>
  <c r="P27" i="39"/>
  <c r="P28" i="39"/>
  <c r="K29" i="39"/>
  <c r="V29" i="39" s="1"/>
  <c r="P29" i="39"/>
  <c r="K30" i="39"/>
  <c r="R30" i="39" s="1"/>
  <c r="P30" i="39"/>
  <c r="P31" i="39"/>
  <c r="K32" i="39"/>
  <c r="V32" i="39"/>
  <c r="S32" i="39"/>
  <c r="P32" i="39"/>
  <c r="P33" i="39"/>
  <c r="K34" i="39"/>
  <c r="P34" i="39"/>
  <c r="P35" i="39"/>
  <c r="K36" i="39"/>
  <c r="R36" i="39" s="1"/>
  <c r="P36" i="39"/>
  <c r="K38" i="39"/>
  <c r="P38" i="39"/>
  <c r="P39" i="39"/>
  <c r="P40" i="39"/>
  <c r="P41" i="39"/>
  <c r="P42" i="39"/>
  <c r="K43" i="39"/>
  <c r="Q43" i="39" s="1"/>
  <c r="P43" i="39"/>
  <c r="P44" i="39"/>
  <c r="P45" i="39"/>
  <c r="K46" i="39"/>
  <c r="V46" i="39" s="1"/>
  <c r="T46" i="39"/>
  <c r="P46" i="39"/>
  <c r="K47" i="39"/>
  <c r="T47" i="39" s="1"/>
  <c r="Q47" i="39"/>
  <c r="P47" i="39"/>
  <c r="P48" i="39"/>
  <c r="K49" i="39"/>
  <c r="P49" i="39"/>
  <c r="P50" i="39"/>
  <c r="K51" i="39"/>
  <c r="T51" i="39" s="1"/>
  <c r="P51" i="39"/>
  <c r="P53" i="39"/>
  <c r="P54" i="39"/>
  <c r="U54" i="39"/>
  <c r="K55" i="39"/>
  <c r="T55" i="39" s="1"/>
  <c r="U55" i="39" s="1"/>
  <c r="Q55" i="39"/>
  <c r="P55" i="39"/>
  <c r="K56" i="39"/>
  <c r="V56" i="39" s="1"/>
  <c r="P56" i="39"/>
  <c r="K57" i="39"/>
  <c r="V57" i="39" s="1"/>
  <c r="P57" i="39"/>
  <c r="K58" i="39"/>
  <c r="T58" i="39" s="1"/>
  <c r="P58" i="39"/>
  <c r="K59" i="39"/>
  <c r="S59" i="39" s="1"/>
  <c r="U59" i="39" s="1"/>
  <c r="P59" i="39"/>
  <c r="P60" i="39"/>
  <c r="P61" i="39"/>
  <c r="K62" i="39"/>
  <c r="R62" i="39" s="1"/>
  <c r="P62" i="39"/>
  <c r="K64" i="39"/>
  <c r="S64" i="39" s="1"/>
  <c r="R64" i="39"/>
  <c r="V64" i="39"/>
  <c r="P64" i="39"/>
  <c r="K65" i="39"/>
  <c r="T65" i="39" s="1"/>
  <c r="P65" i="39"/>
  <c r="K66" i="39"/>
  <c r="V66" i="39" s="1"/>
  <c r="P66" i="39"/>
  <c r="K67" i="39"/>
  <c r="P67" i="39"/>
  <c r="K69" i="39"/>
  <c r="R69" i="39" s="1"/>
  <c r="P69" i="39"/>
  <c r="K71" i="39"/>
  <c r="Q71" i="39" s="1"/>
  <c r="P71" i="39"/>
  <c r="K72" i="39"/>
  <c r="R72" i="39"/>
  <c r="P72" i="39"/>
  <c r="K74" i="39"/>
  <c r="P74" i="39"/>
  <c r="P79" i="39"/>
  <c r="K80" i="39"/>
  <c r="V80" i="39" s="1"/>
  <c r="P80" i="39"/>
  <c r="K81" i="39"/>
  <c r="P81" i="39"/>
  <c r="P82" i="39"/>
  <c r="P83" i="39"/>
  <c r="P85" i="39"/>
  <c r="U85" i="39"/>
  <c r="K86" i="39"/>
  <c r="V86" i="39" s="1"/>
  <c r="T86" i="39"/>
  <c r="P86" i="39"/>
  <c r="P87" i="39"/>
  <c r="K89" i="39"/>
  <c r="P89" i="39"/>
  <c r="P90" i="39"/>
  <c r="U90" i="39"/>
  <c r="K91" i="39"/>
  <c r="V91" i="39" s="1"/>
  <c r="P91" i="39"/>
  <c r="P92" i="39"/>
  <c r="P5" i="38"/>
  <c r="K6" i="38"/>
  <c r="P6" i="38"/>
  <c r="P7" i="38"/>
  <c r="P8" i="38"/>
  <c r="K9" i="38"/>
  <c r="V9" i="38" s="1"/>
  <c r="P9" i="38"/>
  <c r="P10" i="38"/>
  <c r="K11" i="38"/>
  <c r="V11" i="38"/>
  <c r="P11" i="38"/>
  <c r="P14" i="38"/>
  <c r="K15" i="38"/>
  <c r="Q15" i="38" s="1"/>
  <c r="P15" i="38"/>
  <c r="K16" i="38"/>
  <c r="S16" i="38" s="1"/>
  <c r="Q16" i="38"/>
  <c r="P16" i="38"/>
  <c r="K17" i="38"/>
  <c r="V17" i="38" s="1"/>
  <c r="P17" i="38"/>
  <c r="K18" i="38"/>
  <c r="T18" i="38" s="1"/>
  <c r="P18" i="38"/>
  <c r="K19" i="38"/>
  <c r="T19" i="38" s="1"/>
  <c r="P19" i="38"/>
  <c r="K20" i="38"/>
  <c r="P20" i="38"/>
  <c r="K21" i="38"/>
  <c r="V21" i="38" s="1"/>
  <c r="P21" i="38"/>
  <c r="K22" i="38"/>
  <c r="T22" i="38" s="1"/>
  <c r="P22" i="38"/>
  <c r="K23" i="38"/>
  <c r="S23" i="38" s="1"/>
  <c r="R23" i="38"/>
  <c r="P23" i="38"/>
  <c r="P24" i="38"/>
  <c r="K25" i="38"/>
  <c r="P25" i="38"/>
  <c r="K26" i="38"/>
  <c r="S26" i="38"/>
  <c r="P26" i="38"/>
  <c r="P27" i="38"/>
  <c r="P28" i="38"/>
  <c r="K29" i="38"/>
  <c r="R29" i="38" s="1"/>
  <c r="Q29" i="38"/>
  <c r="P29" i="38"/>
  <c r="P30" i="38"/>
  <c r="K31" i="38"/>
  <c r="R31" i="38"/>
  <c r="P31" i="38"/>
  <c r="K33" i="38"/>
  <c r="Q33" i="38"/>
  <c r="P33" i="38"/>
  <c r="K34" i="38"/>
  <c r="P34" i="38"/>
  <c r="K35" i="38"/>
  <c r="T35" i="38"/>
  <c r="P35" i="38"/>
  <c r="P36" i="38"/>
  <c r="P37" i="38"/>
  <c r="P38" i="38"/>
  <c r="K39" i="38"/>
  <c r="V39" i="38"/>
  <c r="P39" i="38"/>
  <c r="P40" i="38"/>
  <c r="P41" i="38"/>
  <c r="K42" i="38"/>
  <c r="T42" i="38"/>
  <c r="P42" i="38"/>
  <c r="P43" i="38"/>
  <c r="K44" i="38"/>
  <c r="R44" i="38" s="1"/>
  <c r="P44" i="38"/>
  <c r="P45" i="38"/>
  <c r="P46" i="38"/>
  <c r="P47" i="38"/>
  <c r="U47" i="38"/>
  <c r="P48" i="38"/>
  <c r="P49" i="38"/>
  <c r="U49" i="38"/>
  <c r="K50" i="38"/>
  <c r="R50" i="38"/>
  <c r="P50" i="38"/>
  <c r="K51" i="38"/>
  <c r="T51" i="38" s="1"/>
  <c r="P51" i="38"/>
  <c r="K52" i="38"/>
  <c r="V52" i="38"/>
  <c r="P52" i="38"/>
  <c r="K53" i="38"/>
  <c r="S53" i="38" s="1"/>
  <c r="U53" i="38" s="1"/>
  <c r="Q53" i="38"/>
  <c r="P53" i="38"/>
  <c r="K54" i="38"/>
  <c r="P54" i="38"/>
  <c r="K55" i="38"/>
  <c r="S55" i="38"/>
  <c r="P55" i="38"/>
  <c r="K56" i="38"/>
  <c r="T56" i="38" s="1"/>
  <c r="P56" i="38"/>
  <c r="P57" i="38"/>
  <c r="P58" i="38"/>
  <c r="K59" i="38"/>
  <c r="V59" i="38"/>
  <c r="Q59" i="38"/>
  <c r="P59" i="38"/>
  <c r="K61" i="38"/>
  <c r="P61" i="38"/>
  <c r="K63" i="38"/>
  <c r="P63" i="38"/>
  <c r="K65" i="38"/>
  <c r="Q65" i="38" s="1"/>
  <c r="P65" i="38"/>
  <c r="K66" i="38"/>
  <c r="P66" i="38"/>
  <c r="K67" i="38"/>
  <c r="S67" i="38"/>
  <c r="P67" i="38"/>
  <c r="P72" i="38"/>
  <c r="K73" i="38"/>
  <c r="V73" i="38"/>
  <c r="P73" i="38"/>
  <c r="P74" i="38"/>
  <c r="K75" i="38"/>
  <c r="V75" i="38" s="1"/>
  <c r="S75" i="38"/>
  <c r="U75" i="38" s="1"/>
  <c r="U76" i="38" s="1"/>
  <c r="Q75" i="38"/>
  <c r="P75" i="38"/>
  <c r="P76" i="38"/>
  <c r="P77" i="38"/>
  <c r="P79" i="38"/>
  <c r="U79" i="38"/>
  <c r="K80" i="38"/>
  <c r="P80" i="38"/>
  <c r="P81" i="38"/>
  <c r="K83" i="38"/>
  <c r="R83" i="38" s="1"/>
  <c r="P83" i="38"/>
  <c r="P84" i="38"/>
  <c r="U84" i="38"/>
  <c r="K85" i="38"/>
  <c r="T85" i="38" s="1"/>
  <c r="P85" i="38"/>
  <c r="P86" i="38"/>
  <c r="P5" i="37"/>
  <c r="U5" i="37"/>
  <c r="K6" i="37"/>
  <c r="T6" i="37"/>
  <c r="P6" i="37"/>
  <c r="P7" i="37"/>
  <c r="K8" i="37"/>
  <c r="P8" i="37"/>
  <c r="K10" i="37"/>
  <c r="P10" i="37"/>
  <c r="P11" i="37"/>
  <c r="K12" i="37"/>
  <c r="R12" i="37" s="1"/>
  <c r="P12" i="37"/>
  <c r="K13" i="37"/>
  <c r="T13" i="37" s="1"/>
  <c r="P13" i="37"/>
  <c r="K14" i="37"/>
  <c r="S14" i="37" s="1"/>
  <c r="P14" i="37"/>
  <c r="K15" i="37"/>
  <c r="T15" i="37" s="1"/>
  <c r="U15" i="37" s="1"/>
  <c r="P15" i="37"/>
  <c r="K16" i="37"/>
  <c r="Q16" i="37" s="1"/>
  <c r="P16" i="37"/>
  <c r="K17" i="37"/>
  <c r="P17" i="37"/>
  <c r="K18" i="37"/>
  <c r="P18" i="37"/>
  <c r="K19" i="37"/>
  <c r="R19" i="37" s="1"/>
  <c r="P19" i="37"/>
  <c r="K20" i="37"/>
  <c r="S20" i="37" s="1"/>
  <c r="P20" i="37"/>
  <c r="K21" i="37"/>
  <c r="V21" i="37" s="1"/>
  <c r="S21" i="37"/>
  <c r="U21" i="37" s="1"/>
  <c r="P21" i="37"/>
  <c r="K22" i="37"/>
  <c r="Q22" i="37" s="1"/>
  <c r="P22" i="37"/>
  <c r="P23" i="37"/>
  <c r="K24" i="37"/>
  <c r="P24" i="37"/>
  <c r="K25" i="37"/>
  <c r="T25" i="37" s="1"/>
  <c r="U25" i="37" s="1"/>
  <c r="P25" i="37"/>
  <c r="P26" i="37"/>
  <c r="P27" i="37"/>
  <c r="K28" i="37"/>
  <c r="V28" i="37" s="1"/>
  <c r="P28" i="37"/>
  <c r="P29" i="37"/>
  <c r="K30" i="37"/>
  <c r="V30" i="37"/>
  <c r="P30" i="37"/>
  <c r="K32" i="37"/>
  <c r="S32" i="37" s="1"/>
  <c r="P32" i="37"/>
  <c r="P33" i="37"/>
  <c r="P34" i="37"/>
  <c r="P35" i="37"/>
  <c r="K36" i="37"/>
  <c r="P36" i="37"/>
  <c r="P37" i="37"/>
  <c r="K38" i="37"/>
  <c r="P38" i="37"/>
  <c r="P39" i="37"/>
  <c r="K40" i="37"/>
  <c r="R40" i="37" s="1"/>
  <c r="V40" i="37"/>
  <c r="P40" i="37"/>
  <c r="P41" i="37"/>
  <c r="K42" i="37"/>
  <c r="V42" i="37" s="1"/>
  <c r="P42" i="37"/>
  <c r="P43" i="37"/>
  <c r="P44" i="37"/>
  <c r="P45" i="37"/>
  <c r="U45" i="37"/>
  <c r="P46" i="37"/>
  <c r="P47" i="37"/>
  <c r="U47" i="37"/>
  <c r="K48" i="37"/>
  <c r="R48" i="37" s="1"/>
  <c r="P48" i="37"/>
  <c r="K49" i="37"/>
  <c r="P49" i="37"/>
  <c r="K50" i="37"/>
  <c r="R50" i="37" s="1"/>
  <c r="P50" i="37"/>
  <c r="K51" i="37"/>
  <c r="T51" i="37" s="1"/>
  <c r="P51" i="37"/>
  <c r="K52" i="37"/>
  <c r="P52" i="37"/>
  <c r="K53" i="37"/>
  <c r="T53" i="37" s="1"/>
  <c r="P53" i="37"/>
  <c r="P54" i="37"/>
  <c r="P55" i="37"/>
  <c r="K56" i="37"/>
  <c r="S56" i="37" s="1"/>
  <c r="P56" i="37"/>
  <c r="K58" i="37"/>
  <c r="V58" i="37"/>
  <c r="P58" i="37"/>
  <c r="K60" i="37"/>
  <c r="Q60" i="37" s="1"/>
  <c r="P60" i="37"/>
  <c r="K61" i="37"/>
  <c r="Q61" i="37"/>
  <c r="R61" i="37"/>
  <c r="P61" i="37"/>
  <c r="K63" i="37"/>
  <c r="T63" i="37" s="1"/>
  <c r="P63" i="37"/>
  <c r="K65" i="37"/>
  <c r="P65" i="37"/>
  <c r="P69" i="37"/>
  <c r="K70" i="37"/>
  <c r="T70" i="37"/>
  <c r="V70" i="37"/>
  <c r="P70" i="37"/>
  <c r="P71" i="37"/>
  <c r="K72" i="37"/>
  <c r="R72" i="37" s="1"/>
  <c r="S72" i="37"/>
  <c r="U72" i="37" s="1"/>
  <c r="U73" i="37" s="1"/>
  <c r="P72" i="37"/>
  <c r="P73" i="37"/>
  <c r="P74" i="37"/>
  <c r="P75" i="37"/>
  <c r="U75" i="37"/>
  <c r="K77" i="37"/>
  <c r="T77" i="37" s="1"/>
  <c r="P77" i="37"/>
  <c r="P78" i="37"/>
  <c r="U78" i="37"/>
  <c r="P4" i="36"/>
  <c r="P5" i="36"/>
  <c r="P6" i="36"/>
  <c r="P7" i="36"/>
  <c r="K9" i="36"/>
  <c r="V9" i="36" s="1"/>
  <c r="S9" i="36"/>
  <c r="P9" i="36"/>
  <c r="P10" i="36"/>
  <c r="K11" i="36"/>
  <c r="T11" i="36" s="1"/>
  <c r="P11" i="36"/>
  <c r="P12" i="36"/>
  <c r="K13" i="36"/>
  <c r="P13" i="36"/>
  <c r="K14" i="36"/>
  <c r="R14" i="36" s="1"/>
  <c r="P14" i="36"/>
  <c r="P16" i="36"/>
  <c r="K17" i="36"/>
  <c r="S17" i="36" s="1"/>
  <c r="U17" i="36" s="1"/>
  <c r="P17" i="36"/>
  <c r="K18" i="36"/>
  <c r="S18" i="36" s="1"/>
  <c r="U18" i="36" s="1"/>
  <c r="Q18" i="36"/>
  <c r="T18" i="36"/>
  <c r="P18" i="36"/>
  <c r="K19" i="36"/>
  <c r="Q19" i="36" s="1"/>
  <c r="P19" i="36"/>
  <c r="K20" i="36"/>
  <c r="P20" i="36"/>
  <c r="K21" i="36"/>
  <c r="R21" i="36"/>
  <c r="P21" i="36"/>
  <c r="K22" i="36"/>
  <c r="R22" i="36" s="1"/>
  <c r="P22" i="36"/>
  <c r="K23" i="36"/>
  <c r="T23" i="36" s="1"/>
  <c r="P23" i="36"/>
  <c r="K24" i="36"/>
  <c r="Q24" i="36" s="1"/>
  <c r="T24" i="36"/>
  <c r="P24" i="36"/>
  <c r="K25" i="36"/>
  <c r="V25" i="36" s="1"/>
  <c r="P25" i="36"/>
  <c r="K26" i="36"/>
  <c r="V26" i="36" s="1"/>
  <c r="Q26" i="36"/>
  <c r="R26" i="36"/>
  <c r="P26" i="36"/>
  <c r="K27" i="36"/>
  <c r="T27" i="36" s="1"/>
  <c r="P27" i="36"/>
  <c r="P28" i="36"/>
  <c r="K29" i="36"/>
  <c r="P29" i="36"/>
  <c r="K30" i="36"/>
  <c r="R30" i="36" s="1"/>
  <c r="P30" i="36"/>
  <c r="P31" i="36"/>
  <c r="K32" i="36"/>
  <c r="Q32" i="36"/>
  <c r="T32" i="36"/>
  <c r="P32" i="36"/>
  <c r="P33" i="36"/>
  <c r="K34" i="36"/>
  <c r="V34" i="36"/>
  <c r="R34" i="36"/>
  <c r="P34" i="36"/>
  <c r="K35" i="36"/>
  <c r="P35" i="36"/>
  <c r="P36" i="36"/>
  <c r="K37" i="36"/>
  <c r="V37" i="36" s="1"/>
  <c r="P37" i="36"/>
  <c r="P38" i="36"/>
  <c r="P39" i="36"/>
  <c r="P41" i="36"/>
  <c r="P42" i="36"/>
  <c r="P43" i="36"/>
  <c r="K44" i="36"/>
  <c r="T44" i="36" s="1"/>
  <c r="R44" i="36"/>
  <c r="P44" i="36"/>
  <c r="P45" i="36"/>
  <c r="K46" i="36"/>
  <c r="R46" i="36"/>
  <c r="P46" i="36"/>
  <c r="P47" i="36"/>
  <c r="K48" i="36"/>
  <c r="P48" i="36"/>
  <c r="P49" i="36"/>
  <c r="K50" i="36"/>
  <c r="T50" i="36" s="1"/>
  <c r="V50" i="36"/>
  <c r="P50" i="36"/>
  <c r="K51" i="36"/>
  <c r="T51" i="36" s="1"/>
  <c r="P51" i="36"/>
  <c r="K52" i="36"/>
  <c r="T52" i="36" s="1"/>
  <c r="U52" i="36" s="1"/>
  <c r="P52" i="36"/>
  <c r="P53" i="36"/>
  <c r="P54" i="36"/>
  <c r="P55" i="36"/>
  <c r="U55" i="36"/>
  <c r="K56" i="36"/>
  <c r="P56" i="36"/>
  <c r="K57" i="36"/>
  <c r="T57" i="36" s="1"/>
  <c r="S57" i="36"/>
  <c r="U57" i="36" s="1"/>
  <c r="P57" i="36"/>
  <c r="K58" i="36"/>
  <c r="Q58" i="36" s="1"/>
  <c r="P58" i="36"/>
  <c r="K59" i="36"/>
  <c r="P59" i="36"/>
  <c r="K60" i="36"/>
  <c r="R60" i="36" s="1"/>
  <c r="V60" i="36"/>
  <c r="P60" i="36"/>
  <c r="P61" i="36"/>
  <c r="P62" i="36"/>
  <c r="K63" i="36"/>
  <c r="T63" i="36" s="1"/>
  <c r="P63" i="36"/>
  <c r="K65" i="36"/>
  <c r="Q65" i="36" s="1"/>
  <c r="P65" i="36"/>
  <c r="K66" i="36"/>
  <c r="S66" i="36" s="1"/>
  <c r="U66" i="36" s="1"/>
  <c r="P66" i="36"/>
  <c r="K68" i="36"/>
  <c r="Q68" i="36" s="1"/>
  <c r="T68" i="36"/>
  <c r="P68" i="36"/>
  <c r="K70" i="36"/>
  <c r="T70" i="36"/>
  <c r="U70" i="36" s="1"/>
  <c r="P70" i="36"/>
  <c r="K72" i="36"/>
  <c r="S72" i="36"/>
  <c r="P72" i="36"/>
  <c r="K73" i="36"/>
  <c r="P73" i="36"/>
  <c r="P78" i="36"/>
  <c r="K79" i="36"/>
  <c r="R79" i="36" s="1"/>
  <c r="P79" i="36"/>
  <c r="K80" i="36"/>
  <c r="S80" i="36"/>
  <c r="P80" i="36"/>
  <c r="K81" i="36"/>
  <c r="R81" i="36" s="1"/>
  <c r="P81" i="36"/>
  <c r="P82" i="36"/>
  <c r="K83" i="36"/>
  <c r="V83" i="36"/>
  <c r="R83" i="36"/>
  <c r="P83" i="36"/>
  <c r="P84" i="36"/>
  <c r="P4" i="35"/>
  <c r="P5" i="35"/>
  <c r="K7" i="35"/>
  <c r="R7" i="35" s="1"/>
  <c r="P7" i="35"/>
  <c r="P8" i="35"/>
  <c r="K9" i="35"/>
  <c r="S9" i="35" s="1"/>
  <c r="V9" i="35"/>
  <c r="Q9" i="35"/>
  <c r="P9" i="35"/>
  <c r="P10" i="35"/>
  <c r="K11" i="35"/>
  <c r="S11" i="35" s="1"/>
  <c r="P11" i="35"/>
  <c r="P13" i="35"/>
  <c r="K14" i="35"/>
  <c r="Q14" i="35" s="1"/>
  <c r="P14" i="35"/>
  <c r="K15" i="35"/>
  <c r="V15" i="35"/>
  <c r="P15" i="35"/>
  <c r="K16" i="35"/>
  <c r="S16" i="35" s="1"/>
  <c r="T16" i="35"/>
  <c r="P16" i="35"/>
  <c r="K17" i="35"/>
  <c r="P17" i="35"/>
  <c r="K18" i="35"/>
  <c r="P18" i="35"/>
  <c r="K19" i="35"/>
  <c r="V19" i="35"/>
  <c r="P19" i="35"/>
  <c r="K20" i="35"/>
  <c r="Q20" i="35" s="1"/>
  <c r="P20" i="35"/>
  <c r="K21" i="35"/>
  <c r="T21" i="35" s="1"/>
  <c r="P21" i="35"/>
  <c r="K22" i="35"/>
  <c r="T22" i="35" s="1"/>
  <c r="P22" i="35"/>
  <c r="K23" i="35"/>
  <c r="V23" i="35" s="1"/>
  <c r="R23" i="35"/>
  <c r="P23" i="35"/>
  <c r="P24" i="35"/>
  <c r="K25" i="35"/>
  <c r="R25" i="35" s="1"/>
  <c r="P25" i="35"/>
  <c r="P26" i="35"/>
  <c r="P27" i="35"/>
  <c r="K28" i="35"/>
  <c r="R28" i="35" s="1"/>
  <c r="P28" i="35"/>
  <c r="P29" i="35"/>
  <c r="K30" i="35"/>
  <c r="Q30" i="35" s="1"/>
  <c r="P30" i="35"/>
  <c r="P31" i="35"/>
  <c r="P32" i="35"/>
  <c r="K34" i="35"/>
  <c r="Q34" i="35" s="1"/>
  <c r="P34" i="35"/>
  <c r="K35" i="35"/>
  <c r="V35" i="35"/>
  <c r="P35" i="35"/>
  <c r="P36" i="35"/>
  <c r="K37" i="35"/>
  <c r="S37" i="35" s="1"/>
  <c r="Q37" i="35"/>
  <c r="P37" i="35"/>
  <c r="P38" i="35"/>
  <c r="K39" i="35"/>
  <c r="R39" i="35"/>
  <c r="P39" i="35"/>
  <c r="K40" i="35"/>
  <c r="S40" i="35"/>
  <c r="U40" i="35" s="1"/>
  <c r="U42" i="35" s="1"/>
  <c r="P40" i="35"/>
  <c r="P41" i="35"/>
  <c r="P42" i="35"/>
  <c r="K43" i="35"/>
  <c r="P43" i="35"/>
  <c r="P44" i="35"/>
  <c r="P45" i="35"/>
  <c r="K46" i="35"/>
  <c r="V46" i="35"/>
  <c r="P46" i="35"/>
  <c r="K47" i="35"/>
  <c r="S47" i="35" s="1"/>
  <c r="P47" i="35"/>
  <c r="K48" i="35"/>
  <c r="T48" i="35" s="1"/>
  <c r="P48" i="35"/>
  <c r="K49" i="35"/>
  <c r="S49" i="35" s="1"/>
  <c r="T49" i="35"/>
  <c r="P49" i="35"/>
  <c r="K50" i="35"/>
  <c r="T50" i="35" s="1"/>
  <c r="R50" i="35"/>
  <c r="P50" i="35"/>
  <c r="P51" i="35"/>
  <c r="P52" i="35"/>
  <c r="K53" i="35"/>
  <c r="P53" i="35"/>
  <c r="K55" i="35"/>
  <c r="P55" i="35"/>
  <c r="K56" i="35"/>
  <c r="P56" i="35"/>
  <c r="K58" i="35"/>
  <c r="T58" i="35" s="1"/>
  <c r="V58" i="35"/>
  <c r="P58" i="35"/>
  <c r="K59" i="35"/>
  <c r="P59" i="35"/>
  <c r="K61" i="35"/>
  <c r="P61" i="35"/>
  <c r="K63" i="35"/>
  <c r="T63" i="35" s="1"/>
  <c r="S63" i="35"/>
  <c r="U63" i="35" s="1"/>
  <c r="P63" i="35"/>
  <c r="K64" i="35"/>
  <c r="Q64" i="35"/>
  <c r="P64" i="35"/>
  <c r="K66" i="35"/>
  <c r="V66" i="35" s="1"/>
  <c r="P66" i="35"/>
  <c r="K69" i="35"/>
  <c r="R69" i="35" s="1"/>
  <c r="P69" i="35"/>
  <c r="P70" i="35"/>
  <c r="P71" i="35"/>
  <c r="K72" i="35"/>
  <c r="V72" i="35"/>
  <c r="P72" i="35"/>
  <c r="K73" i="35"/>
  <c r="Q73" i="35"/>
  <c r="S73" i="35"/>
  <c r="P73" i="35"/>
  <c r="K74" i="35"/>
  <c r="Q74" i="35" s="1"/>
  <c r="P74" i="35"/>
  <c r="K75" i="35"/>
  <c r="S75" i="35"/>
  <c r="P75" i="35"/>
  <c r="P78" i="35"/>
  <c r="K79" i="35"/>
  <c r="T79" i="35" s="1"/>
  <c r="P79" i="35"/>
  <c r="P80" i="35"/>
  <c r="K81" i="35"/>
  <c r="V81" i="35" s="1"/>
  <c r="Q81" i="35"/>
  <c r="P81" i="35"/>
  <c r="P82" i="35"/>
  <c r="R12" i="39"/>
  <c r="V12" i="39"/>
  <c r="S51" i="42"/>
  <c r="V83" i="42"/>
  <c r="Q72" i="43"/>
  <c r="T80" i="42"/>
  <c r="V80" i="42"/>
  <c r="S67" i="42"/>
  <c r="U67" i="42" s="1"/>
  <c r="S62" i="40"/>
  <c r="U62" i="40" s="1"/>
  <c r="U63" i="40" s="1"/>
  <c r="R55" i="42"/>
  <c r="Q52" i="38"/>
  <c r="T34" i="41"/>
  <c r="Q34" i="41"/>
  <c r="R15" i="35"/>
  <c r="S15" i="35"/>
  <c r="T33" i="42"/>
  <c r="R19" i="38"/>
  <c r="V59" i="41"/>
  <c r="Q23" i="39"/>
  <c r="T40" i="43"/>
  <c r="U40" i="43" s="1"/>
  <c r="Q50" i="35"/>
  <c r="T72" i="41"/>
  <c r="Q22" i="43"/>
  <c r="Q17" i="36"/>
  <c r="V17" i="36"/>
  <c r="T17" i="36"/>
  <c r="R17" i="36"/>
  <c r="T60" i="43"/>
  <c r="T66" i="35"/>
  <c r="Q60" i="36"/>
  <c r="Q62" i="40"/>
  <c r="S50" i="35"/>
  <c r="U50" i="35" s="1"/>
  <c r="S51" i="36"/>
  <c r="Q20" i="38"/>
  <c r="S18" i="37"/>
  <c r="S20" i="43"/>
  <c r="T21" i="43"/>
  <c r="U21" i="43" s="1"/>
  <c r="R34" i="43"/>
  <c r="S10" i="43"/>
  <c r="U10" i="43"/>
  <c r="U11" i="43" s="1"/>
  <c r="S46" i="39"/>
  <c r="U46" i="39"/>
  <c r="R46" i="39"/>
  <c r="Q16" i="43"/>
  <c r="Q46" i="39"/>
  <c r="Q32" i="37"/>
  <c r="Q21" i="42"/>
  <c r="R59" i="41"/>
  <c r="S59" i="41"/>
  <c r="Q59" i="41"/>
  <c r="T59" i="41"/>
  <c r="U59" i="41"/>
  <c r="U61" i="41" s="1"/>
  <c r="V62" i="40"/>
  <c r="T62" i="40"/>
  <c r="V44" i="42"/>
  <c r="T32" i="37"/>
  <c r="T84" i="42"/>
  <c r="R56" i="39"/>
  <c r="V21" i="40"/>
  <c r="V32" i="37"/>
  <c r="U21" i="35"/>
  <c r="T8" i="41"/>
  <c r="S80" i="39"/>
  <c r="U80" i="39" s="1"/>
  <c r="V21" i="43"/>
  <c r="Q21" i="43"/>
  <c r="Q72" i="36"/>
  <c r="Q22" i="42"/>
  <c r="V49" i="35"/>
  <c r="R21" i="35"/>
  <c r="V52" i="43"/>
  <c r="Q63" i="35"/>
  <c r="Q15" i="35"/>
  <c r="V53" i="37"/>
  <c r="R53" i="37"/>
  <c r="Q53" i="37"/>
  <c r="V10" i="37"/>
  <c r="R63" i="35"/>
  <c r="S53" i="37"/>
  <c r="T89" i="43"/>
  <c r="V63" i="35"/>
  <c r="R21" i="43"/>
  <c r="S48" i="37"/>
  <c r="S22" i="42"/>
  <c r="U22" i="42" s="1"/>
  <c r="V23" i="38"/>
  <c r="T23" i="38"/>
  <c r="U23" i="38" s="1"/>
  <c r="V78" i="43"/>
  <c r="T78" i="43"/>
  <c r="S21" i="43"/>
  <c r="T42" i="42"/>
  <c r="V50" i="35"/>
  <c r="T19" i="41"/>
  <c r="S7" i="35"/>
  <c r="Q49" i="37"/>
  <c r="V70" i="36"/>
  <c r="R66" i="36"/>
  <c r="R11" i="39"/>
  <c r="T11" i="39"/>
  <c r="Q29" i="36"/>
  <c r="V29" i="36"/>
  <c r="S29" i="36"/>
  <c r="R11" i="42"/>
  <c r="Q44" i="38"/>
  <c r="V19" i="37"/>
  <c r="S64" i="40"/>
  <c r="V32" i="40"/>
  <c r="V13" i="41"/>
  <c r="S50" i="43"/>
  <c r="U50" i="43" s="1"/>
  <c r="U51" i="43" s="1"/>
  <c r="T50" i="43"/>
  <c r="V50" i="43"/>
  <c r="Q50" i="43"/>
  <c r="V89" i="42"/>
  <c r="Q44" i="42"/>
  <c r="S44" i="42"/>
  <c r="R78" i="43"/>
  <c r="T11" i="42"/>
  <c r="U11" i="42"/>
  <c r="U12" i="42" s="1"/>
  <c r="R56" i="38"/>
  <c r="S32" i="36"/>
  <c r="U32" i="36"/>
  <c r="T95" i="42"/>
  <c r="R6" i="38"/>
  <c r="Q6" i="38"/>
  <c r="V6" i="38"/>
  <c r="Q78" i="43"/>
  <c r="V11" i="42"/>
  <c r="Q14" i="43"/>
  <c r="S14" i="43"/>
  <c r="R14" i="43"/>
  <c r="T21" i="40"/>
  <c r="Q21" i="40"/>
  <c r="T8" i="43"/>
  <c r="R20" i="38"/>
  <c r="R65" i="37"/>
  <c r="S20" i="38"/>
  <c r="U20" i="38" s="1"/>
  <c r="R52" i="36"/>
  <c r="Q35" i="35"/>
  <c r="R74" i="35"/>
  <c r="R36" i="41"/>
  <c r="S56" i="39"/>
  <c r="U56" i="39" s="1"/>
  <c r="T56" i="39"/>
  <c r="S34" i="41"/>
  <c r="V34" i="41"/>
  <c r="R34" i="41"/>
  <c r="S74" i="35"/>
  <c r="Q67" i="38"/>
  <c r="U9" i="39"/>
  <c r="T15" i="35"/>
  <c r="U15" i="35" s="1"/>
  <c r="T20" i="38"/>
  <c r="V20" i="38"/>
  <c r="Q64" i="39"/>
  <c r="R70" i="42"/>
  <c r="S70" i="42"/>
  <c r="U70" i="42" s="1"/>
  <c r="Q9" i="39"/>
  <c r="V20" i="37"/>
  <c r="Q34" i="40"/>
  <c r="T21" i="42"/>
  <c r="T74" i="35"/>
  <c r="U74" i="35" s="1"/>
  <c r="R9" i="39"/>
  <c r="Q46" i="35"/>
  <c r="V51" i="36"/>
  <c r="Q17" i="37"/>
  <c r="R17" i="37"/>
  <c r="Q19" i="38"/>
  <c r="S16" i="43"/>
  <c r="U16" i="43" s="1"/>
  <c r="V16" i="43"/>
  <c r="T35" i="35"/>
  <c r="S43" i="39"/>
  <c r="R42" i="42"/>
  <c r="Q42" i="42"/>
  <c r="R35" i="35"/>
  <c r="S68" i="43"/>
  <c r="V74" i="35"/>
  <c r="V61" i="37"/>
  <c r="T19" i="36"/>
  <c r="Q85" i="38"/>
  <c r="S35" i="35"/>
  <c r="U35" i="35" s="1"/>
  <c r="V69" i="42"/>
  <c r="R13" i="37"/>
  <c r="S13" i="36"/>
  <c r="R13" i="36"/>
  <c r="S63" i="37"/>
  <c r="U63" i="37" s="1"/>
  <c r="V13" i="37"/>
  <c r="T59" i="38"/>
  <c r="Q13" i="37"/>
  <c r="S25" i="43"/>
  <c r="V25" i="43"/>
  <c r="T42" i="37"/>
  <c r="Q23" i="35"/>
  <c r="R25" i="37"/>
  <c r="Q12" i="43"/>
  <c r="S12" i="43"/>
  <c r="V12" i="43"/>
  <c r="V53" i="35"/>
  <c r="R53" i="35"/>
  <c r="T53" i="35"/>
  <c r="S23" i="36"/>
  <c r="U23" i="36" s="1"/>
  <c r="Q80" i="38"/>
  <c r="V87" i="41"/>
  <c r="S42" i="41"/>
  <c r="T37" i="35"/>
  <c r="T25" i="38"/>
  <c r="Q25" i="38"/>
  <c r="T32" i="40"/>
  <c r="Q32" i="40"/>
  <c r="R32" i="40"/>
  <c r="S32" i="40"/>
  <c r="U32" i="40" s="1"/>
  <c r="V7" i="40"/>
  <c r="T11" i="41"/>
  <c r="T30" i="43"/>
  <c r="R53" i="42"/>
  <c r="V53" i="42"/>
  <c r="Q53" i="42"/>
  <c r="T53" i="42"/>
  <c r="V17" i="37"/>
  <c r="S17" i="37"/>
  <c r="U17" i="37" s="1"/>
  <c r="T17" i="37"/>
  <c r="R69" i="41"/>
  <c r="Q13" i="43"/>
  <c r="T13" i="43"/>
  <c r="R13" i="43"/>
  <c r="R65" i="36"/>
  <c r="V65" i="36"/>
  <c r="T12" i="43"/>
  <c r="V47" i="39"/>
  <c r="T22" i="43"/>
  <c r="Q25" i="37"/>
  <c r="R12" i="43"/>
  <c r="V44" i="38"/>
  <c r="T17" i="38"/>
  <c r="Q17" i="38"/>
  <c r="R17" i="38"/>
  <c r="V47" i="41"/>
  <c r="V46" i="42"/>
  <c r="T46" i="42"/>
  <c r="Q46" i="42"/>
  <c r="S35" i="38"/>
  <c r="U35" i="38" s="1"/>
  <c r="R35" i="38"/>
  <c r="V35" i="38"/>
  <c r="Q35" i="38"/>
  <c r="R91" i="41"/>
  <c r="Q80" i="41"/>
  <c r="T80" i="41"/>
  <c r="R80" i="41"/>
  <c r="S80" i="41"/>
  <c r="U80" i="41" s="1"/>
  <c r="U81" i="41" s="1"/>
  <c r="S84" i="42"/>
  <c r="U84" i="42" s="1"/>
  <c r="Q55" i="38"/>
  <c r="V55" i="38"/>
  <c r="V8" i="41"/>
  <c r="R97" i="42"/>
  <c r="V52" i="41"/>
  <c r="S36" i="39"/>
  <c r="U36" i="39" s="1"/>
  <c r="S66" i="40"/>
  <c r="T66" i="40"/>
  <c r="U66" i="40" s="1"/>
  <c r="U67" i="40" s="1"/>
  <c r="R19" i="40"/>
  <c r="S19" i="40"/>
  <c r="U19" i="40" s="1"/>
  <c r="T19" i="40"/>
  <c r="Q19" i="40"/>
  <c r="V19" i="40"/>
  <c r="S28" i="41"/>
  <c r="Q28" i="41"/>
  <c r="R28" i="41"/>
  <c r="T28" i="41"/>
  <c r="R17" i="43"/>
  <c r="T47" i="40"/>
  <c r="T65" i="37"/>
  <c r="V47" i="35"/>
  <c r="R46" i="42"/>
  <c r="T74" i="43"/>
  <c r="R73" i="35"/>
  <c r="T70" i="42"/>
  <c r="S8" i="42"/>
  <c r="U8" i="42" s="1"/>
  <c r="U10" i="42" s="1"/>
  <c r="V22" i="35"/>
  <c r="R22" i="35"/>
  <c r="Q19" i="37"/>
  <c r="R11" i="38"/>
  <c r="T11" i="38"/>
  <c r="S11" i="38"/>
  <c r="Q11" i="38"/>
  <c r="R73" i="42"/>
  <c r="S73" i="42"/>
  <c r="U73" i="42"/>
  <c r="Q73" i="42"/>
  <c r="R24" i="39"/>
  <c r="S24" i="39"/>
  <c r="V24" i="39"/>
  <c r="S86" i="39"/>
  <c r="S72" i="41"/>
  <c r="S23" i="35"/>
  <c r="U23" i="35" s="1"/>
  <c r="Q80" i="36"/>
  <c r="T80" i="36"/>
  <c r="U80" i="36" s="1"/>
  <c r="R80" i="36"/>
  <c r="Q48" i="36"/>
  <c r="T48" i="36"/>
  <c r="S26" i="40"/>
  <c r="T44" i="42"/>
  <c r="U44" i="42" s="1"/>
  <c r="R44" i="42"/>
  <c r="T10" i="43"/>
  <c r="V10" i="43"/>
  <c r="Q10" i="43"/>
  <c r="R59" i="39"/>
  <c r="S58" i="40"/>
  <c r="S39" i="42"/>
  <c r="U39" i="42" s="1"/>
  <c r="T34" i="43"/>
  <c r="V34" i="43"/>
  <c r="S34" i="43"/>
  <c r="U34" i="43" s="1"/>
  <c r="S34" i="36"/>
  <c r="U34" i="36"/>
  <c r="T23" i="35"/>
  <c r="Q47" i="41"/>
  <c r="R17" i="42"/>
  <c r="S21" i="35"/>
  <c r="V21" i="35"/>
  <c r="Q21" i="35"/>
  <c r="T60" i="36"/>
  <c r="Q18" i="37"/>
  <c r="R18" i="37"/>
  <c r="Q19" i="43"/>
  <c r="Q73" i="36"/>
  <c r="S73" i="36"/>
  <c r="R9" i="41"/>
  <c r="T59" i="39"/>
  <c r="R48" i="42"/>
  <c r="T48" i="42"/>
  <c r="Q48" i="42"/>
  <c r="V48" i="42"/>
  <c r="T97" i="42"/>
  <c r="S97" i="42"/>
  <c r="R86" i="39"/>
  <c r="Q17" i="42"/>
  <c r="R8" i="42"/>
  <c r="S68" i="36"/>
  <c r="T52" i="38"/>
  <c r="R52" i="38"/>
  <c r="R22" i="42"/>
  <c r="V22" i="42"/>
  <c r="S8" i="43"/>
  <c r="U8" i="43"/>
  <c r="U9" i="43" s="1"/>
  <c r="T75" i="38"/>
  <c r="S15" i="38"/>
  <c r="V15" i="38"/>
  <c r="T15" i="38"/>
  <c r="T66" i="39"/>
  <c r="R66" i="39"/>
  <c r="S51" i="39"/>
  <c r="U51" i="39" s="1"/>
  <c r="Q38" i="41"/>
  <c r="R38" i="41"/>
  <c r="T38" i="41"/>
  <c r="S38" i="41"/>
  <c r="U38" i="41" s="1"/>
  <c r="U39" i="41" s="1"/>
  <c r="V97" i="42"/>
  <c r="S50" i="38"/>
  <c r="T60" i="37"/>
  <c r="S66" i="38"/>
  <c r="Q87" i="42"/>
  <c r="V51" i="39"/>
  <c r="S74" i="43"/>
  <c r="U74" i="43" s="1"/>
  <c r="Q74" i="43"/>
  <c r="T51" i="40"/>
  <c r="V39" i="42"/>
  <c r="V17" i="35"/>
  <c r="S17" i="35"/>
  <c r="T34" i="36"/>
  <c r="Q66" i="40"/>
  <c r="S51" i="38"/>
  <c r="R38" i="39"/>
  <c r="T46" i="40"/>
  <c r="R30" i="42"/>
  <c r="Q30" i="42"/>
  <c r="T69" i="42"/>
  <c r="V73" i="36"/>
  <c r="S83" i="38"/>
  <c r="S40" i="42"/>
  <c r="R66" i="35"/>
  <c r="Q66" i="35"/>
  <c r="R19" i="35"/>
  <c r="S58" i="37"/>
  <c r="U58" i="37" s="1"/>
  <c r="R58" i="37"/>
  <c r="Q58" i="37"/>
  <c r="V51" i="37"/>
  <c r="T65" i="38"/>
  <c r="V65" i="38"/>
  <c r="Q67" i="39"/>
  <c r="S25" i="39"/>
  <c r="U25" i="39" s="1"/>
  <c r="T26" i="41"/>
  <c r="V19" i="41"/>
  <c r="S19" i="41"/>
  <c r="U19" i="41"/>
  <c r="R61" i="35"/>
  <c r="R71" i="39"/>
  <c r="Q40" i="41"/>
  <c r="R30" i="37"/>
  <c r="R19" i="36"/>
  <c r="Q72" i="37"/>
  <c r="V24" i="36"/>
  <c r="T56" i="36"/>
  <c r="Q30" i="36"/>
  <c r="V56" i="36"/>
  <c r="Q16" i="35"/>
  <c r="S69" i="39"/>
  <c r="U69" i="39" s="1"/>
  <c r="R40" i="41"/>
  <c r="Q22" i="41"/>
  <c r="R16" i="35"/>
  <c r="Q69" i="39"/>
  <c r="R32" i="37"/>
  <c r="Q75" i="35"/>
  <c r="V16" i="35"/>
  <c r="V30" i="36"/>
  <c r="T69" i="39"/>
  <c r="V64" i="40"/>
  <c r="S22" i="35"/>
  <c r="U22" i="35" s="1"/>
  <c r="R56" i="36"/>
  <c r="S40" i="41"/>
  <c r="U40" i="41"/>
  <c r="Q21" i="37"/>
  <c r="R43" i="39"/>
  <c r="R58" i="35"/>
  <c r="S50" i="37"/>
  <c r="R48" i="36"/>
  <c r="S48" i="36"/>
  <c r="U48" i="36" s="1"/>
  <c r="U49" i="36" s="1"/>
  <c r="V48" i="36"/>
  <c r="Q63" i="38"/>
  <c r="S63" i="38"/>
  <c r="T91" i="41"/>
  <c r="V91" i="41"/>
  <c r="Q25" i="35"/>
  <c r="S25" i="35"/>
  <c r="V25" i="35"/>
  <c r="T25" i="35"/>
  <c r="U25" i="35" s="1"/>
  <c r="U27" i="35" s="1"/>
  <c r="S56" i="36"/>
  <c r="U56" i="36"/>
  <c r="Q56" i="36"/>
  <c r="R69" i="43"/>
  <c r="Q84" i="43"/>
  <c r="S22" i="41"/>
  <c r="V22" i="41"/>
  <c r="T22" i="41"/>
  <c r="U22" i="41" s="1"/>
  <c r="T52" i="37"/>
  <c r="Q52" i="37"/>
  <c r="V15" i="39"/>
  <c r="R15" i="39"/>
  <c r="V17" i="42"/>
  <c r="T17" i="42"/>
  <c r="U17" i="42"/>
  <c r="S17" i="42"/>
  <c r="V94" i="43"/>
  <c r="S94" i="43"/>
  <c r="S34" i="39"/>
  <c r="R37" i="44"/>
  <c r="R24" i="36"/>
  <c r="S24" i="36"/>
  <c r="U24" i="36" s="1"/>
  <c r="Q56" i="40"/>
  <c r="V59" i="35"/>
  <c r="S59" i="35"/>
  <c r="Q59" i="35"/>
  <c r="T30" i="42"/>
  <c r="V30" i="42"/>
  <c r="S30" i="42"/>
  <c r="U30" i="42"/>
  <c r="S61" i="37"/>
  <c r="R63" i="36"/>
  <c r="S34" i="35"/>
  <c r="V63" i="36"/>
  <c r="T32" i="43"/>
  <c r="R80" i="42"/>
  <c r="S71" i="39"/>
  <c r="T71" i="39"/>
  <c r="P44" i="40"/>
  <c r="S63" i="36"/>
  <c r="U63" i="36"/>
  <c r="V19" i="36"/>
  <c r="Q86" i="39"/>
  <c r="S23" i="44"/>
  <c r="T19" i="44"/>
  <c r="Q19" i="44"/>
  <c r="R30" i="44"/>
  <c r="T13" i="44"/>
  <c r="V17" i="44"/>
  <c r="S13" i="44"/>
  <c r="R45" i="44"/>
  <c r="V94" i="44"/>
  <c r="S37" i="44"/>
  <c r="Q37" i="44"/>
  <c r="Q30" i="44"/>
  <c r="Q79" i="44"/>
  <c r="R79" i="44"/>
  <c r="S30" i="44"/>
  <c r="Q37" i="36"/>
  <c r="R20" i="37"/>
  <c r="T12" i="37"/>
  <c r="S44" i="36"/>
  <c r="U44" i="36" s="1"/>
  <c r="U45" i="36" s="1"/>
  <c r="T72" i="36"/>
  <c r="U72" i="36" s="1"/>
  <c r="S39" i="38"/>
  <c r="T60" i="41"/>
  <c r="V67" i="38"/>
  <c r="R51" i="39"/>
  <c r="T8" i="42"/>
  <c r="R37" i="36"/>
  <c r="Q23" i="36"/>
  <c r="Q20" i="37"/>
  <c r="T67" i="38"/>
  <c r="V39" i="35"/>
  <c r="S24" i="42"/>
  <c r="U24" i="42" s="1"/>
  <c r="R56" i="37"/>
  <c r="T49" i="43"/>
  <c r="R58" i="43"/>
  <c r="R34" i="35"/>
  <c r="V34" i="35"/>
  <c r="T21" i="37"/>
  <c r="R66" i="38"/>
  <c r="R23" i="36"/>
  <c r="Q67" i="42"/>
  <c r="V29" i="38"/>
  <c r="R21" i="39"/>
  <c r="R44" i="40"/>
  <c r="Q77" i="37"/>
  <c r="R68" i="36"/>
  <c r="T29" i="38"/>
  <c r="Q89" i="42"/>
  <c r="V93" i="44"/>
  <c r="S77" i="37"/>
  <c r="T44" i="40"/>
  <c r="U44" i="40"/>
  <c r="U45" i="40" s="1"/>
  <c r="S31" i="38"/>
  <c r="Q18" i="40"/>
  <c r="V25" i="39"/>
  <c r="R24" i="42"/>
  <c r="Q24" i="42"/>
  <c r="S15" i="40"/>
  <c r="R36" i="42"/>
  <c r="V9" i="41"/>
  <c r="R47" i="39"/>
  <c r="V15" i="40"/>
  <c r="Q58" i="35"/>
  <c r="S58" i="35"/>
  <c r="U58" i="35" s="1"/>
  <c r="R26" i="41"/>
  <c r="S29" i="38"/>
  <c r="V24" i="42"/>
  <c r="V68" i="36"/>
  <c r="Q85" i="44"/>
  <c r="V37" i="35"/>
  <c r="R39" i="40"/>
  <c r="S38" i="37"/>
  <c r="R40" i="43"/>
  <c r="V79" i="36"/>
  <c r="V44" i="40"/>
  <c r="T9" i="41"/>
  <c r="U9" i="41" s="1"/>
  <c r="S51" i="40"/>
  <c r="S9" i="41"/>
  <c r="Q51" i="39"/>
  <c r="R77" i="37"/>
  <c r="R67" i="38"/>
  <c r="Q49" i="43"/>
  <c r="V39" i="40"/>
  <c r="T67" i="39"/>
  <c r="Q25" i="36"/>
  <c r="R42" i="37"/>
  <c r="R21" i="37"/>
  <c r="T26" i="38"/>
  <c r="R33" i="42"/>
  <c r="V7" i="39"/>
  <c r="T37" i="36"/>
  <c r="T58" i="37"/>
  <c r="T19" i="37"/>
  <c r="T21" i="39"/>
  <c r="Q39" i="35"/>
  <c r="R25" i="36"/>
  <c r="V32" i="41"/>
  <c r="R32" i="36"/>
  <c r="Q26" i="38"/>
  <c r="S21" i="39"/>
  <c r="T48" i="37"/>
  <c r="U48" i="37"/>
  <c r="R32" i="41"/>
  <c r="S33" i="42"/>
  <c r="U33" i="42" s="1"/>
  <c r="S42" i="37"/>
  <c r="U42" i="37" s="1"/>
  <c r="U43" i="37" s="1"/>
  <c r="R51" i="40"/>
  <c r="S39" i="35"/>
  <c r="U39" i="35" s="1"/>
  <c r="Q63" i="36"/>
  <c r="Q51" i="40"/>
  <c r="S36" i="42"/>
  <c r="U36" i="42"/>
  <c r="V67" i="42"/>
  <c r="V30" i="43"/>
  <c r="R37" i="35"/>
  <c r="Q39" i="38"/>
  <c r="T89" i="42"/>
  <c r="S19" i="37"/>
  <c r="U19" i="37" s="1"/>
  <c r="S50" i="36"/>
  <c r="U50" i="36"/>
  <c r="Q39" i="40"/>
  <c r="R25" i="39"/>
  <c r="S49" i="43"/>
  <c r="U49" i="43" s="1"/>
  <c r="V36" i="42"/>
  <c r="T34" i="35"/>
  <c r="U34" i="35" s="1"/>
  <c r="Q25" i="39"/>
  <c r="R49" i="43"/>
  <c r="T36" i="42"/>
  <c r="T55" i="35"/>
  <c r="T64" i="39"/>
  <c r="U64" i="39"/>
  <c r="T38" i="37"/>
  <c r="V32" i="36"/>
  <c r="R89" i="42"/>
  <c r="S53" i="40"/>
  <c r="R26" i="38"/>
  <c r="Q59" i="39"/>
  <c r="V59" i="39"/>
  <c r="R9" i="36"/>
  <c r="V44" i="36"/>
  <c r="Q42" i="37"/>
  <c r="V26" i="38"/>
  <c r="R72" i="36"/>
  <c r="V21" i="39"/>
  <c r="Q58" i="43"/>
  <c r="Q44" i="36"/>
  <c r="S42" i="43"/>
  <c r="T53" i="40"/>
  <c r="T39" i="35"/>
  <c r="V71" i="39"/>
  <c r="V72" i="36"/>
  <c r="R73" i="44"/>
  <c r="T73" i="44"/>
  <c r="R19" i="44"/>
  <c r="T85" i="44"/>
  <c r="T67" i="41"/>
  <c r="T62" i="39"/>
  <c r="V62" i="39"/>
  <c r="Q26" i="42"/>
  <c r="T78" i="41"/>
  <c r="R16" i="38"/>
  <c r="Q72" i="39"/>
  <c r="T26" i="36"/>
  <c r="V83" i="43"/>
  <c r="S33" i="38"/>
  <c r="U33" i="38"/>
  <c r="V33" i="38"/>
  <c r="T69" i="41"/>
  <c r="Q51" i="42"/>
  <c r="T18" i="35"/>
  <c r="T18" i="40"/>
  <c r="T26" i="42"/>
  <c r="R50" i="36"/>
  <c r="V26" i="42"/>
  <c r="S78" i="41"/>
  <c r="U78" i="41" s="1"/>
  <c r="U79" i="41" s="1"/>
  <c r="Q57" i="36"/>
  <c r="T74" i="39"/>
  <c r="R58" i="40"/>
  <c r="R31" i="41"/>
  <c r="T53" i="38"/>
  <c r="V48" i="37"/>
  <c r="T44" i="38"/>
  <c r="S19" i="35"/>
  <c r="Q85" i="43"/>
  <c r="T40" i="35"/>
  <c r="R47" i="40"/>
  <c r="Q47" i="40"/>
  <c r="T61" i="37"/>
  <c r="U61" i="37"/>
  <c r="R18" i="35"/>
  <c r="T79" i="36"/>
  <c r="S95" i="43"/>
  <c r="U95" i="43" s="1"/>
  <c r="U96" i="43" s="1"/>
  <c r="S62" i="39"/>
  <c r="U62" i="39"/>
  <c r="V78" i="41"/>
  <c r="S79" i="36"/>
  <c r="V11" i="35"/>
  <c r="V31" i="41"/>
  <c r="Q22" i="39"/>
  <c r="Q34" i="36"/>
  <c r="R53" i="38"/>
  <c r="Q54" i="38"/>
  <c r="Q19" i="35"/>
  <c r="Q30" i="40"/>
  <c r="S37" i="36"/>
  <c r="U37" i="36" s="1"/>
  <c r="S40" i="37"/>
  <c r="S56" i="38"/>
  <c r="U56" i="38"/>
  <c r="Q62" i="39"/>
  <c r="V18" i="36"/>
  <c r="Q28" i="40"/>
  <c r="T19" i="35"/>
  <c r="T31" i="41"/>
  <c r="R22" i="39"/>
  <c r="V21" i="36"/>
  <c r="Q6" i="37"/>
  <c r="R9" i="35"/>
  <c r="Q50" i="36"/>
  <c r="T50" i="37"/>
  <c r="U50" i="37"/>
  <c r="S12" i="37"/>
  <c r="U12" i="37"/>
  <c r="V56" i="38"/>
  <c r="Q60" i="41"/>
  <c r="R47" i="41"/>
  <c r="R91" i="39"/>
  <c r="V25" i="37"/>
  <c r="T25" i="36"/>
  <c r="S19" i="44"/>
  <c r="U19" i="44" s="1"/>
  <c r="Q91" i="39"/>
  <c r="S57" i="42"/>
  <c r="U57" i="42" s="1"/>
  <c r="T72" i="39"/>
  <c r="U72" i="39"/>
  <c r="V73" i="35"/>
  <c r="Q31" i="42"/>
  <c r="T33" i="38"/>
  <c r="R48" i="35"/>
  <c r="T91" i="39"/>
  <c r="V72" i="39"/>
  <c r="Q68" i="43"/>
  <c r="V46" i="36"/>
  <c r="S22" i="39"/>
  <c r="R62" i="41"/>
  <c r="V19" i="43"/>
  <c r="Q72" i="35"/>
  <c r="V34" i="38"/>
  <c r="Q32" i="41"/>
  <c r="R11" i="35"/>
  <c r="S60" i="41"/>
  <c r="U60" i="41" s="1"/>
  <c r="S72" i="39"/>
  <c r="S65" i="36"/>
  <c r="U65" i="36" s="1"/>
  <c r="Q28" i="37"/>
  <c r="S44" i="38"/>
  <c r="U44" i="38" s="1"/>
  <c r="U45" i="38" s="1"/>
  <c r="R70" i="37"/>
  <c r="S34" i="38"/>
  <c r="U34" i="38"/>
  <c r="T73" i="35"/>
  <c r="U73" i="35" s="1"/>
  <c r="T30" i="40"/>
  <c r="U30" i="40" s="1"/>
  <c r="U31" i="40" s="1"/>
  <c r="V96" i="44"/>
  <c r="R72" i="35"/>
  <c r="R95" i="43"/>
  <c r="S25" i="36"/>
  <c r="U25" i="36" s="1"/>
  <c r="S18" i="40"/>
  <c r="U18" i="40" s="1"/>
  <c r="V72" i="37"/>
  <c r="Q15" i="37"/>
  <c r="S30" i="43"/>
  <c r="U30" i="43" s="1"/>
  <c r="U31" i="43" s="1"/>
  <c r="R81" i="42"/>
  <c r="S26" i="36"/>
  <c r="T16" i="38"/>
  <c r="S32" i="43"/>
  <c r="U32" i="43" s="1"/>
  <c r="T26" i="39"/>
  <c r="Q89" i="39"/>
  <c r="T12" i="39"/>
  <c r="U12" i="39" s="1"/>
  <c r="U14" i="39" s="1"/>
  <c r="T72" i="37"/>
  <c r="S25" i="37"/>
  <c r="T34" i="38"/>
  <c r="V71" i="40"/>
  <c r="R30" i="40"/>
  <c r="V11" i="41"/>
  <c r="T45" i="44"/>
  <c r="R75" i="38"/>
  <c r="R89" i="39"/>
  <c r="T9" i="35"/>
  <c r="Q95" i="43"/>
  <c r="V51" i="42"/>
  <c r="S15" i="37"/>
  <c r="R8" i="41"/>
  <c r="S63" i="42"/>
  <c r="R96" i="44"/>
  <c r="T84" i="43"/>
  <c r="S81" i="35"/>
  <c r="V80" i="36"/>
  <c r="Q8" i="41"/>
  <c r="T47" i="41"/>
  <c r="U47" i="41" s="1"/>
  <c r="T65" i="36"/>
  <c r="Q24" i="37"/>
  <c r="T46" i="36"/>
  <c r="V68" i="43"/>
  <c r="S48" i="35"/>
  <c r="U48" i="35" s="1"/>
  <c r="Q63" i="42"/>
  <c r="V48" i="35"/>
  <c r="S70" i="37"/>
  <c r="U70" i="37" s="1"/>
  <c r="U71" i="37" s="1"/>
  <c r="V15" i="37"/>
  <c r="R33" i="38"/>
  <c r="S47" i="40"/>
  <c r="U47" i="40" s="1"/>
  <c r="U48" i="40" s="1"/>
  <c r="T28" i="40"/>
  <c r="V67" i="41"/>
  <c r="V57" i="42"/>
  <c r="T51" i="42"/>
  <c r="V95" i="43"/>
  <c r="Q70" i="37"/>
  <c r="T57" i="42"/>
  <c r="Q22" i="38"/>
  <c r="V30" i="39"/>
  <c r="Q36" i="37"/>
  <c r="S71" i="40"/>
  <c r="R22" i="38"/>
  <c r="Q30" i="39"/>
  <c r="V36" i="37"/>
  <c r="S30" i="40"/>
  <c r="S85" i="43"/>
  <c r="Q48" i="35"/>
  <c r="V12" i="37"/>
  <c r="T69" i="43"/>
  <c r="Q78" i="41"/>
  <c r="V22" i="38"/>
  <c r="T71" i="40"/>
  <c r="U71" i="40"/>
  <c r="V56" i="37"/>
  <c r="Q57" i="42"/>
  <c r="R67" i="41"/>
  <c r="Q96" i="44"/>
  <c r="Q12" i="37"/>
  <c r="S26" i="42"/>
  <c r="S24" i="37"/>
  <c r="U24" i="37" s="1"/>
  <c r="U27" i="37" s="1"/>
  <c r="V53" i="38"/>
  <c r="V40" i="42"/>
  <c r="V16" i="38"/>
  <c r="V38" i="39"/>
  <c r="T38" i="39"/>
  <c r="Q73" i="44"/>
  <c r="T96" i="44"/>
  <c r="S67" i="41"/>
  <c r="U67" i="41"/>
  <c r="S66" i="35"/>
  <c r="U66" i="35"/>
  <c r="U26" i="36"/>
  <c r="U16" i="38"/>
  <c r="R76" i="41"/>
  <c r="Q76" i="41"/>
  <c r="S76" i="41"/>
  <c r="U76" i="41"/>
  <c r="V76" i="41"/>
  <c r="S18" i="38"/>
  <c r="U18" i="38" s="1"/>
  <c r="R18" i="38"/>
  <c r="V18" i="38"/>
  <c r="Q18" i="38"/>
  <c r="R41" i="40"/>
  <c r="S41" i="40"/>
  <c r="V41" i="40"/>
  <c r="R16" i="40"/>
  <c r="Q16" i="40"/>
  <c r="T16" i="40"/>
  <c r="S16" i="40"/>
  <c r="U16" i="40" s="1"/>
  <c r="S63" i="41"/>
  <c r="U63" i="41" s="1"/>
  <c r="V63" i="41"/>
  <c r="R63" i="41"/>
  <c r="Q63" i="41"/>
  <c r="T63" i="41"/>
  <c r="R62" i="43"/>
  <c r="S62" i="43"/>
  <c r="U62" i="43" s="1"/>
  <c r="T62" i="43"/>
  <c r="R28" i="40"/>
  <c r="V28" i="40"/>
  <c r="S28" i="40"/>
  <c r="U28" i="40" s="1"/>
  <c r="Q36" i="41"/>
  <c r="S36" i="41"/>
  <c r="V36" i="41"/>
  <c r="V59" i="36"/>
  <c r="S59" i="36"/>
  <c r="Q59" i="36"/>
  <c r="R59" i="36"/>
  <c r="T59" i="36"/>
  <c r="Q21" i="36"/>
  <c r="S21" i="36"/>
  <c r="U21" i="36" s="1"/>
  <c r="T21" i="36"/>
  <c r="V26" i="40"/>
  <c r="T26" i="40"/>
  <c r="U26" i="40"/>
  <c r="U29" i="40" s="1"/>
  <c r="R26" i="40"/>
  <c r="Q26" i="40"/>
  <c r="S14" i="40"/>
  <c r="T14" i="40"/>
  <c r="U14" i="40" s="1"/>
  <c r="V14" i="40"/>
  <c r="Q14" i="40"/>
  <c r="R14" i="40"/>
  <c r="T87" i="41"/>
  <c r="R87" i="41"/>
  <c r="Q49" i="41"/>
  <c r="R49" i="41"/>
  <c r="T49" i="41"/>
  <c r="S49" i="41"/>
  <c r="U49" i="41" s="1"/>
  <c r="V49" i="41"/>
  <c r="T20" i="43"/>
  <c r="V20" i="43"/>
  <c r="Q20" i="43"/>
  <c r="R20" i="43"/>
  <c r="R52" i="43"/>
  <c r="Q52" i="43"/>
  <c r="S52" i="43"/>
  <c r="U52" i="43"/>
  <c r="T35" i="36"/>
  <c r="Q35" i="36"/>
  <c r="R35" i="36"/>
  <c r="V35" i="36"/>
  <c r="S35" i="36"/>
  <c r="U35" i="36" s="1"/>
  <c r="U36" i="36" s="1"/>
  <c r="S34" i="42"/>
  <c r="R34" i="42"/>
  <c r="T34" i="42"/>
  <c r="Q34" i="42"/>
  <c r="V34" i="42"/>
  <c r="Q49" i="39"/>
  <c r="S49" i="39"/>
  <c r="T49" i="39"/>
  <c r="V49" i="39"/>
  <c r="R49" i="39"/>
  <c r="U38" i="37"/>
  <c r="U39" i="37" s="1"/>
  <c r="V36" i="39"/>
  <c r="Q36" i="39"/>
  <c r="T36" i="39"/>
  <c r="T85" i="41"/>
  <c r="U85" i="41" s="1"/>
  <c r="U86" i="41" s="1"/>
  <c r="S85" i="41"/>
  <c r="V85" i="41"/>
  <c r="Q85" i="41"/>
  <c r="R85" i="41"/>
  <c r="S70" i="36"/>
  <c r="R70" i="36"/>
  <c r="Q70" i="36"/>
  <c r="R23" i="40"/>
  <c r="T23" i="40"/>
  <c r="S23" i="40"/>
  <c r="U23" i="40" s="1"/>
  <c r="Q23" i="40"/>
  <c r="S9" i="40"/>
  <c r="U9" i="40" s="1"/>
  <c r="R9" i="40"/>
  <c r="T9" i="40"/>
  <c r="Q9" i="40"/>
  <c r="V9" i="40"/>
  <c r="T63" i="42"/>
  <c r="U63" i="42" s="1"/>
  <c r="U64" i="42" s="1"/>
  <c r="R63" i="42"/>
  <c r="Q6" i="39"/>
  <c r="S6" i="39"/>
  <c r="U6" i="39"/>
  <c r="U86" i="39"/>
  <c r="U87" i="39" s="1"/>
  <c r="Q56" i="35"/>
  <c r="V56" i="35"/>
  <c r="S56" i="35"/>
  <c r="U56" i="35"/>
  <c r="T56" i="35"/>
  <c r="T83" i="36"/>
  <c r="Q83" i="36"/>
  <c r="S83" i="36"/>
  <c r="U83" i="36" s="1"/>
  <c r="U84" i="36" s="1"/>
  <c r="Q94" i="43"/>
  <c r="T94" i="43"/>
  <c r="U94" i="43"/>
  <c r="R94" i="43"/>
  <c r="U20" i="43"/>
  <c r="V6" i="39"/>
  <c r="U97" i="42"/>
  <c r="U98" i="42"/>
  <c r="U28" i="41"/>
  <c r="S46" i="35"/>
  <c r="T46" i="35"/>
  <c r="R46" i="35"/>
  <c r="S21" i="38"/>
  <c r="T21" i="38"/>
  <c r="Q21" i="38"/>
  <c r="R21" i="38"/>
  <c r="T73" i="41"/>
  <c r="U73" i="41" s="1"/>
  <c r="S73" i="41"/>
  <c r="V73" i="41"/>
  <c r="R73" i="41"/>
  <c r="Q73" i="41"/>
  <c r="U42" i="43"/>
  <c r="U24" i="39"/>
  <c r="S55" i="35"/>
  <c r="U55" i="35" s="1"/>
  <c r="Q55" i="35"/>
  <c r="R55" i="35"/>
  <c r="V55" i="35"/>
  <c r="R57" i="39"/>
  <c r="S27" i="39"/>
  <c r="U27" i="39" s="1"/>
  <c r="Q27" i="39"/>
  <c r="R27" i="39"/>
  <c r="V27" i="39"/>
  <c r="V16" i="40"/>
  <c r="T6" i="39"/>
  <c r="V23" i="40"/>
  <c r="Q69" i="35"/>
  <c r="S69" i="35"/>
  <c r="T69" i="35"/>
  <c r="U69" i="35" s="1"/>
  <c r="V81" i="36"/>
  <c r="T81" i="36"/>
  <c r="U81" i="36" s="1"/>
  <c r="S81" i="36"/>
  <c r="Q81" i="36"/>
  <c r="Q18" i="41"/>
  <c r="R18" i="41"/>
  <c r="V18" i="41"/>
  <c r="S18" i="41"/>
  <c r="U18" i="41"/>
  <c r="T18" i="41"/>
  <c r="S87" i="41"/>
  <c r="U87" i="41"/>
  <c r="U88" i="41" s="1"/>
  <c r="R63" i="38"/>
  <c r="V63" i="38"/>
  <c r="T63" i="38"/>
  <c r="U63" i="38"/>
  <c r="V31" i="38"/>
  <c r="Q31" i="38"/>
  <c r="T31" i="38"/>
  <c r="U31" i="38" s="1"/>
  <c r="Q89" i="41"/>
  <c r="S89" i="41"/>
  <c r="U89" i="41"/>
  <c r="U90" i="41"/>
  <c r="V89" i="41"/>
  <c r="R89" i="41"/>
  <c r="T89" i="41"/>
  <c r="S73" i="38"/>
  <c r="T73" i="38"/>
  <c r="Q73" i="38"/>
  <c r="R73" i="38"/>
  <c r="T36" i="41"/>
  <c r="T76" i="41"/>
  <c r="R56" i="35"/>
  <c r="V16" i="37"/>
  <c r="R16" i="37"/>
  <c r="S16" i="37"/>
  <c r="T16" i="37"/>
  <c r="T81" i="39"/>
  <c r="Q81" i="39"/>
  <c r="V81" i="39"/>
  <c r="S81" i="39"/>
  <c r="U81" i="39" s="1"/>
  <c r="R81" i="39"/>
  <c r="T59" i="44"/>
  <c r="S59" i="44"/>
  <c r="R59" i="44"/>
  <c r="Q59" i="44"/>
  <c r="V59" i="44"/>
  <c r="Q87" i="41"/>
  <c r="R24" i="37"/>
  <c r="T24" i="37"/>
  <c r="V24" i="37"/>
  <c r="V6" i="37"/>
  <c r="S6" i="37"/>
  <c r="U6" i="37"/>
  <c r="R6" i="37"/>
  <c r="S6" i="38"/>
  <c r="U6" i="38" s="1"/>
  <c r="U8" i="38" s="1"/>
  <c r="T6" i="38"/>
  <c r="R16" i="42"/>
  <c r="T16" i="42"/>
  <c r="U16" i="42" s="1"/>
  <c r="S16" i="42"/>
  <c r="Q16" i="42"/>
  <c r="V16" i="42"/>
  <c r="T80" i="39"/>
  <c r="R80" i="39"/>
  <c r="T81" i="42"/>
  <c r="U72" i="41"/>
  <c r="Q80" i="39"/>
  <c r="Q40" i="37"/>
  <c r="Q13" i="36"/>
  <c r="T13" i="36"/>
  <c r="U13" i="36"/>
  <c r="R36" i="37"/>
  <c r="T36" i="37"/>
  <c r="Q64" i="40"/>
  <c r="T64" i="40"/>
  <c r="U64" i="40" s="1"/>
  <c r="U65" i="40" s="1"/>
  <c r="R64" i="40"/>
  <c r="Q91" i="41"/>
  <c r="S91" i="41"/>
  <c r="U91" i="41"/>
  <c r="U92" i="41" s="1"/>
  <c r="T42" i="41"/>
  <c r="U42" i="41"/>
  <c r="U43" i="41" s="1"/>
  <c r="R42" i="41"/>
  <c r="Q42" i="41"/>
  <c r="V42" i="41"/>
  <c r="Q19" i="41"/>
  <c r="R19" i="41"/>
  <c r="R21" i="42"/>
  <c r="V21" i="42"/>
  <c r="T19" i="42"/>
  <c r="U19" i="42" s="1"/>
  <c r="S19" i="42"/>
  <c r="V35" i="43"/>
  <c r="S35" i="43"/>
  <c r="U35" i="43" s="1"/>
  <c r="T35" i="43"/>
  <c r="T31" i="42"/>
  <c r="Q51" i="37"/>
  <c r="U15" i="38"/>
  <c r="V14" i="35"/>
  <c r="R14" i="35"/>
  <c r="S14" i="35"/>
  <c r="U14" i="35" s="1"/>
  <c r="T14" i="35"/>
  <c r="S20" i="36"/>
  <c r="U20" i="36" s="1"/>
  <c r="T20" i="36"/>
  <c r="V20" i="36"/>
  <c r="R20" i="36"/>
  <c r="Q20" i="36"/>
  <c r="V58" i="39"/>
  <c r="S58" i="39"/>
  <c r="U58" i="39"/>
  <c r="Q15" i="40"/>
  <c r="T15" i="40"/>
  <c r="U15" i="40" s="1"/>
  <c r="T75" i="41"/>
  <c r="U75" i="41" s="1"/>
  <c r="S75" i="41"/>
  <c r="V75" i="41"/>
  <c r="S45" i="42"/>
  <c r="Q45" i="42"/>
  <c r="T45" i="42"/>
  <c r="V45" i="42"/>
  <c r="Q28" i="35"/>
  <c r="Q35" i="43"/>
  <c r="R56" i="40"/>
  <c r="Q8" i="43"/>
  <c r="Q75" i="41"/>
  <c r="S49" i="40"/>
  <c r="S53" i="35"/>
  <c r="U53" i="35" s="1"/>
  <c r="Q53" i="35"/>
  <c r="U32" i="37"/>
  <c r="V42" i="38"/>
  <c r="R42" i="38"/>
  <c r="S67" i="39"/>
  <c r="U67" i="39"/>
  <c r="R67" i="39"/>
  <c r="V67" i="39"/>
  <c r="V34" i="39"/>
  <c r="T34" i="39"/>
  <c r="U34" i="39"/>
  <c r="U35" i="39" s="1"/>
  <c r="R34" i="39"/>
  <c r="Q34" i="39"/>
  <c r="R26" i="39"/>
  <c r="V26" i="39"/>
  <c r="S15" i="39"/>
  <c r="U15" i="39" s="1"/>
  <c r="U20" i="39" s="1"/>
  <c r="T15" i="39"/>
  <c r="V22" i="43"/>
  <c r="R22" i="43"/>
  <c r="R84" i="43"/>
  <c r="V84" i="43"/>
  <c r="S84" i="43"/>
  <c r="U84" i="43" s="1"/>
  <c r="T66" i="42"/>
  <c r="Q66" i="42"/>
  <c r="S31" i="42"/>
  <c r="U31" i="42" s="1"/>
  <c r="U32" i="42" s="1"/>
  <c r="R35" i="43"/>
  <c r="V66" i="42"/>
  <c r="R43" i="35"/>
  <c r="Q43" i="35"/>
  <c r="S43" i="35"/>
  <c r="U43" i="35" s="1"/>
  <c r="U45" i="35" s="1"/>
  <c r="T43" i="35"/>
  <c r="V43" i="35"/>
  <c r="V20" i="35"/>
  <c r="S20" i="35"/>
  <c r="V57" i="36"/>
  <c r="R57" i="36"/>
  <c r="V58" i="40"/>
  <c r="T58" i="40"/>
  <c r="U58" i="40"/>
  <c r="S87" i="42"/>
  <c r="T87" i="42"/>
  <c r="U87" i="42" s="1"/>
  <c r="U88" i="42" s="1"/>
  <c r="V87" i="42"/>
  <c r="S38" i="43"/>
  <c r="R87" i="43"/>
  <c r="V87" i="43"/>
  <c r="R31" i="42"/>
  <c r="S81" i="42"/>
  <c r="U81" i="42"/>
  <c r="Q58" i="40"/>
  <c r="R81" i="35"/>
  <c r="T49" i="40"/>
  <c r="Q11" i="35"/>
  <c r="T11" i="35"/>
  <c r="U11" i="35" s="1"/>
  <c r="S19" i="38"/>
  <c r="U19" i="38"/>
  <c r="V19" i="38"/>
  <c r="Q66" i="39"/>
  <c r="S66" i="39"/>
  <c r="U66" i="39" s="1"/>
  <c r="R72" i="41"/>
  <c r="V72" i="41"/>
  <c r="S26" i="41"/>
  <c r="U26" i="41" s="1"/>
  <c r="V26" i="41"/>
  <c r="R13" i="41"/>
  <c r="S13" i="41"/>
  <c r="U13" i="41" s="1"/>
  <c r="U16" i="41" s="1"/>
  <c r="Q13" i="41"/>
  <c r="T13" i="41"/>
  <c r="U89" i="42"/>
  <c r="U91" i="42" s="1"/>
  <c r="R84" i="42"/>
  <c r="Q84" i="42"/>
  <c r="V8" i="43"/>
  <c r="R29" i="43"/>
  <c r="S29" i="43"/>
  <c r="U29" i="43"/>
  <c r="T29" i="43"/>
  <c r="U11" i="38"/>
  <c r="V64" i="35"/>
  <c r="R64" i="35"/>
  <c r="V30" i="35"/>
  <c r="S30" i="35"/>
  <c r="T66" i="36"/>
  <c r="Q66" i="36"/>
  <c r="S30" i="37"/>
  <c r="U30" i="37"/>
  <c r="U37" i="37" s="1"/>
  <c r="Q30" i="37"/>
  <c r="T30" i="37"/>
  <c r="S27" i="42"/>
  <c r="V27" i="42"/>
  <c r="Q25" i="43"/>
  <c r="T25" i="43"/>
  <c r="U25" i="43"/>
  <c r="U26" i="43" s="1"/>
  <c r="Q42" i="43"/>
  <c r="R42" i="43"/>
  <c r="V42" i="43"/>
  <c r="T64" i="35"/>
  <c r="U64" i="35" s="1"/>
  <c r="S52" i="38"/>
  <c r="U52" i="38"/>
  <c r="R39" i="42"/>
  <c r="S59" i="38"/>
  <c r="U59" i="38"/>
  <c r="V28" i="35"/>
  <c r="V40" i="35"/>
  <c r="R49" i="35"/>
  <c r="Q49" i="35"/>
  <c r="U67" i="38"/>
  <c r="V25" i="38"/>
  <c r="S25" i="38"/>
  <c r="U25" i="38" s="1"/>
  <c r="S78" i="42"/>
  <c r="U78" i="42" s="1"/>
  <c r="T78" i="42"/>
  <c r="Q78" i="42"/>
  <c r="V98" i="44"/>
  <c r="Q98" i="44"/>
  <c r="R98" i="44"/>
  <c r="R13" i="44"/>
  <c r="V19" i="42"/>
  <c r="S11" i="41"/>
  <c r="U11" i="41" s="1"/>
  <c r="U12" i="41" s="1"/>
  <c r="U71" i="39"/>
  <c r="S87" i="43"/>
  <c r="U87" i="43"/>
  <c r="U90" i="43" s="1"/>
  <c r="U68" i="36"/>
  <c r="R19" i="42"/>
  <c r="S61" i="35"/>
  <c r="Q61" i="35"/>
  <c r="T61" i="35"/>
  <c r="V61" i="35"/>
  <c r="R17" i="35"/>
  <c r="T17" i="35"/>
  <c r="U17" i="35" s="1"/>
  <c r="Q17" i="35"/>
  <c r="S83" i="42"/>
  <c r="U83" i="42"/>
  <c r="Q83" i="42"/>
  <c r="R83" i="42"/>
  <c r="T32" i="39"/>
  <c r="U32" i="39" s="1"/>
  <c r="R32" i="39"/>
  <c r="R46" i="40"/>
  <c r="Q46" i="40"/>
  <c r="Q68" i="40"/>
  <c r="Q19" i="42"/>
  <c r="V52" i="36"/>
  <c r="S52" i="36"/>
  <c r="Q50" i="37"/>
  <c r="V50" i="37"/>
  <c r="S30" i="39"/>
  <c r="U30" i="39" s="1"/>
  <c r="T30" i="39"/>
  <c r="Q7" i="40"/>
  <c r="S7" i="40"/>
  <c r="S69" i="43"/>
  <c r="U69" i="43" s="1"/>
  <c r="V69" i="43"/>
  <c r="R45" i="42"/>
  <c r="Q32" i="39"/>
  <c r="U49" i="35"/>
  <c r="U53" i="40"/>
  <c r="T42" i="43"/>
  <c r="S28" i="35"/>
  <c r="U28" i="35" s="1"/>
  <c r="R66" i="42"/>
  <c r="R30" i="35"/>
  <c r="R59" i="38"/>
  <c r="T59" i="35"/>
  <c r="U59" i="35"/>
  <c r="R59" i="35"/>
  <c r="V7" i="35"/>
  <c r="T7" i="35"/>
  <c r="U7" i="35"/>
  <c r="U8" i="35"/>
  <c r="Q7" i="35"/>
  <c r="T73" i="36"/>
  <c r="U73" i="36" s="1"/>
  <c r="R73" i="36"/>
  <c r="S30" i="36"/>
  <c r="U30" i="36" s="1"/>
  <c r="U33" i="36" s="1"/>
  <c r="T30" i="36"/>
  <c r="V38" i="37"/>
  <c r="R38" i="37"/>
  <c r="Q38" i="37"/>
  <c r="V66" i="38"/>
  <c r="T66" i="38"/>
  <c r="U66" i="38" s="1"/>
  <c r="Q66" i="38"/>
  <c r="R55" i="38"/>
  <c r="T55" i="38"/>
  <c r="U55" i="38"/>
  <c r="Q23" i="38"/>
  <c r="R15" i="38"/>
  <c r="T22" i="39"/>
  <c r="U22" i="39"/>
  <c r="Q77" i="42"/>
  <c r="S55" i="42"/>
  <c r="U55" i="42" s="1"/>
  <c r="U59" i="42" s="1"/>
  <c r="V55" i="42"/>
  <c r="R60" i="43"/>
  <c r="Q60" i="43"/>
  <c r="R51" i="37"/>
  <c r="S51" i="37"/>
  <c r="U51" i="37" s="1"/>
  <c r="V35" i="40"/>
  <c r="Q35" i="40"/>
  <c r="S35" i="40"/>
  <c r="U35" i="40"/>
  <c r="S68" i="40"/>
  <c r="U68" i="40"/>
  <c r="U69" i="40" s="1"/>
  <c r="T68" i="40"/>
  <c r="R18" i="36"/>
  <c r="S55" i="39"/>
  <c r="V56" i="40"/>
  <c r="T28" i="35"/>
  <c r="R87" i="42"/>
  <c r="R25" i="38"/>
  <c r="Q11" i="39"/>
  <c r="R25" i="43"/>
  <c r="R20" i="35"/>
  <c r="R51" i="36"/>
  <c r="Q51" i="36"/>
  <c r="Q34" i="38"/>
  <c r="R34" i="38"/>
  <c r="R44" i="41"/>
  <c r="S32" i="41"/>
  <c r="T32" i="41"/>
  <c r="U8" i="41"/>
  <c r="U10" i="41" s="1"/>
  <c r="U46" i="42"/>
  <c r="Q8" i="42"/>
  <c r="V8" i="42"/>
  <c r="V74" i="43"/>
  <c r="T83" i="43"/>
  <c r="R83" i="43"/>
  <c r="S83" i="43"/>
  <c r="U83" i="43" s="1"/>
  <c r="T75" i="35"/>
  <c r="U75" i="35" s="1"/>
  <c r="V75" i="35"/>
  <c r="R75" i="35"/>
  <c r="V68" i="40"/>
  <c r="R55" i="39"/>
  <c r="S56" i="40"/>
  <c r="U56" i="40" s="1"/>
  <c r="S64" i="35"/>
  <c r="S66" i="42"/>
  <c r="U66" i="42" s="1"/>
  <c r="V11" i="39"/>
  <c r="V66" i="36"/>
  <c r="R29" i="36"/>
  <c r="T29" i="36"/>
  <c r="U29" i="36"/>
  <c r="R54" i="38"/>
  <c r="V54" i="38"/>
  <c r="U11" i="39"/>
  <c r="R24" i="41"/>
  <c r="T24" i="41"/>
  <c r="Q24" i="41"/>
  <c r="V24" i="41"/>
  <c r="U34" i="41"/>
  <c r="V55" i="39"/>
  <c r="Q58" i="39"/>
  <c r="T22" i="36"/>
  <c r="V22" i="36"/>
  <c r="Q22" i="36"/>
  <c r="V13" i="36"/>
  <c r="S36" i="37"/>
  <c r="U36" i="37"/>
  <c r="S65" i="38"/>
  <c r="U65" i="38"/>
  <c r="R65" i="38"/>
  <c r="T89" i="39"/>
  <c r="S89" i="39"/>
  <c r="S38" i="39"/>
  <c r="U38" i="39"/>
  <c r="Q38" i="39"/>
  <c r="T19" i="43"/>
  <c r="S19" i="43"/>
  <c r="U19" i="43" s="1"/>
  <c r="R19" i="43"/>
  <c r="U49" i="39"/>
  <c r="U50" i="39"/>
  <c r="U45" i="42"/>
  <c r="U73" i="38"/>
  <c r="U74" i="38"/>
  <c r="U59" i="36"/>
  <c r="U49" i="40"/>
  <c r="U21" i="38"/>
  <c r="U34" i="42"/>
  <c r="U35" i="42" s="1"/>
  <c r="U32" i="41"/>
  <c r="U36" i="41"/>
  <c r="U37" i="41"/>
  <c r="U16" i="37"/>
  <c r="U46" i="35"/>
  <c r="U61" i="35"/>
  <c r="S47" i="44"/>
  <c r="V18" i="44"/>
  <c r="S73" i="44"/>
  <c r="T18" i="44"/>
  <c r="R18" i="44"/>
  <c r="V79" i="44"/>
  <c r="V13" i="44"/>
  <c r="R69" i="44"/>
  <c r="U77" i="42" l="1"/>
  <c r="U27" i="42"/>
  <c r="U86" i="42"/>
  <c r="U7" i="40"/>
  <c r="U78" i="36"/>
  <c r="U71" i="35"/>
  <c r="U37" i="43"/>
  <c r="U51" i="36"/>
  <c r="U53" i="36" s="1"/>
  <c r="U82" i="39"/>
  <c r="U50" i="38"/>
  <c r="U53" i="37"/>
  <c r="U44" i="43"/>
  <c r="U46" i="43" s="1"/>
  <c r="U50" i="42"/>
  <c r="U51" i="38"/>
  <c r="R49" i="37"/>
  <c r="T49" i="37"/>
  <c r="S49" i="37"/>
  <c r="U49" i="37" s="1"/>
  <c r="V61" i="38"/>
  <c r="Q61" i="38"/>
  <c r="T53" i="41"/>
  <c r="S53" i="41"/>
  <c r="U53" i="41" s="1"/>
  <c r="R47" i="44"/>
  <c r="S17" i="41"/>
  <c r="Q44" i="41"/>
  <c r="R77" i="42"/>
  <c r="U85" i="43"/>
  <c r="U86" i="43" s="1"/>
  <c r="T61" i="38"/>
  <c r="R53" i="41"/>
  <c r="T37" i="42"/>
  <c r="T29" i="39"/>
  <c r="S18" i="35"/>
  <c r="U18" i="35" s="1"/>
  <c r="V18" i="35"/>
  <c r="Q18" i="35"/>
  <c r="R15" i="37"/>
  <c r="U26" i="38"/>
  <c r="U28" i="38" s="1"/>
  <c r="Q74" i="39"/>
  <c r="V74" i="39"/>
  <c r="R74" i="39"/>
  <c r="S74" i="39"/>
  <c r="U74" i="39" s="1"/>
  <c r="S45" i="44"/>
  <c r="Q45" i="44"/>
  <c r="V45" i="44"/>
  <c r="S85" i="44"/>
  <c r="R85" i="44"/>
  <c r="Q93" i="44"/>
  <c r="R93" i="44"/>
  <c r="T93" i="44"/>
  <c r="R63" i="37"/>
  <c r="Q8" i="37"/>
  <c r="T8" i="37"/>
  <c r="R63" i="43"/>
  <c r="T63" i="43"/>
  <c r="Q63" i="43"/>
  <c r="V47" i="44"/>
  <c r="U51" i="40"/>
  <c r="U61" i="40" s="1"/>
  <c r="Q7" i="39"/>
  <c r="T9" i="38"/>
  <c r="S72" i="35"/>
  <c r="T72" i="35"/>
  <c r="Q56" i="37"/>
  <c r="T56" i="37"/>
  <c r="U56" i="37" s="1"/>
  <c r="U69" i="37" s="1"/>
  <c r="Q48" i="37"/>
  <c r="Q56" i="39"/>
  <c r="T7" i="40"/>
  <c r="R7" i="40"/>
  <c r="Q80" i="42"/>
  <c r="R38" i="44"/>
  <c r="S38" i="44"/>
  <c r="V27" i="36"/>
  <c r="S79" i="35"/>
  <c r="U79" i="35" s="1"/>
  <c r="U80" i="35" s="1"/>
  <c r="V14" i="36"/>
  <c r="S8" i="37"/>
  <c r="T7" i="39"/>
  <c r="U7" i="39" s="1"/>
  <c r="R7" i="39"/>
  <c r="S23" i="39"/>
  <c r="U23" i="39" s="1"/>
  <c r="U28" i="39" s="1"/>
  <c r="V65" i="37"/>
  <c r="Q65" i="37"/>
  <c r="S65" i="37"/>
  <c r="U65" i="37" s="1"/>
  <c r="R80" i="38"/>
  <c r="V80" i="38"/>
  <c r="T80" i="38"/>
  <c r="R9" i="38"/>
  <c r="R18" i="40"/>
  <c r="V18" i="40"/>
  <c r="S37" i="42"/>
  <c r="U80" i="42"/>
  <c r="T17" i="41"/>
  <c r="V14" i="44"/>
  <c r="T22" i="37"/>
  <c r="U26" i="42"/>
  <c r="U29" i="42" s="1"/>
  <c r="V44" i="43"/>
  <c r="V69" i="35"/>
  <c r="Q22" i="35"/>
  <c r="Q52" i="36"/>
  <c r="V49" i="37"/>
  <c r="R21" i="40"/>
  <c r="S60" i="36"/>
  <c r="U60" i="36" s="1"/>
  <c r="T77" i="42"/>
  <c r="V79" i="35"/>
  <c r="U9" i="35"/>
  <c r="U13" i="35" s="1"/>
  <c r="S28" i="37"/>
  <c r="Q9" i="38"/>
  <c r="S47" i="39"/>
  <c r="U47" i="39" s="1"/>
  <c r="U48" i="39" s="1"/>
  <c r="R29" i="39"/>
  <c r="R23" i="39"/>
  <c r="V62" i="41"/>
  <c r="Q62" i="41"/>
  <c r="S62" i="41"/>
  <c r="U62" i="41" s="1"/>
  <c r="U77" i="41" s="1"/>
  <c r="Q52" i="41"/>
  <c r="T52" i="41"/>
  <c r="U52" i="41" s="1"/>
  <c r="U55" i="41" s="1"/>
  <c r="R52" i="41"/>
  <c r="R95" i="42"/>
  <c r="Q95" i="42"/>
  <c r="S95" i="42"/>
  <c r="U95" i="42" s="1"/>
  <c r="U96" i="42" s="1"/>
  <c r="Q27" i="42"/>
  <c r="T27" i="42"/>
  <c r="V37" i="42"/>
  <c r="R85" i="43"/>
  <c r="T54" i="43"/>
  <c r="T58" i="43"/>
  <c r="S58" i="43"/>
  <c r="U58" i="43" s="1"/>
  <c r="V38" i="43"/>
  <c r="Q57" i="39"/>
  <c r="R28" i="37"/>
  <c r="R8" i="37"/>
  <c r="Q53" i="41"/>
  <c r="Q63" i="37"/>
  <c r="Q17" i="43"/>
  <c r="S14" i="36"/>
  <c r="U14" i="36" s="1"/>
  <c r="Q40" i="35"/>
  <c r="R40" i="35"/>
  <c r="U16" i="35"/>
  <c r="Q79" i="36"/>
  <c r="T20" i="37"/>
  <c r="R51" i="38"/>
  <c r="V51" i="38"/>
  <c r="Q42" i="38"/>
  <c r="S42" i="38"/>
  <c r="U42" i="38" s="1"/>
  <c r="U43" i="38" s="1"/>
  <c r="V40" i="41"/>
  <c r="Q32" i="43"/>
  <c r="R32" i="43"/>
  <c r="V32" i="43"/>
  <c r="T72" i="43"/>
  <c r="U72" i="43" s="1"/>
  <c r="V72" i="43"/>
  <c r="R72" i="43"/>
  <c r="Q89" i="43"/>
  <c r="R89" i="43"/>
  <c r="R36" i="40"/>
  <c r="T36" i="40"/>
  <c r="Q36" i="40"/>
  <c r="Q29" i="39"/>
  <c r="V22" i="37"/>
  <c r="S17" i="43"/>
  <c r="U17" i="43" s="1"/>
  <c r="Q14" i="36"/>
  <c r="T30" i="35"/>
  <c r="U30" i="35" s="1"/>
  <c r="U36" i="35" s="1"/>
  <c r="U20" i="37"/>
  <c r="U22" i="43"/>
  <c r="Q11" i="36"/>
  <c r="R11" i="36"/>
  <c r="V11" i="36"/>
  <c r="S54" i="43"/>
  <c r="U54" i="43" s="1"/>
  <c r="S57" i="39"/>
  <c r="V53" i="41"/>
  <c r="U12" i="43"/>
  <c r="R38" i="43"/>
  <c r="Q65" i="42"/>
  <c r="Q62" i="43"/>
  <c r="V62" i="43"/>
  <c r="Q14" i="44"/>
  <c r="S29" i="39"/>
  <c r="U29" i="39" s="1"/>
  <c r="U33" i="39" s="1"/>
  <c r="V54" i="43"/>
  <c r="T17" i="43"/>
  <c r="Q27" i="36"/>
  <c r="R37" i="42"/>
  <c r="T57" i="39"/>
  <c r="S11" i="36"/>
  <c r="U11" i="36" s="1"/>
  <c r="S22" i="36"/>
  <c r="U22" i="36" s="1"/>
  <c r="R52" i="37"/>
  <c r="S52" i="37"/>
  <c r="U52" i="37" s="1"/>
  <c r="V52" i="37"/>
  <c r="V50" i="38"/>
  <c r="T50" i="38"/>
  <c r="Q50" i="38"/>
  <c r="V69" i="39"/>
  <c r="V53" i="40"/>
  <c r="Q53" i="40"/>
  <c r="R67" i="42"/>
  <c r="T68" i="43"/>
  <c r="U68" i="43" s="1"/>
  <c r="Q87" i="43"/>
  <c r="S60" i="43"/>
  <c r="U60" i="43" s="1"/>
  <c r="V60" i="43"/>
  <c r="Q23" i="44"/>
  <c r="V23" i="44"/>
  <c r="T23" i="44"/>
  <c r="R23" i="44"/>
  <c r="S65" i="42"/>
  <c r="V63" i="43"/>
  <c r="T81" i="43"/>
  <c r="U51" i="42"/>
  <c r="R47" i="35"/>
  <c r="Q47" i="35"/>
  <c r="Q9" i="36"/>
  <c r="T9" i="36"/>
  <c r="U9" i="36" s="1"/>
  <c r="U10" i="36" s="1"/>
  <c r="V85" i="38"/>
  <c r="S85" i="38"/>
  <c r="U85" i="38" s="1"/>
  <c r="U26" i="39"/>
  <c r="S14" i="44"/>
  <c r="R44" i="43"/>
  <c r="R17" i="41"/>
  <c r="V25" i="41"/>
  <c r="V58" i="36"/>
  <c r="T83" i="38"/>
  <c r="Q44" i="43"/>
  <c r="R65" i="42"/>
  <c r="T28" i="37"/>
  <c r="V63" i="37"/>
  <c r="T40" i="37"/>
  <c r="U40" i="37" s="1"/>
  <c r="U41" i="37" s="1"/>
  <c r="S81" i="43"/>
  <c r="U81" i="43" s="1"/>
  <c r="U82" i="43" s="1"/>
  <c r="T20" i="35"/>
  <c r="U20" i="35" s="1"/>
  <c r="V23" i="36"/>
  <c r="T18" i="37"/>
  <c r="U18" i="37" s="1"/>
  <c r="V18" i="37"/>
  <c r="T39" i="38"/>
  <c r="U39" i="38" s="1"/>
  <c r="U41" i="38" s="1"/>
  <c r="R39" i="38"/>
  <c r="S22" i="38"/>
  <c r="U22" i="38" s="1"/>
  <c r="V9" i="39"/>
  <c r="R34" i="40"/>
  <c r="T34" i="40"/>
  <c r="V34" i="40"/>
  <c r="S34" i="40"/>
  <c r="U34" i="40" s="1"/>
  <c r="V13" i="43"/>
  <c r="S13" i="43"/>
  <c r="U13" i="43" s="1"/>
  <c r="V30" i="44"/>
  <c r="T30" i="44"/>
  <c r="U30" i="44" s="1"/>
  <c r="R35" i="44"/>
  <c r="S35" i="44"/>
  <c r="S36" i="40"/>
  <c r="U36" i="40" s="1"/>
  <c r="U43" i="40" s="1"/>
  <c r="S65" i="39"/>
  <c r="U65" i="39" s="1"/>
  <c r="U79" i="39" s="1"/>
  <c r="S25" i="41"/>
  <c r="R58" i="36"/>
  <c r="V35" i="44"/>
  <c r="U79" i="36"/>
  <c r="U82" i="36" s="1"/>
  <c r="U19" i="35"/>
  <c r="Q79" i="35"/>
  <c r="Q17" i="41"/>
  <c r="Q51" i="38"/>
  <c r="R81" i="43"/>
  <c r="R27" i="36"/>
  <c r="V60" i="37"/>
  <c r="S60" i="37"/>
  <c r="U60" i="37" s="1"/>
  <c r="R60" i="37"/>
  <c r="V69" i="41"/>
  <c r="Q69" i="41"/>
  <c r="Q54" i="43"/>
  <c r="R14" i="44"/>
  <c r="T44" i="43"/>
  <c r="V36" i="40"/>
  <c r="Q14" i="37"/>
  <c r="V65" i="39"/>
  <c r="Q25" i="41"/>
  <c r="T58" i="36"/>
  <c r="S44" i="41"/>
  <c r="R79" i="35"/>
  <c r="T23" i="39"/>
  <c r="Q56" i="38"/>
  <c r="Q81" i="43"/>
  <c r="U37" i="35"/>
  <c r="U38" i="35" s="1"/>
  <c r="S46" i="36"/>
  <c r="U46" i="36" s="1"/>
  <c r="U47" i="36" s="1"/>
  <c r="Q46" i="36"/>
  <c r="Q10" i="37"/>
  <c r="T10" i="37"/>
  <c r="R10" i="37"/>
  <c r="S10" i="37"/>
  <c r="U10" i="37" s="1"/>
  <c r="S54" i="38"/>
  <c r="T54" i="38"/>
  <c r="S91" i="39"/>
  <c r="U91" i="39" s="1"/>
  <c r="U92" i="39" s="1"/>
  <c r="T43" i="39"/>
  <c r="U43" i="39" s="1"/>
  <c r="U45" i="39" s="1"/>
  <c r="Q41" i="40"/>
  <c r="T41" i="40"/>
  <c r="U41" i="40" s="1"/>
  <c r="V78" i="42"/>
  <c r="R78" i="42"/>
  <c r="R40" i="42"/>
  <c r="T40" i="42"/>
  <c r="U40" i="42" s="1"/>
  <c r="T14" i="43"/>
  <c r="U14" i="43" s="1"/>
  <c r="V14" i="43"/>
  <c r="T14" i="36"/>
  <c r="T14" i="37"/>
  <c r="U14" i="37" s="1"/>
  <c r="S63" i="43"/>
  <c r="U63" i="43" s="1"/>
  <c r="S9" i="38"/>
  <c r="U9" i="38" s="1"/>
  <c r="U14" i="38" s="1"/>
  <c r="S27" i="36"/>
  <c r="U27" i="36" s="1"/>
  <c r="Q83" i="38"/>
  <c r="R61" i="38"/>
  <c r="U21" i="40"/>
  <c r="U25" i="40" s="1"/>
  <c r="T65" i="42"/>
  <c r="T27" i="43"/>
  <c r="Q27" i="43"/>
  <c r="S27" i="43"/>
  <c r="U27" i="43" s="1"/>
  <c r="U28" i="43" s="1"/>
  <c r="V27" i="43"/>
  <c r="V14" i="37"/>
  <c r="Q65" i="39"/>
  <c r="T25" i="41"/>
  <c r="S58" i="36"/>
  <c r="U58" i="36" s="1"/>
  <c r="U62" i="36" s="1"/>
  <c r="T47" i="44"/>
  <c r="T38" i="43"/>
  <c r="U38" i="43" s="1"/>
  <c r="U39" i="43" s="1"/>
  <c r="T44" i="41"/>
  <c r="V77" i="42"/>
  <c r="R14" i="37"/>
  <c r="R65" i="39"/>
  <c r="U29" i="38"/>
  <c r="U30" i="38" s="1"/>
  <c r="V43" i="39"/>
  <c r="R22" i="37"/>
  <c r="T47" i="35"/>
  <c r="U47" i="35" s="1"/>
  <c r="U52" i="35" s="1"/>
  <c r="S17" i="38"/>
  <c r="U17" i="38" s="1"/>
  <c r="R85" i="38"/>
  <c r="S80" i="38"/>
  <c r="R58" i="39"/>
  <c r="T81" i="35"/>
  <c r="U81" i="35" s="1"/>
  <c r="S22" i="37"/>
  <c r="U22" i="37" s="1"/>
  <c r="V8" i="37"/>
  <c r="S61" i="38"/>
  <c r="U61" i="38" s="1"/>
  <c r="U72" i="38" s="1"/>
  <c r="Q49" i="40"/>
  <c r="V49" i="40"/>
  <c r="U69" i="42"/>
  <c r="S13" i="37"/>
  <c r="U13" i="37" s="1"/>
  <c r="S19" i="36"/>
  <c r="U19" i="36" s="1"/>
  <c r="U28" i="36" s="1"/>
  <c r="S46" i="40"/>
  <c r="U46" i="40" s="1"/>
  <c r="V37" i="44"/>
  <c r="Q38" i="44"/>
  <c r="V55" i="44"/>
  <c r="T38" i="44"/>
  <c r="S93" i="44"/>
  <c r="V38" i="44"/>
  <c r="R55" i="44"/>
  <c r="S63" i="44"/>
  <c r="T79" i="44"/>
  <c r="U79" i="44" s="1"/>
  <c r="V24" i="44"/>
  <c r="Q63" i="44"/>
  <c r="S24" i="44"/>
  <c r="T63" i="44"/>
  <c r="V63" i="44"/>
  <c r="R50" i="44"/>
  <c r="T24" i="44"/>
  <c r="R24" i="44"/>
  <c r="Q28" i="44"/>
  <c r="R26" i="44"/>
  <c r="Q22" i="44"/>
  <c r="Q26" i="44"/>
  <c r="T22" i="44"/>
  <c r="S22" i="44"/>
  <c r="V85" i="44"/>
  <c r="U47" i="44"/>
  <c r="U48" i="44" s="1"/>
  <c r="U59" i="44"/>
  <c r="T17" i="44"/>
  <c r="U17" i="44" s="1"/>
  <c r="R22" i="44"/>
  <c r="Q17" i="44"/>
  <c r="V26" i="44"/>
  <c r="R17" i="44"/>
  <c r="S26" i="44"/>
  <c r="U26" i="44" s="1"/>
  <c r="T16" i="44"/>
  <c r="R82" i="44"/>
  <c r="T57" i="44"/>
  <c r="V16" i="44"/>
  <c r="R42" i="44"/>
  <c r="R16" i="44"/>
  <c r="V42" i="44"/>
  <c r="T82" i="44"/>
  <c r="T28" i="44"/>
  <c r="U28" i="44" s="1"/>
  <c r="S57" i="44"/>
  <c r="U13" i="44"/>
  <c r="S82" i="44"/>
  <c r="R28" i="44"/>
  <c r="Q33" i="44"/>
  <c r="R57" i="44"/>
  <c r="V57" i="44"/>
  <c r="R33" i="44"/>
  <c r="Q82" i="44"/>
  <c r="V28" i="44"/>
  <c r="T66" i="44"/>
  <c r="S33" i="44"/>
  <c r="U33" i="44" s="1"/>
  <c r="U34" i="44" s="1"/>
  <c r="S16" i="44"/>
  <c r="V66" i="44"/>
  <c r="Q42" i="44"/>
  <c r="U93" i="44"/>
  <c r="T71" i="44"/>
  <c r="U85" i="44"/>
  <c r="Q71" i="44"/>
  <c r="U45" i="44"/>
  <c r="U46" i="44" s="1"/>
  <c r="T92" i="44"/>
  <c r="T27" i="44"/>
  <c r="R92" i="44"/>
  <c r="U37" i="44"/>
  <c r="S71" i="44"/>
  <c r="S92" i="44"/>
  <c r="R71" i="44"/>
  <c r="Q92" i="44"/>
  <c r="Q20" i="44"/>
  <c r="Q11" i="44"/>
  <c r="R66" i="44"/>
  <c r="T98" i="44"/>
  <c r="U98" i="44" s="1"/>
  <c r="V27" i="44"/>
  <c r="S27" i="44"/>
  <c r="T89" i="44"/>
  <c r="U89" i="44" s="1"/>
  <c r="U18" i="44"/>
  <c r="U73" i="44"/>
  <c r="S11" i="44"/>
  <c r="S41" i="44"/>
  <c r="T20" i="44"/>
  <c r="Q65" i="44"/>
  <c r="T11" i="44"/>
  <c r="T42" i="44"/>
  <c r="U42" i="44" s="1"/>
  <c r="V20" i="44"/>
  <c r="Q41" i="44"/>
  <c r="U14" i="44"/>
  <c r="U15" i="44" s="1"/>
  <c r="U96" i="44"/>
  <c r="S66" i="44"/>
  <c r="R41" i="44"/>
  <c r="R89" i="44"/>
  <c r="T65" i="44"/>
  <c r="S50" i="44"/>
  <c r="Q55" i="44"/>
  <c r="Q18" i="44"/>
  <c r="T41" i="44"/>
  <c r="Q89" i="44"/>
  <c r="U38" i="44"/>
  <c r="T50" i="44"/>
  <c r="Q50" i="44"/>
  <c r="V89" i="44"/>
  <c r="Q27" i="44"/>
  <c r="V11" i="44"/>
  <c r="S55" i="44"/>
  <c r="U55" i="44" s="1"/>
  <c r="U56" i="44" s="1"/>
  <c r="S20" i="44"/>
  <c r="S65" i="44"/>
  <c r="U23" i="44"/>
  <c r="V65" i="44"/>
  <c r="T94" i="44"/>
  <c r="S69" i="44"/>
  <c r="S94" i="44"/>
  <c r="U94" i="44" s="1"/>
  <c r="T69" i="44"/>
  <c r="T35" i="44"/>
  <c r="V33" i="44"/>
  <c r="V69" i="44"/>
  <c r="R94" i="44"/>
  <c r="U68" i="44"/>
  <c r="U49" i="44"/>
  <c r="U40" i="44"/>
  <c r="U7" i="44"/>
  <c r="U8" i="39" l="1"/>
  <c r="U10" i="39"/>
  <c r="U25" i="41"/>
  <c r="U35" i="41" s="1"/>
  <c r="U55" i="37"/>
  <c r="U80" i="43"/>
  <c r="U80" i="38"/>
  <c r="U35" i="44"/>
  <c r="U36" i="44" s="1"/>
  <c r="U24" i="43"/>
  <c r="U72" i="35"/>
  <c r="U78" i="35" s="1"/>
  <c r="U82" i="35" s="1"/>
  <c r="U16" i="36"/>
  <c r="U8" i="37"/>
  <c r="U11" i="37" s="1"/>
  <c r="U44" i="41"/>
  <c r="U46" i="41" s="1"/>
  <c r="U28" i="37"/>
  <c r="U29" i="37" s="1"/>
  <c r="U17" i="41"/>
  <c r="U24" i="38"/>
  <c r="U23" i="37"/>
  <c r="U65" i="42"/>
  <c r="U68" i="42" s="1"/>
  <c r="U24" i="35"/>
  <c r="U29" i="35" s="1"/>
  <c r="U37" i="42"/>
  <c r="U41" i="42" s="1"/>
  <c r="U27" i="44"/>
  <c r="U24" i="44"/>
  <c r="U54" i="38"/>
  <c r="U58" i="38" s="1"/>
  <c r="U57" i="39"/>
  <c r="U61" i="39" s="1"/>
  <c r="U16" i="44"/>
  <c r="U57" i="44"/>
  <c r="U58" i="44" s="1"/>
  <c r="U63" i="44"/>
  <c r="U92" i="44"/>
  <c r="U95" i="44" s="1"/>
  <c r="U22" i="44"/>
  <c r="U82" i="44"/>
  <c r="U71" i="44"/>
  <c r="U39" i="44"/>
  <c r="U66" i="44"/>
  <c r="U11" i="44"/>
  <c r="U12" i="44" s="1"/>
  <c r="U65" i="44"/>
  <c r="U100" i="44"/>
  <c r="U41" i="44"/>
  <c r="U44" i="44" s="1"/>
  <c r="U50" i="44"/>
  <c r="U52" i="44" s="1"/>
  <c r="U20" i="44"/>
  <c r="U69" i="44"/>
  <c r="U81" i="38" l="1"/>
  <c r="U86" i="38"/>
  <c r="U32" i="44"/>
  <c r="U91" i="44"/>
</calcChain>
</file>

<file path=xl/sharedStrings.xml><?xml version="1.0" encoding="utf-8"?>
<sst xmlns="http://schemas.openxmlformats.org/spreadsheetml/2006/main" count="3041" uniqueCount="795">
  <si>
    <t>EXP</t>
  </si>
  <si>
    <t>APELLIDOS Y NOMBRE</t>
  </si>
  <si>
    <t>N.A.F.-C.C.C.</t>
  </si>
  <si>
    <t>CONTRATO</t>
  </si>
  <si>
    <t>180 DIAS</t>
  </si>
  <si>
    <t>F.  BAJA</t>
  </si>
  <si>
    <t>Próxima revision</t>
  </si>
  <si>
    <t>F. ALTA</t>
  </si>
  <si>
    <t>BASE MES ANT</t>
  </si>
  <si>
    <t>DIAS</t>
  </si>
  <si>
    <t>BASE DIA</t>
  </si>
  <si>
    <t>DIAS  50 %(3)</t>
  </si>
  <si>
    <t>DIAS 60%(12)</t>
  </si>
  <si>
    <t>DIAS 60%(5)</t>
  </si>
  <si>
    <t>DIAS 75% (resto)</t>
  </si>
  <si>
    <t>TOTAL DIAS</t>
  </si>
  <si>
    <t>INDEM. 50%(3)</t>
  </si>
  <si>
    <t>INDEM. 60%(12)</t>
  </si>
  <si>
    <t>INDEM.60%(5)</t>
  </si>
  <si>
    <t>Indemn.75%resto</t>
  </si>
  <si>
    <t>I.T. 60+75</t>
  </si>
  <si>
    <t>I.T.100%</t>
  </si>
  <si>
    <t>SI</t>
  </si>
  <si>
    <t xml:space="preserve">CARGRI, S.L. </t>
  </si>
  <si>
    <t xml:space="preserve">AUTONOMOS ILT - COMPROBAR ANTES DEL 20 DE CADA PARA EL PAGO DE LAS MUTUAS </t>
  </si>
  <si>
    <t>*** Complentos I.T. especiales</t>
  </si>
  <si>
    <t>autonomos</t>
  </si>
  <si>
    <t>Solo en la 1º baja: 100% desde 1º día</t>
  </si>
  <si>
    <t>Prórroga IT sin derecho a cobro-Pago directo Mutua</t>
  </si>
  <si>
    <t>Hosteleria</t>
  </si>
  <si>
    <t>Si el trabajador NO ESTA SUSTITUIDO se complementa 100% desde 1º día</t>
  </si>
  <si>
    <t>paternidades</t>
  </si>
  <si>
    <t>hasta el día 30 se pagará S/Ley y a partir del día 31 se pagara de nuevo 100%</t>
  </si>
  <si>
    <t>SIN DERECHO O NO TIENE 180 DIAS</t>
  </si>
  <si>
    <t>CONVENIO HOSTELERIA Complemento 100% (MINIMO 180 DIAS DE ANTIGUEDAD EN LA EMPRESA)</t>
  </si>
  <si>
    <t>RECAIDAS</t>
  </si>
  <si>
    <t xml:space="preserve">En caso de Sustitucion no se paga complemento </t>
  </si>
  <si>
    <t>AGRARIO - P. DIRECTO A PARTIR DEL DIA 15</t>
  </si>
  <si>
    <t xml:space="preserve">Bazar </t>
  </si>
  <si>
    <t xml:space="preserve">PAGO DIRECTO </t>
  </si>
  <si>
    <t xml:space="preserve">hasta el límite de 16 meses. </t>
  </si>
  <si>
    <t xml:space="preserve">Para la segunda baja se complementara al 100 % pero a partir del día 14 de la </t>
  </si>
  <si>
    <t xml:space="preserve">baja y hasta un máximo de 6 meses </t>
  </si>
  <si>
    <t xml:space="preserve">Siderometalurgia </t>
  </si>
  <si>
    <t xml:space="preserve">Complemento I.T Enfermedad Comun 100% de la Base Reguladora a partir del día 21 </t>
  </si>
  <si>
    <t>de la baja y hasta el día 365.</t>
  </si>
  <si>
    <t xml:space="preserve">Complemento A.T - Complemento 100% a Base Reguladora desde el primer día de la </t>
  </si>
  <si>
    <t>baja y hasta  el día 365 de la baja</t>
  </si>
  <si>
    <t>PATERNIDAD</t>
  </si>
  <si>
    <t>LORENZO GARRIDO, JOSE</t>
  </si>
  <si>
    <t>189</t>
  </si>
  <si>
    <t>200</t>
  </si>
  <si>
    <t>100</t>
  </si>
  <si>
    <t>JOBEGELA SLU</t>
  </si>
  <si>
    <t xml:space="preserve">CANARY GREEN CORNER </t>
  </si>
  <si>
    <t>EXPL. IND. LOS RODEOS</t>
  </si>
  <si>
    <t>381041009226</t>
  </si>
  <si>
    <t>SITUACIONES ESPECIALES IT</t>
  </si>
  <si>
    <t>LORENZO GARRIDO, MARTIN</t>
  </si>
  <si>
    <t>380053740095</t>
  </si>
  <si>
    <t>MIART CANARIAS SL</t>
  </si>
  <si>
    <t>2290-CANARY</t>
  </si>
  <si>
    <t>NO PUEDE BONIF ENF/ACC MAYORES ENV CASSIA NO BONIF POR NO TENER PLAN IG</t>
  </si>
  <si>
    <t xml:space="preserve">MATERNIDAD </t>
  </si>
  <si>
    <t>CEDRES BETANCOR, REBECA</t>
  </si>
  <si>
    <t>381083447534</t>
  </si>
  <si>
    <t>RODRIGUEZ POLEGRE, ARELYS</t>
  </si>
  <si>
    <t>381055838708</t>
  </si>
  <si>
    <t>381079284012</t>
  </si>
  <si>
    <t>NUÑEZ GOMEZ, AINHOA</t>
  </si>
  <si>
    <t>381046534485</t>
  </si>
  <si>
    <t xml:space="preserve">SI </t>
  </si>
  <si>
    <t>LACTANCIA</t>
  </si>
  <si>
    <t>380040434325</t>
  </si>
  <si>
    <t xml:space="preserve">ARANGO LOPEZ, LEIDY PAOLA </t>
  </si>
  <si>
    <t>381087748068</t>
  </si>
  <si>
    <t xml:space="preserve">DOMINGUEZ LUIS, DAVID DOMINGO </t>
  </si>
  <si>
    <t xml:space="preserve">HERNANDEZ RIVERO, RAQUEL </t>
  </si>
  <si>
    <t>CHINA HOME 2020</t>
  </si>
  <si>
    <t>LOPEZ RODRIGUEZ, FRANCISCO</t>
  </si>
  <si>
    <t>ROSAS MENDOZA, MARIA SABINA</t>
  </si>
  <si>
    <t>381044953890</t>
  </si>
  <si>
    <t xml:space="preserve">BARRERA MELO, VICTOR MANUEL </t>
  </si>
  <si>
    <t>380030296209</t>
  </si>
  <si>
    <t>GOYMAR SUR, S.L.</t>
  </si>
  <si>
    <t xml:space="preserve">MARRERO SUAREZ, BRYANNA BELEN </t>
  </si>
  <si>
    <t>381073328111</t>
  </si>
  <si>
    <t>TRUENO IMPORTACIÓNI SL</t>
  </si>
  <si>
    <t>RIESGO EMBARAZO</t>
  </si>
  <si>
    <t>DEL ROSARIO MARRERO, RITA DEL PINO</t>
  </si>
  <si>
    <t>351037761491</t>
  </si>
  <si>
    <t>NO QUISO SOLICITAR P.DIRECTO</t>
  </si>
  <si>
    <t>MATERNIDAD</t>
  </si>
  <si>
    <t xml:space="preserve">PLASENCIA MARTIN, ISABEL NIEVE </t>
  </si>
  <si>
    <t>380047742465</t>
  </si>
  <si>
    <t xml:space="preserve">VIERA TRAVIESO, JAVIER ENRIQUE </t>
  </si>
  <si>
    <t>351013015478</t>
  </si>
  <si>
    <t>RODRIGUEZ GONZALEZ, NAUZET</t>
  </si>
  <si>
    <t>MORALES SANTANA, ZULEIMA JESUS</t>
  </si>
  <si>
    <t>351038445646</t>
  </si>
  <si>
    <t>351047196763</t>
  </si>
  <si>
    <t xml:space="preserve">YUMAR LUIS, JORGE </t>
  </si>
  <si>
    <t>381073675590</t>
  </si>
  <si>
    <t>SUSTITUIDO POR DAILO JESUS GLEZ. MORENO   - OJO DAR DE BAJA CUANDO FINALICE IT</t>
  </si>
  <si>
    <t>EXPLOTACIONES JORDAN, S.L.</t>
  </si>
  <si>
    <t>ORTEGA SOSA, EUTIMIO JONATAN</t>
  </si>
  <si>
    <t>351016571944</t>
  </si>
  <si>
    <t>381037370009</t>
  </si>
  <si>
    <t>SUSTITUIDO POR MONICA SUAREZ RODRIGUEZ   - OJO DAR DE BAJA CUANDO FINALICE IT</t>
  </si>
  <si>
    <t>BAUCELLS MESA, DOMINGO</t>
  </si>
  <si>
    <t>380051292362</t>
  </si>
  <si>
    <t>PC21-12/09/24</t>
  </si>
  <si>
    <t>SUSTITUIDO POR GABRIEL RODRIGUEZ RODRIGUEZ  - OJO DAR DE BAJA CUANDO FINALICE IT</t>
  </si>
  <si>
    <t>TRUJILLO MEDINA, CINTHYA PAOLA</t>
  </si>
  <si>
    <t>351052714346</t>
  </si>
  <si>
    <t>SILVA MOLINA, LISSMARY JOSEFINA</t>
  </si>
  <si>
    <t>381081758017</t>
  </si>
  <si>
    <t>SUSTITUIDO POR JAVIER VEGA TIENE CONTRATO INDEFINIDO PERO LE HEMOS AMP JORNADA 40H HASTA FIN IT NAUZET - OJO DISM HORAS UNA VEZ ALTA IT (CONFIRMAR CON EMPRESA)</t>
  </si>
  <si>
    <t>FERREIRA DIAZ, MILAGROS</t>
  </si>
  <si>
    <t>380054704237</t>
  </si>
  <si>
    <t>TALLERES GALVAN S.L</t>
  </si>
  <si>
    <t xml:space="preserve">GALVAN BARRETO, JOSE PABLO </t>
  </si>
  <si>
    <t>HERNANDEZ GARCIA, TANIA</t>
  </si>
  <si>
    <t>Accidente no Laboral</t>
  </si>
  <si>
    <t>SANCHEZ HERRERA, GENESIS YOSLEID</t>
  </si>
  <si>
    <t>SUSTITUIDA POR ALEXIS DAVID AFONSO ARMAS</t>
  </si>
  <si>
    <t>SUSTITUIDO POR PÉREZ ARROCHA KIARA SALOME - OJO DAR DE ALTA CUANDO FINALICE IT OJO!! UNA VEZ DE ALTA DE IT RETOMAR ADAPTACION DE LA JORNADA CON MAS PREVENCION PARA EL TEMA DE LAS BOTAS DE SEGURIDAD</t>
  </si>
  <si>
    <t>ALVAREZ LORENZO, MARIA NIEVES</t>
  </si>
  <si>
    <t>381012607323</t>
  </si>
  <si>
    <t>SUSTITUIDO POR LAUREANA DANIELA PORTERO DEVORA   - OJO DAR DE BAJA CUANDO FINALICE IT</t>
  </si>
  <si>
    <t>LORENZO JAVIER, ALEJANDRO</t>
  </si>
  <si>
    <t xml:space="preserve">SUSTITUIDA POR GEMMA MARIA TELA DE ARA- OJO DAR DE BAJA CUANDO FINALICE IT </t>
  </si>
  <si>
    <t>RODRIGUEZ BAUTE, MARIA JOSE</t>
  </si>
  <si>
    <t>381011474443</t>
  </si>
  <si>
    <t>FALCON LEON, AIRAM</t>
  </si>
  <si>
    <t>351053209450</t>
  </si>
  <si>
    <t>ENERO 2025</t>
  </si>
  <si>
    <t>PC21-30/12/24</t>
  </si>
  <si>
    <t>MARTOS DIAZ, DANIEL</t>
  </si>
  <si>
    <t>MESA LLAMERA, CARMEN A</t>
  </si>
  <si>
    <t>380052663702</t>
  </si>
  <si>
    <t>HERNANDEZ CRUZ, IVAN VALENTIN</t>
  </si>
  <si>
    <t>381033931458</t>
  </si>
  <si>
    <t>CASH VALVERDE MC SL</t>
  </si>
  <si>
    <t>DIAZ CARDENTEY, MIRIELA</t>
  </si>
  <si>
    <t>381064481408</t>
  </si>
  <si>
    <t>PROVENCIO TIERNO, JONATHAN</t>
  </si>
  <si>
    <t>28114195869</t>
  </si>
  <si>
    <t>PC14-08/01/2025</t>
  </si>
  <si>
    <t>RODRIGUEZ QUINTANA, CARMEN BEATRIZ</t>
  </si>
  <si>
    <t>351022740942</t>
  </si>
  <si>
    <t>ARBELO REYES, ALEJANDRO</t>
  </si>
  <si>
    <t>351062717571</t>
  </si>
  <si>
    <t>PC1-13/01/2025</t>
  </si>
  <si>
    <t>ESTRADA GONZALEZ, YANEISI</t>
  </si>
  <si>
    <t>381092643740</t>
  </si>
  <si>
    <t>PC7-14/01/25</t>
  </si>
  <si>
    <t>PC05-13/01/25</t>
  </si>
  <si>
    <t>LUIS RODRIGUEZ, CARLOS ENRIQUE</t>
  </si>
  <si>
    <t>381045061095</t>
  </si>
  <si>
    <t>PC10-15/01/2025</t>
  </si>
  <si>
    <t>PADILLA DIAZ, KEYLA SARABI</t>
  </si>
  <si>
    <t>PEREZ RAMOS, JUAN MANUEL</t>
  </si>
  <si>
    <t>381022239019</t>
  </si>
  <si>
    <t>PC3-17/01/25</t>
  </si>
  <si>
    <t>PC15-17/01/25</t>
  </si>
  <si>
    <t>PC12-17/01/25</t>
  </si>
  <si>
    <t>381083662651</t>
  </si>
  <si>
    <t>CANO MELIAN, CIARA</t>
  </si>
  <si>
    <t>PC16-19/01/25</t>
  </si>
  <si>
    <t>PC7-21/01/25</t>
  </si>
  <si>
    <t>PC17-21/01/25</t>
  </si>
  <si>
    <t>PEREZ GEORGE, JEFFREY DOMINGO</t>
  </si>
  <si>
    <t>381020871016</t>
  </si>
  <si>
    <t>SUSTITUIDO POR  ISAYDIS COCA LAUZURIQUE - BAJA 21/01/2025</t>
  </si>
  <si>
    <t>SUSTITUIDO POR PATRICIA BEATRIZ ALZOLA IZQUIERDO - BAJA 21/01/2025</t>
  </si>
  <si>
    <t>SUSTITUIDO POR RODRIGUEZ IZQUIERDO, LENIS XIMENA- OJO DAR DE BAJA CUANDO FINALICE LA IT</t>
  </si>
  <si>
    <t>BE 07/01/2025</t>
  </si>
  <si>
    <t>PC6-22/01/25</t>
  </si>
  <si>
    <t>BALTAR ULLOA, ENRIQUE ALEXANDER</t>
  </si>
  <si>
    <t>381065403211</t>
  </si>
  <si>
    <t>PC15-22/01/25</t>
  </si>
  <si>
    <t>PC1-22/01/25</t>
  </si>
  <si>
    <t>PC3-24/01/25</t>
  </si>
  <si>
    <t>PC06-27/01/25</t>
  </si>
  <si>
    <t>PC5-24/01/25</t>
  </si>
  <si>
    <t>PC1-28/01/25</t>
  </si>
  <si>
    <t>GONZALEZ HERRERA, RUBEN</t>
  </si>
  <si>
    <t>381018572520</t>
  </si>
  <si>
    <t>PC8-28/01/25</t>
  </si>
  <si>
    <t>MORALES PERDOMO, DEYVI</t>
  </si>
  <si>
    <t>381062520691</t>
  </si>
  <si>
    <t>RODRIGUEZ HERNANDEZ, SEBASTIAN ALEXIS</t>
  </si>
  <si>
    <t>381001694621</t>
  </si>
  <si>
    <t>PC3-29/01/25</t>
  </si>
  <si>
    <t>LUIS GONZALEZ, VERONICA</t>
  </si>
  <si>
    <t>381036882278</t>
  </si>
  <si>
    <t>BAEZ BETHENCOURT, YLENIA</t>
  </si>
  <si>
    <t>281574321757</t>
  </si>
  <si>
    <t>YANES HERRERA, MARIA HELENA</t>
  </si>
  <si>
    <t>HERRERA GUARIN, CLAUDIA PATRICIA</t>
  </si>
  <si>
    <t>381013012295</t>
  </si>
  <si>
    <t>PC07-31/01/2025</t>
  </si>
  <si>
    <t>PC4-30/01/25</t>
  </si>
  <si>
    <t>FEBRERO 2025</t>
  </si>
  <si>
    <t>ok baja 27/1/25</t>
  </si>
  <si>
    <t>SUSTITUIDO POR CRISTINA MARTIN MARTEL OJO DAR DE BAJA O VER SI SUST MATERNIDAD</t>
  </si>
  <si>
    <t>OK BAJA 05/01/25</t>
  </si>
  <si>
    <t>OK BAJA 21/01/25</t>
  </si>
  <si>
    <t>SUSTITUIDO POR LUIS LINARES, KEVIN - OJO DAR DE ALTA CUANDO FINALICE IT OJO!!</t>
  </si>
  <si>
    <t>GONZALEZ MACHADO, BELKIS YESENIA</t>
  </si>
  <si>
    <t>381069395466</t>
  </si>
  <si>
    <t>TRUENO IMPORTACION SL</t>
  </si>
  <si>
    <t>ALVAREZ SOCAS, CARMEN DOLORES</t>
  </si>
  <si>
    <t>381049935751</t>
  </si>
  <si>
    <t>GONZALEZ CRUZ, JORGE</t>
  </si>
  <si>
    <t>381052258701</t>
  </si>
  <si>
    <t>PC15-06/02/2025</t>
  </si>
  <si>
    <t>DEL TORO GONZALEZ, CONCEPCION CARMEN</t>
  </si>
  <si>
    <t>380044706971</t>
  </si>
  <si>
    <t>300</t>
  </si>
  <si>
    <t>ANTON FRANGO, JAVIER ALEJANDRO</t>
  </si>
  <si>
    <t>381083007701</t>
  </si>
  <si>
    <t>GAMEZ SANTOS, SARAY</t>
  </si>
  <si>
    <t>GONZALEZ PRADO, ALEJANDRO</t>
  </si>
  <si>
    <t>381074953869</t>
  </si>
  <si>
    <t>HERRERA MARICHAL, ROSA NIEVES</t>
  </si>
  <si>
    <t>381019060247</t>
  </si>
  <si>
    <t>PC17-09/02/25</t>
  </si>
  <si>
    <t>PC06-10/02/25</t>
  </si>
  <si>
    <t>PEREZ AROCHA, KIARA SALOME</t>
  </si>
  <si>
    <t>351082156775</t>
  </si>
  <si>
    <t>COCA LAUZURIQUE, ISAYDIS</t>
  </si>
  <si>
    <t>381094010531</t>
  </si>
  <si>
    <t>PC18-11/02/25</t>
  </si>
  <si>
    <t>PC4-11/02/2025</t>
  </si>
  <si>
    <t>PC7-12/02/25</t>
  </si>
  <si>
    <t>PC16-12/02/25</t>
  </si>
  <si>
    <t xml:space="preserve">SUSTITUIDO POR CRISTINA MARTEL MARTEL OJO DAR DE BAJA O VER SI SUST LACTANCIA O VACACIONES </t>
  </si>
  <si>
    <t>FEDERACION INSULAR DE ATLETISMO</t>
  </si>
  <si>
    <t>MARRERO GUANCHE, CARMEN PILAR</t>
  </si>
  <si>
    <t>381000254169</t>
  </si>
  <si>
    <t>SUSTITUIDA POR GEMMA MARIA TELA DE ARA- BAJA VOLUNTARIA 18/02/2025</t>
  </si>
  <si>
    <t>SUSTITUIDA POR GEMMA MARIA TELA DE ARA- OJO DAR DE BAJA CUANDO FINALICE LA PATERNIDAD</t>
  </si>
  <si>
    <t>BE 14/02/2025</t>
  </si>
  <si>
    <t>PC07-17/02/25</t>
  </si>
  <si>
    <t>(vacaciones del 01/06/25 al 30/06/25)</t>
  </si>
  <si>
    <t>PC2-18/02/25</t>
  </si>
  <si>
    <t>RUEDA LOPEZ, PEDRO ALFONSO</t>
  </si>
  <si>
    <t>381011706132</t>
  </si>
  <si>
    <t>PC9-18/02/25</t>
  </si>
  <si>
    <t>SUSTITUIDO POR PÉREZ KIARA-OJO DAR DE BAJA CUANDO FINALICE IT OJO!! UNA VEZ DE ALTA DE IT RETOMAR ADAPTACION DE LA JORNADA CON PREVENCION PARA EL TEMA BOTAS SEG</t>
  </si>
  <si>
    <t>SUSTITUIDO POR ALZOLA IZQUIERDO, PATRICIA - OJO DAR DE BAJA CUANDO FINALICE IT OJO!!</t>
  </si>
  <si>
    <t>RUGE SANTOS,ALVARO</t>
  </si>
  <si>
    <t>41114903168</t>
  </si>
  <si>
    <t>PC6-20/02/25</t>
  </si>
  <si>
    <t>GONZALEZ HERNANDEZ, YENI ADDYS</t>
  </si>
  <si>
    <t>381054265385</t>
  </si>
  <si>
    <t>PC8-21/02/25</t>
  </si>
  <si>
    <t>GERARDO DOMINGUEZ, MAYDELIN</t>
  </si>
  <si>
    <t>081477802847</t>
  </si>
  <si>
    <t>PC7-21/02/25</t>
  </si>
  <si>
    <t>PC2-24/02/25</t>
  </si>
  <si>
    <t>RIVERO RODRIGUEZ, AYOZE</t>
  </si>
  <si>
    <t>351044199261</t>
  </si>
  <si>
    <t>PC9-25/02/25</t>
  </si>
  <si>
    <t>PC5-25/02/25</t>
  </si>
  <si>
    <t>PC18-24/02/25</t>
  </si>
  <si>
    <t>PC2-27/02/25</t>
  </si>
  <si>
    <t>PC12-26/02/25</t>
  </si>
  <si>
    <t>PC2-26/02/25</t>
  </si>
  <si>
    <t>PC3-27/02/25</t>
  </si>
  <si>
    <t>MARZO 2025</t>
  </si>
  <si>
    <t>BE 27/02/25</t>
  </si>
  <si>
    <t>PC01-28/02/25</t>
  </si>
  <si>
    <t>PC05-28/02/25</t>
  </si>
  <si>
    <t>PC17-28/02/25</t>
  </si>
  <si>
    <t>BE 09/03/25</t>
  </si>
  <si>
    <t>PC8-10/03/25</t>
  </si>
  <si>
    <t>PC10-11/03/25</t>
  </si>
  <si>
    <t>PC20-11/03/25</t>
  </si>
  <si>
    <t>PC6-11/03/25</t>
  </si>
  <si>
    <t>RAMOS RODRIGUEZ, YOLANDA</t>
  </si>
  <si>
    <t>381030892227</t>
  </si>
  <si>
    <t>HERRERA SANCHEZ, DAVID</t>
  </si>
  <si>
    <t>351042142558</t>
  </si>
  <si>
    <t>PAZ EXPOSITO, MARIA CANDELARIA</t>
  </si>
  <si>
    <t>381001331677</t>
  </si>
  <si>
    <t>HERNANDEZ ABREU, ENRIQUE MANUEL</t>
  </si>
  <si>
    <t>381043094221</t>
  </si>
  <si>
    <t>PC9-14/03/25</t>
  </si>
  <si>
    <t>PC07-17/03/25</t>
  </si>
  <si>
    <t>04/014/2025</t>
  </si>
  <si>
    <t>PC8-14/03/25</t>
  </si>
  <si>
    <t>SANTANA MORENO, ELVI JONAY</t>
  </si>
  <si>
    <t>381013767178</t>
  </si>
  <si>
    <t>ALVAREZ BERMUDEZ, GILBERTO</t>
  </si>
  <si>
    <t>381041037619</t>
  </si>
  <si>
    <t>PC10-18/03/25</t>
  </si>
  <si>
    <t>PC19-17/03/25</t>
  </si>
  <si>
    <t>SUSTITUIDA POR VANESA GARCIA AFONSO- OJO DAR DE BAJA CUANDO FINALICE IT</t>
  </si>
  <si>
    <t>BAEZ BATISTA, HECTOR</t>
  </si>
  <si>
    <t>PC13-19/03/25</t>
  </si>
  <si>
    <t>PC5-17/03/25</t>
  </si>
  <si>
    <t>LOZANO LORENZO, NOEMI</t>
  </si>
  <si>
    <t>381044984509</t>
  </si>
  <si>
    <t>PC1-19/03/25</t>
  </si>
  <si>
    <t>PC6-21/03/25</t>
  </si>
  <si>
    <t>PC18-21/03/25</t>
  </si>
  <si>
    <t>PC4-24/03/25</t>
  </si>
  <si>
    <t>PC1-24/03/25</t>
  </si>
  <si>
    <t>HIERRO CARRASCO, AARON</t>
  </si>
  <si>
    <t>381027597762</t>
  </si>
  <si>
    <t>PC7-25/03/25</t>
  </si>
  <si>
    <t>PC17-25/03/25</t>
  </si>
  <si>
    <t>FEDERACIÓN CANARIA DE BALONCESTO</t>
  </si>
  <si>
    <t>BAJA VOL 16/03/25</t>
  </si>
  <si>
    <t>SUSTITUIDO POR PÉREZ BERNAL, KIARA- OJO DAR DE BAJA CUANDO FINALICE LA IT</t>
  </si>
  <si>
    <t>PC18-26/03/25</t>
  </si>
  <si>
    <t>ARGOMANZA SL</t>
  </si>
  <si>
    <t>PC6-27/03/25</t>
  </si>
  <si>
    <t>REYES DIAZ, FATIMA JENNIFER</t>
  </si>
  <si>
    <t>381026220059</t>
  </si>
  <si>
    <t>CHEN, HUI</t>
  </si>
  <si>
    <t>VILLAR GONZALEZ, BRIAN</t>
  </si>
  <si>
    <t>381058400619</t>
  </si>
  <si>
    <t>PC8-27/03/25</t>
  </si>
  <si>
    <t>PC1-25/03/25</t>
  </si>
  <si>
    <t>ABRIL 2025</t>
  </si>
  <si>
    <t>HERNANDEZ GARCIA, AINHOA</t>
  </si>
  <si>
    <t>381048361624</t>
  </si>
  <si>
    <t>PC1-18/03/25</t>
  </si>
  <si>
    <t>BAJA VOL 01/04/25</t>
  </si>
  <si>
    <t>SUSTITUIDA POR LOPEZ MONTELONGO, TAMARA - OJO DAR DE BAJA UNA VEZ ALTA MATERIDAD</t>
  </si>
  <si>
    <t>PC3-28/3/25</t>
  </si>
  <si>
    <t>MENESES PEREZ, JUAN CARLOS</t>
  </si>
  <si>
    <t>380043208222</t>
  </si>
  <si>
    <t>S</t>
  </si>
  <si>
    <t>CARDENAS ARANGUREN, HUMBERTO JOSE</t>
  </si>
  <si>
    <t>381092314748</t>
  </si>
  <si>
    <t>PC18-07/05/25</t>
  </si>
  <si>
    <t>PC6-31/03/25</t>
  </si>
  <si>
    <t>SUSTITUIDO POR RHOLYNGER JAVIER SANCHEZ SANCHEZ , OJO DAR DE BAJA AL FINALIZAR PATERNIDAD</t>
  </si>
  <si>
    <t>OLIVA SANTIAGO, BARBARA</t>
  </si>
  <si>
    <t>351049250032</t>
  </si>
  <si>
    <t>MEDEROS JORDAN, CANDELARIA E</t>
  </si>
  <si>
    <t>380050298619</t>
  </si>
  <si>
    <t>LOPEZ VIÑOLY, MARTA NURIA</t>
  </si>
  <si>
    <t>381003570054</t>
  </si>
  <si>
    <t>EXPLOTACIONES INDUSTRIALES VALLE GUERRA</t>
  </si>
  <si>
    <t>GONZALEZ HERNANDEZ, IDAIRA</t>
  </si>
  <si>
    <t>381025945429</t>
  </si>
  <si>
    <t>SUSTITUIDA POR YOVANY PEÑA ÁLVAREZ- OJO DAR DE BAJA CUANDO FINALICE IT</t>
  </si>
  <si>
    <t>PC14-09/04/25</t>
  </si>
  <si>
    <t>PC19-11/04/25</t>
  </si>
  <si>
    <t>GONZALEZ PABLIQUE, KATERIN NAZARET</t>
  </si>
  <si>
    <t>381077380990</t>
  </si>
  <si>
    <t>PC7-11/04/25</t>
  </si>
  <si>
    <t>PC7-10/04/25</t>
  </si>
  <si>
    <t>MARTIN PEREZ, EMILIO ALEXIS</t>
  </si>
  <si>
    <t>351008855693</t>
  </si>
  <si>
    <t>PC1-14/04/25</t>
  </si>
  <si>
    <t>MOSQUERA CARRASCO, PABLO</t>
  </si>
  <si>
    <t>381001208712</t>
  </si>
  <si>
    <t>PC2-15/04/25</t>
  </si>
  <si>
    <t>PC19-16/04/25</t>
  </si>
  <si>
    <t>PC2-16/04/25</t>
  </si>
  <si>
    <t>PC5-21/04/25</t>
  </si>
  <si>
    <t>PC9-17/04/25</t>
  </si>
  <si>
    <t>PC10-21/04/25</t>
  </si>
  <si>
    <t>PC8-21/04/25</t>
  </si>
  <si>
    <t>PC12-22/04/25</t>
  </si>
  <si>
    <t>PC1-22/04/25</t>
  </si>
  <si>
    <t>PC4-24/04/25</t>
  </si>
  <si>
    <t>PC3-24/04/25</t>
  </si>
  <si>
    <t>SUSTITUIDO POR ARAY ALBERTO TRAVIESO    - OJO DAR DE BAJA CUANDO FINALICE IT</t>
  </si>
  <si>
    <t>PC21-28/04/25</t>
  </si>
  <si>
    <t>PC12-29/04/25</t>
  </si>
  <si>
    <t>PC1-28/04/25</t>
  </si>
  <si>
    <t>MAYO 2025</t>
  </si>
  <si>
    <t>DIAZ GALINDO, KEVIN JESUS</t>
  </si>
  <si>
    <t>351053929474</t>
  </si>
  <si>
    <t>QUALITY DRIVERS SC</t>
  </si>
  <si>
    <t>CANO CEBALLOS, RUBEN OMAR</t>
  </si>
  <si>
    <t>381245543388</t>
  </si>
  <si>
    <t>PC22-05/05/25</t>
  </si>
  <si>
    <t>WEIS VALVERDE, WILLY</t>
  </si>
  <si>
    <t>151006395865</t>
  </si>
  <si>
    <t>OK BAJA</t>
  </si>
  <si>
    <t>OK TC 05/05/25</t>
  </si>
  <si>
    <t>IZQUIERDO HERNANDEZ, MARIA DESIREE</t>
  </si>
  <si>
    <t>381001957531</t>
  </si>
  <si>
    <t>OK TC 07/05/25</t>
  </si>
  <si>
    <t>PC8-09/05/25</t>
  </si>
  <si>
    <t>381086651261</t>
  </si>
  <si>
    <t>PC6-12/05/25</t>
  </si>
  <si>
    <t>FARCA</t>
  </si>
  <si>
    <t>MIRANDA VEGA, DAMIAN MANUEL</t>
  </si>
  <si>
    <t>381031234959</t>
  </si>
  <si>
    <t>402</t>
  </si>
  <si>
    <t>PC11-12/05/25</t>
  </si>
  <si>
    <t>PC9-12/05/25</t>
  </si>
  <si>
    <t>PC13-13/05/25</t>
  </si>
  <si>
    <t>RIOS DE ANDA, LORENA</t>
  </si>
  <si>
    <t>381048494592</t>
  </si>
  <si>
    <t>289</t>
  </si>
  <si>
    <t>GALVEZ AVERO, NAYARA</t>
  </si>
  <si>
    <t>351051241461</t>
  </si>
  <si>
    <t>ARTILES MENDEZ, NISAMAR</t>
  </si>
  <si>
    <t>351030473256</t>
  </si>
  <si>
    <t>PC6-15/05/25</t>
  </si>
  <si>
    <t>SUSTITUIDO POR ARAY ALBERTO TRAVIESO - OJO DAR DE BAJA CUANDO FINALICE IT</t>
  </si>
  <si>
    <t>SUSTITUIDO POR MONICA SUAREZ RODRIGUEZ  - OJO DAR DE BAJA CUANDO FINALICE</t>
  </si>
  <si>
    <t>OK TC 31/05/2025</t>
  </si>
  <si>
    <t>SUSTITUIDO POR ALEJANDRA MARIA MUÑOZ- OJO DAR DE BAJA CUANDO FINALICE LA IT</t>
  </si>
  <si>
    <t>COBOS GIL, YESICA MARIA</t>
  </si>
  <si>
    <t>291039116056</t>
  </si>
  <si>
    <t>SUSTITUIDO POR HERNANDEZ PUENTE ROXANA - CONFIRMAR SI AL FINAL DE LA MATERNIDAD SUSTITUIRA LACTANCIA Y VACACIONES</t>
  </si>
  <si>
    <t>ALONSO BAEZ, LUIS MIGUEL</t>
  </si>
  <si>
    <t>381044848406</t>
  </si>
  <si>
    <t>PC3-20/05/25</t>
  </si>
  <si>
    <t>CUBILLAN POSTIGO, SOL MERCEDES</t>
  </si>
  <si>
    <t>381064616501</t>
  </si>
  <si>
    <t>SUSTITUIDO POR ALEXIS DAVID AFONSO ARMAS - OJO DAR DE BAJA CUANDO FINALICE IT</t>
  </si>
  <si>
    <t>MENDEZ LOPEZ, INES MICHEL</t>
  </si>
  <si>
    <t>BE 21/05/2025</t>
  </si>
  <si>
    <t>SUSTITUIDO POR FRANCISCO GONZALEZ DÍAZ   - OJO DAR DE BAJA CUANDO FINALICE IT</t>
  </si>
  <si>
    <t>PEREZ GIL, ESAU OMAR</t>
  </si>
  <si>
    <t>SUSTITUIDO POR PÉREZ ARROCHA KIARA-OJO DAR DE BAJA CUANDO FINALICE IT OJO!! UNA VEZ DE ALTA DE IT RETOMAR ADAPTACION DE LA JORNADA CON PREVENCION PARA EL TEMA BOTAS SEG</t>
  </si>
  <si>
    <t>OK TC 20/05/25</t>
  </si>
  <si>
    <t>SUSTITUIDA POR GEMMA MARIA TELA DE ARA- OJO DAR DE BAJA CUANDO FINALICE LACTANCIA + VACACIONES</t>
  </si>
  <si>
    <t>PC1-21/05/25</t>
  </si>
  <si>
    <t>PC9-22/05/25</t>
  </si>
  <si>
    <t>CABRERA ALCARAZ, NIVIA</t>
  </si>
  <si>
    <t>381090957152</t>
  </si>
  <si>
    <t>PC21-23/05/25</t>
  </si>
  <si>
    <t>PC4-23/05/25</t>
  </si>
  <si>
    <t>351046481185</t>
  </si>
  <si>
    <t>PC5-26/05/25</t>
  </si>
  <si>
    <t>PC9-26/05/25</t>
  </si>
  <si>
    <t>ORMAZABAL GARCÍA, VICTOR</t>
  </si>
  <si>
    <t>381060507438</t>
  </si>
  <si>
    <t>30</t>
  </si>
  <si>
    <t>PC11-29/05/25</t>
  </si>
  <si>
    <t>PC1-29/05/25</t>
  </si>
  <si>
    <t>PC7-02/06/25</t>
  </si>
  <si>
    <t>PC14-03/06/25</t>
  </si>
  <si>
    <t>MEDINA MARICHAL, SARAY DEL CARMEN</t>
  </si>
  <si>
    <t>38105754768</t>
  </si>
  <si>
    <t>JUNIO 2025</t>
  </si>
  <si>
    <t>BAJA NSPP 06/06/25</t>
  </si>
  <si>
    <t>SUSTITUIDA POR JONATAN FRANCISCO RODRIGUEZ RODRIGUEZ- OJO DAR DE BAJA CUANDO FINALICE IT</t>
  </si>
  <si>
    <t>PC10-12/06/25</t>
  </si>
  <si>
    <t>PC10-16/06/25</t>
  </si>
  <si>
    <t>ACOSTA RUIZ, VEBERLIN</t>
  </si>
  <si>
    <t>381088548522</t>
  </si>
  <si>
    <t>PC1-19/06/25</t>
  </si>
  <si>
    <t>TALAVERA HERNANDEZ, CARMELO DAVID</t>
  </si>
  <si>
    <t>351044833704</t>
  </si>
  <si>
    <t>GOMEZ PERERA, ADRIAN</t>
  </si>
  <si>
    <t>381032590838</t>
  </si>
  <si>
    <t>PC12-19/06/25</t>
  </si>
  <si>
    <t>PC7-19/06/25</t>
  </si>
  <si>
    <t>RAMIREZ MENDOZA, JOSE JUAN</t>
  </si>
  <si>
    <t>351004415420</t>
  </si>
  <si>
    <t>SUSTITUIDA POR SEBASTIAN MOREIRA UMPIERREZ  - OJO DAR DE BAJA CUANDO FINALICE IT</t>
  </si>
  <si>
    <t>SUSTITUIDA POR EDGAR TAMBA SOW AFONSO  - OJO DAR DE BAJA CUANDO FINALICE IT</t>
  </si>
  <si>
    <t>SUSTITUIDA POR LETICIA JUNCAL CURRAS  - OJO DAR DE BAJA CUANDO FINALICE IT</t>
  </si>
  <si>
    <t>SUSTITUIDO POR MELANY CASAUS ALZOLA   - OJO DAR DE BAJA CUANDO FINALICE IT</t>
  </si>
  <si>
    <t>SUSt POR PÉREZ ARROCHA KIARA-OJO DAR DE BAJA CUANDO FINALICE IT OJO!! UNA VEZ DE ALTA DE IT RETOMAR ADAPTACION DE LA JORNADA CON PREVENCION PARA EL TEMA BOTAS SEG</t>
  </si>
  <si>
    <t>EN PROCESO DE VALORAR IP -NO QUISO SOLICITAR P.DIRECTO</t>
  </si>
  <si>
    <t>PC13-23/06/25</t>
  </si>
  <si>
    <t>PC7-23/06/25</t>
  </si>
  <si>
    <t>PC10-23/06/25</t>
  </si>
  <si>
    <t>PC6-13/06/25</t>
  </si>
  <si>
    <t>PC1-23/06/25</t>
  </si>
  <si>
    <t>PC7-24/06/25</t>
  </si>
  <si>
    <t>PC3-24/06/25</t>
  </si>
  <si>
    <t>PC14-24/06/25</t>
  </si>
  <si>
    <t>GONZALEZ MACHADO, BELKYS YESENIA</t>
  </si>
  <si>
    <t>MARTIN GONZALEZ JESUS GERARDO</t>
  </si>
  <si>
    <t>BACHAR, CHARAF</t>
  </si>
  <si>
    <t>381093868869</t>
  </si>
  <si>
    <t>SUSTITUIDA POR ATTENERI BENITEZ TORRES   - OJO DAR DE BAJA CUANDO FINALICE IT</t>
  </si>
  <si>
    <t>BAJA NSPP 25/06/25</t>
  </si>
  <si>
    <t>SIROCO INVERSIONES 2015</t>
  </si>
  <si>
    <t>RODRIGUEZ RODRIGUEZ, AMANAY</t>
  </si>
  <si>
    <t>381014582079</t>
  </si>
  <si>
    <t>PC11-27/06/25</t>
  </si>
  <si>
    <t>EXP. IND. LOS RODEOS</t>
  </si>
  <si>
    <t>LORENZO GARRIDO, JAIME</t>
  </si>
  <si>
    <t>LORENZO FIERRO, PEDRO</t>
  </si>
  <si>
    <t>381001247613</t>
  </si>
  <si>
    <t>JULIO 2025</t>
  </si>
  <si>
    <t>BAJA VOLUNTARIA 01/07/25</t>
  </si>
  <si>
    <t>SUSTITUIDA POR DARIO EZEQUIEL GODOY  - OJO DAR DE BAJA CUANDO FINALICE IT</t>
  </si>
  <si>
    <t>SUSTITUIDA POR MABEL ERICA TAQUICHIRI RELOS  - OJO DAR DE BAJA CUANDO FINALICE IT</t>
  </si>
  <si>
    <t>SUSTITUIDA POR ANGEL SALVADOR VIERA GUTIERREZ - OJO DAR DE BAJA CUANDO FINALICE IT</t>
  </si>
  <si>
    <t>SUSTITUIDA POR EROS DANIEL GONZALEZ GARRIDO  - OJO DAR DE BAJA CUANDO FINALICE IT</t>
  </si>
  <si>
    <t>PEREZ MARQUINA, MARIA JESUS</t>
  </si>
  <si>
    <t>451012072693</t>
  </si>
  <si>
    <t>BETANCORT TAVIO, ADZUBENAM GUADU</t>
  </si>
  <si>
    <t>351040182552</t>
  </si>
  <si>
    <t>OK TC 09/07/2025</t>
  </si>
  <si>
    <t>SUSTITUIDO POR XIOMARA LISBETH GARCIA ARAUZ (PENDIENTE DEL RIESGO) - OJO DAR DE BAJA CUANDO FINALICE LA IT</t>
  </si>
  <si>
    <t>ALMENDRAS CELLAR, JIMMY</t>
  </si>
  <si>
    <t>381008208270</t>
  </si>
  <si>
    <t>LOPEZ ALVARADO, VICTOR</t>
  </si>
  <si>
    <t>PATERNIDAD - 2º PERIODO</t>
  </si>
  <si>
    <t>PC11-14/07/25</t>
  </si>
  <si>
    <t>PC8-14/07/25</t>
  </si>
  <si>
    <t>PC14-14/07/25</t>
  </si>
  <si>
    <t>BOIRO, YAYA</t>
  </si>
  <si>
    <t>381042569613</t>
  </si>
  <si>
    <t>PC16-15/07/25</t>
  </si>
  <si>
    <t>TRUJILLO MEDINA, CINTHYA</t>
  </si>
  <si>
    <t>SUSTITUIDO POR LUCIA DEL CARMEN MERCEDES FREYRE CAMBORDA  - OJO DAR DE BAJA CUANDO FINALICE IT</t>
  </si>
  <si>
    <t>CHEN HUI</t>
  </si>
  <si>
    <t>MACOLA VAZQUEZ, GRETER DE LA CARIDAD</t>
  </si>
  <si>
    <t>PC2-21/07/25</t>
  </si>
  <si>
    <t>????</t>
  </si>
  <si>
    <t>PTE. RESOLUCIÓN RIESGO EMBARAZO</t>
  </si>
  <si>
    <t>PATERNIDAD 1º PERIODO</t>
  </si>
  <si>
    <t>SUSTITUIDO POR ALBERTO LOPEZ GARCIA   - OJO DAR DE BAJA CUANDO FINALICE EL 2º PERIODO DE PATERNIDAD</t>
  </si>
  <si>
    <t>NSPP 04/07/25</t>
  </si>
  <si>
    <t>NSPP 24/07/25</t>
  </si>
  <si>
    <t>NSPP 09/07/25</t>
  </si>
  <si>
    <t>B. VOLUNTARIA 18/07/25</t>
  </si>
  <si>
    <t>BAJA TC 19/07/25</t>
  </si>
  <si>
    <t>PC8-22/07/25</t>
  </si>
  <si>
    <t>PC2-24/07/25</t>
  </si>
  <si>
    <t>SUSt POR PÉREZ AROCHA KIARA-OJO DAR DE BAJA CUANDO FINALICE IT OJO!! UNA VEZ DE ALTA DE IT RETOMAR ADAPTACION DE LA JORNADA CON PREVENCION PARA EL TEMA BOTAS SEG</t>
  </si>
  <si>
    <t>SUSTITUIDA POR GARA ZULEIMA MENDOZA BEHENCOURT- OJO DAR DE BAJA CUANDO EL PERIDOO DE MATERNIDAD</t>
  </si>
  <si>
    <t>PC12-28/07/25</t>
  </si>
  <si>
    <t>PC1-25/07/25</t>
  </si>
  <si>
    <t>GONZALEZ GARRIDO, EROS DANIEL</t>
  </si>
  <si>
    <t>281196124013</t>
  </si>
  <si>
    <t>410</t>
  </si>
  <si>
    <t>RISCO RODRIGUEZ, ACOYDAN</t>
  </si>
  <si>
    <t>381089549036</t>
  </si>
  <si>
    <t>HERMANOS DE BELEN CURIA</t>
  </si>
  <si>
    <t>PELAYO MARTINEZ, WILLIAM</t>
  </si>
  <si>
    <t>381051938904</t>
  </si>
  <si>
    <t>GONZALEZ PEREZ, MARIA DEL MAR</t>
  </si>
  <si>
    <t>351021935943</t>
  </si>
  <si>
    <t>PALAZZOLO GONZALEZ, KEVIN GABRIEL</t>
  </si>
  <si>
    <t>381093545133</t>
  </si>
  <si>
    <t>SILVA MOYA, SUREY SILVIA</t>
  </si>
  <si>
    <t>011009340655</t>
  </si>
  <si>
    <t>PC15-29/07/25</t>
  </si>
  <si>
    <t>GESTABAC CANARIAS SL</t>
  </si>
  <si>
    <t>GONZALEZ MARRERO, TOMAS</t>
  </si>
  <si>
    <t>381013418483</t>
  </si>
  <si>
    <t>REGALADO LUIS, MARIA</t>
  </si>
  <si>
    <t>381060102058</t>
  </si>
  <si>
    <t>PC9-28/07/25</t>
  </si>
  <si>
    <t>TELCONET</t>
  </si>
  <si>
    <t>MANTELLI, MATIAS</t>
  </si>
  <si>
    <t>381086104122</t>
  </si>
  <si>
    <t>PC14-31/07/25</t>
  </si>
  <si>
    <t>PC10-31/07/25</t>
  </si>
  <si>
    <t>38101376718</t>
  </si>
  <si>
    <t>PC1-01/08/2025</t>
  </si>
  <si>
    <t>AGOSTO 2025</t>
  </si>
  <si>
    <t>PC4-24/07/25</t>
  </si>
  <si>
    <t xml:space="preserve"> </t>
  </si>
  <si>
    <t>SUSTITUIDA POR YAGEISY YINETH PEREZ GARCIA  - OJO DAR DE BAJA CUANDO FINALICE IT</t>
  </si>
  <si>
    <t>SUSTITUIDA POR LISBETH DIAZ DUTHIL  - OJO DAR DE BAJA CUANDO FINALICE IT</t>
  </si>
  <si>
    <t>NO</t>
  </si>
  <si>
    <t>TRANSF INDEFINIDO 06/08/25</t>
  </si>
  <si>
    <t>HERNANDEZ DE ARMAS, LORENZO</t>
  </si>
  <si>
    <t>381035793757</t>
  </si>
  <si>
    <t>GAMEZ SANTOS, SARAY BIENVENIDA</t>
  </si>
  <si>
    <t>3810074953869</t>
  </si>
  <si>
    <t>PC17-01/08/25</t>
  </si>
  <si>
    <t>NUÑEZ CRUZ, ROSA MARIA</t>
  </si>
  <si>
    <t>380055277446</t>
  </si>
  <si>
    <t>JOBEGELA</t>
  </si>
  <si>
    <t>DIAZ DE FUENTES, LAURA</t>
  </si>
  <si>
    <t>381036287447</t>
  </si>
  <si>
    <t>PC1-11/08/25</t>
  </si>
  <si>
    <t>DE LA NUEZ SILVA, YUNIA</t>
  </si>
  <si>
    <t>381066274995</t>
  </si>
  <si>
    <t>SEÑALIZACIONES MIRANDA</t>
  </si>
  <si>
    <t xml:space="preserve">BAEZ MARTIN, VICTOR MANUEL </t>
  </si>
  <si>
    <t>381039253930</t>
  </si>
  <si>
    <t>GONZALEZ HERNÁNDEZ, YENI ADDYS</t>
  </si>
  <si>
    <t>PC9-12/08/25</t>
  </si>
  <si>
    <t>GONZALEZ IZQUIERDO, AIDA</t>
  </si>
  <si>
    <t>411100077427</t>
  </si>
  <si>
    <t>502</t>
  </si>
  <si>
    <t>PC1-13/08/25</t>
  </si>
  <si>
    <t>SUSTITUIDA POR LOPEZ MONTENEGRO, TAMARA - OJO DAR DE BAJA CUANDO FINALICE IT</t>
  </si>
  <si>
    <t>SUSTITUIDO POR XIOMARA LISBETH GARCIA ARAUZ - OJO DAR DE BAJA CUANDO FINALICE LA IT</t>
  </si>
  <si>
    <t>RODRIGUEZ TORRES, SIVIA HIGINIA</t>
  </si>
  <si>
    <t>381017647380</t>
  </si>
  <si>
    <t>PC3-14/08/25</t>
  </si>
  <si>
    <t>SUSTITUIDA POR PALOMBA, DENISE - OJO DAR DE BAJA CUANDO FINALICE IT</t>
  </si>
  <si>
    <t>PC10-18/08/25</t>
  </si>
  <si>
    <t>PC2-18/08/25</t>
  </si>
  <si>
    <t>PC13-18/08/25</t>
  </si>
  <si>
    <t>VERA NODA, MARIELA SUSANA</t>
  </si>
  <si>
    <t>381046985032</t>
  </si>
  <si>
    <t>B.VOLUNTARIA 20/08/25</t>
  </si>
  <si>
    <t>PC15-21/08/25</t>
  </si>
  <si>
    <t>PC12-01/08/25</t>
  </si>
  <si>
    <t>PC1-21/08/25</t>
  </si>
  <si>
    <t>PC11-21/08/25</t>
  </si>
  <si>
    <t>SUSTITUIDA POR BECERRA DIAZ, SANTIAGO- OJO DAR DE BAJA CUANDO FINALICE IT</t>
  </si>
  <si>
    <t>B. VOLUNTARIA 22/08/25</t>
  </si>
  <si>
    <t>SUSTITUIDA POR JOSE MARTIN PEREZ TRUJILLO  - OJO DAR DE BAJA CUANDO FINALICE IT</t>
  </si>
  <si>
    <t>PC3-25/08/25</t>
  </si>
  <si>
    <t>PORRAS COVA, INGRID CAROLINA</t>
  </si>
  <si>
    <t>381077799811</t>
  </si>
  <si>
    <t>PC13-25/08/25</t>
  </si>
  <si>
    <t>YUMAR LUIS, JORGE</t>
  </si>
  <si>
    <t>PC16-25/08/25</t>
  </si>
  <si>
    <t>DIAZ GARCIA, AIRAN</t>
  </si>
  <si>
    <t>381081639795</t>
  </si>
  <si>
    <t>SUSTITUIDA POR RAMIREZ ALCARAZ, YAMILCA - OJO DAR DE BAJA CUANDO FINALICE IT</t>
  </si>
  <si>
    <t>SUSTITUIDA POR FRANCO FIGUEROA, AMLIV - OJO DAR DE BAJA CUANDO FINALICE IT</t>
  </si>
  <si>
    <t>PC1-27/08/25</t>
  </si>
  <si>
    <t>PC4-25/08/25</t>
  </si>
  <si>
    <t>PC4-28/08/25</t>
  </si>
  <si>
    <t>TALLERES GALVAN BAEZ</t>
  </si>
  <si>
    <t>LOPEZ MARTIN, JOSE</t>
  </si>
  <si>
    <t>380049940426</t>
  </si>
  <si>
    <t>SUSTITUIDO POR JOSE OMAR DIAZ AFONSO- OJO DAR DE BAJA CUANDO FINALICE IT</t>
  </si>
  <si>
    <t>CAIROS RODRIGUEZ MARCOS ANTONIO</t>
  </si>
  <si>
    <t>GRUPO CYMASOL RENOVABLES SL</t>
  </si>
  <si>
    <t>380055420017</t>
  </si>
  <si>
    <t>SEPTIEMBRE 2025</t>
  </si>
  <si>
    <t>BAJA NSPP 26/8/25</t>
  </si>
  <si>
    <t>SUSTITUIDA POR GONZALEZ GARRIDO EROS DANIEL   - OJO DAR DE BAJA CUANDO FINALICE IT</t>
  </si>
  <si>
    <t>SUSTITUIDA POR JUCAL CURRAS LETICIA  - OJO DAR DE BAJA CUANDO FINALICE IT</t>
  </si>
  <si>
    <t>SUSTITUIDA POR DIAZ DUTHIL, LISBETH   - OJO DAR DE BAJA CUANDO FINALICE IT</t>
  </si>
  <si>
    <t>B. VOLUNTARIA 21/08/25</t>
  </si>
  <si>
    <t>SUSTITUIDA POR GARCIA AFONSO, VANESA - OJO DAR DE BAJA CUANDO FINALICE IT</t>
  </si>
  <si>
    <t>B. VOLUNTARIA 30/08/25</t>
  </si>
  <si>
    <t>SUSTITUIDA POR PEÑA ALVAREZ, YOVANY - OJO DAR DE BAJA CUANDO FINALICE IT</t>
  </si>
  <si>
    <t>SUSTITUIDO POR DIAZ AFONSO, JOSE OMAR - OJO DAR DE BAJA CUANDO FINALICE IT</t>
  </si>
  <si>
    <t>SUSTITUIDO POR GARCIA ARAUZ, XIOMARA LISBETH   - OJO DAR DE BAJA CUANDO FINALICE LA IT</t>
  </si>
  <si>
    <t>DESPIDO 04/08/25</t>
  </si>
  <si>
    <t>B. VOLUNTARIA 06/09/25</t>
  </si>
  <si>
    <t>PC5-29/08/25</t>
  </si>
  <si>
    <t>PC1-29/08/25</t>
  </si>
  <si>
    <t>PC2-29/08/25</t>
  </si>
  <si>
    <t>PC3-29/08/25</t>
  </si>
  <si>
    <t>YANEZ ALVARADO, AARON SANTIAGO</t>
  </si>
  <si>
    <t>351033838954</t>
  </si>
  <si>
    <t>TALAVERA HERNANDEZ</t>
  </si>
  <si>
    <t>SUSTITUIDO POR LOPEZ MONTENEGRO, JENIFER (A PARTIR DEL 07/09/25)   - OJO DAR DE BAJA CUANDO FINALICE LA IT</t>
  </si>
  <si>
    <t>BAJA NSPP 02/09/25</t>
  </si>
  <si>
    <t>PATERNIDAD 2º PERIODO</t>
  </si>
  <si>
    <t>PC2-05/09/25</t>
  </si>
  <si>
    <t>PC10-09/09/25</t>
  </si>
  <si>
    <t>MARRUECOS MARQUEZ, ABEL</t>
  </si>
  <si>
    <t>35104991878</t>
  </si>
  <si>
    <t>OJO PREPARAR DESPIDO CUANDO FINALICE IT</t>
  </si>
  <si>
    <t>CORDERO GONZALEZ JOSE TOMAS</t>
  </si>
  <si>
    <t>SUSTITUIDO POR ALONSO GUILLEN, CINTHYA   - OJO DAR DE BAJA CUANDO FINALICE LA IT</t>
  </si>
  <si>
    <t>PC16-11/09/25</t>
  </si>
  <si>
    <t>3810000254169</t>
  </si>
  <si>
    <t>GENERCLIMA 2012</t>
  </si>
  <si>
    <t>GONZALEZ BELLO, JOSE RICARDO</t>
  </si>
  <si>
    <t>381048616248</t>
  </si>
  <si>
    <t>PC12-11/09/25</t>
  </si>
  <si>
    <t>350059932196</t>
  </si>
  <si>
    <t>SUSTITUIDA POR GARCIA SOSA, SAMUEL - OJO DAR DE BAJA CUANDO FINALICE IT</t>
  </si>
  <si>
    <t>TRANSF INDEFINIDO 01/10/25</t>
  </si>
  <si>
    <t>BAJA VOL 12/09/25</t>
  </si>
  <si>
    <t>06/10/20205</t>
  </si>
  <si>
    <t>PC17-15/09/25</t>
  </si>
  <si>
    <t>PC2-13/09/25</t>
  </si>
  <si>
    <t>381016546533</t>
  </si>
  <si>
    <t>GONZALEZ GONZALEZ, ISIDRO JESUS</t>
  </si>
  <si>
    <t>BAJA TC 17/09/2025</t>
  </si>
  <si>
    <t>PC14-17/09/25</t>
  </si>
  <si>
    <t>PC2-17/09/25</t>
  </si>
  <si>
    <t>SANCHEZ VELEZ, DAVID</t>
  </si>
  <si>
    <t xml:space="preserve">SUSTITUIDA POR  MATARRAZ RAMOS, NIEVES ( A partir del 22/09/2025) OJO DAR DE BAJA CUANDO FINAL LA  MATERNIDAD </t>
  </si>
  <si>
    <t xml:space="preserve">SUSTITUIDO POR SUAREZ SANCHEZ, ALEJANDRO ( A partir del 11/09/2025) OJO DAR DE BAJA CUANDO TERMINE PATERNIDAD </t>
  </si>
  <si>
    <t>MATERNIDAD (19 semanas)</t>
  </si>
  <si>
    <t>GARCIA ARAUZ, XIOMARA LISBETH</t>
  </si>
  <si>
    <t>SUSTITUIDO CANET FERNANDEZ, YERANDI  - OJO DAR DE BAJA CUANDO FINALICE LA IT</t>
  </si>
  <si>
    <t>BAJA TC 15/09/2025</t>
  </si>
  <si>
    <t>SUSTITUIDA POR CALDERIN SUAREZ, DAVID - OJO DAR DE BAJA CUANDO FINALICE IT</t>
  </si>
  <si>
    <t>SUSTITUIDA POR SUAREZ MORENA, JUDITH - OJO DAR DE BAJA CUANDO FINALICE LA IT</t>
  </si>
  <si>
    <t>PC19-22/09/25</t>
  </si>
  <si>
    <t>PC3-22/09/25</t>
  </si>
  <si>
    <t>IZQUIERDO SUESCUN, PEDRO-JESUS</t>
  </si>
  <si>
    <t>381072053872</t>
  </si>
  <si>
    <t>DELGADO CABRERA, MIGUEL ANGEL</t>
  </si>
  <si>
    <t>380047210076</t>
  </si>
  <si>
    <t>PC1-21/09/25</t>
  </si>
  <si>
    <t>REYES MARTIN, EUSEBIA RAQUEL</t>
  </si>
  <si>
    <t>381000376330</t>
  </si>
  <si>
    <t>PC4-25/09/25</t>
  </si>
  <si>
    <t>BARBIANI, ALESSANDRO</t>
  </si>
  <si>
    <t>381094692864</t>
  </si>
  <si>
    <t>PC5-25/09/25</t>
  </si>
  <si>
    <t>PC3-26/09/25</t>
  </si>
  <si>
    <t>DE LA PAZ BRITO, ELIZABETH</t>
  </si>
  <si>
    <t>381089112637</t>
  </si>
  <si>
    <t>TRIFAUNA</t>
  </si>
  <si>
    <t>GONZALEZ DONATE, JOSE FRANCISCO</t>
  </si>
  <si>
    <t>381017352138</t>
  </si>
  <si>
    <t>351085659182</t>
  </si>
  <si>
    <t>PC7-26/09/25</t>
  </si>
  <si>
    <t>PC4-26/09/25</t>
  </si>
  <si>
    <t>PC17-23/09/25</t>
  </si>
  <si>
    <t>PC12-29/09/25</t>
  </si>
  <si>
    <t>RAMOS PEREZ, JOSE AYTHAMI</t>
  </si>
  <si>
    <t>381065804042</t>
  </si>
  <si>
    <t>PC1-29/09/25</t>
  </si>
  <si>
    <t>PC15-29/09/25</t>
  </si>
  <si>
    <t>SUSTITUIDO GONZALEZ GALAN, SAMUEL JESUS  - OJO DAR DE BAJA CUANDO FINALICE LA IT</t>
  </si>
  <si>
    <t>PC2-30/09/25</t>
  </si>
  <si>
    <t>PATERNIDAD (17 semanas - deja pendiente 2)</t>
  </si>
  <si>
    <t>**01/10/2025 PRORROGA IT</t>
  </si>
  <si>
    <t>PC01-30/09/2025</t>
  </si>
  <si>
    <t>BE 01/10/2025</t>
  </si>
  <si>
    <t>OCTUBRE 2025</t>
  </si>
  <si>
    <t>BAJA VOL 26/09/25</t>
  </si>
  <si>
    <t>baja 9/09/2026</t>
  </si>
  <si>
    <t>PC5-29/09/25</t>
  </si>
  <si>
    <t>DOMINGUEZ RODRIGUEZ, ADRIAN</t>
  </si>
  <si>
    <t>381082036384</t>
  </si>
  <si>
    <t>TALAVERA HERNANDEZ, CARMELO</t>
  </si>
  <si>
    <t>SUSTITUIDO POR DIAZ AFONSO, JOSE OMAR - OJO DAR DE BAJA 03/10/2025)</t>
  </si>
  <si>
    <t>SUSTITUIDA POR SUAREZ MORENA, JUDITH - baja 03/10/2025</t>
  </si>
  <si>
    <t xml:space="preserve">SUSTITUIDO POR  RIVERO TORRES, JOEL - OJO DAR DE BAJA CUANDO FINALOCE IT </t>
  </si>
  <si>
    <t>PC18-06/10/25</t>
  </si>
  <si>
    <t>PC5-04/10/25</t>
  </si>
  <si>
    <t>SUSTITUIDO POR LOPEZ MONTENEGRO, JENIFER (A PARTIR DEL 07/09/25)   - baja 07/10/2025</t>
  </si>
  <si>
    <t>SUSTITUIDO POR LOPEZ MONTENEGRO, JENIFER (A PARTIR DEL 08/10/25)   - - OJO DAR DE BAJA CUANDO FINALICE LA IT</t>
  </si>
  <si>
    <t xml:space="preserve">SUSTITUIDO POR SANCHEZ GONZALEZ, CRSTHIAN - OJO DAR DE BAJA CUANDO FINALICE iT </t>
  </si>
  <si>
    <t>SUSTITUIDA POR RAMIREZ ALCARAZ, YAMILCA - BAJA 08/10/2025</t>
  </si>
  <si>
    <t>JUNCAL CURRAS, LETICIA</t>
  </si>
  <si>
    <t>381017206032</t>
  </si>
  <si>
    <t>PC15-08/10/25</t>
  </si>
  <si>
    <t>PC4-10/10/25</t>
  </si>
  <si>
    <t>PC5-10/10/25</t>
  </si>
  <si>
    <t>Prorroga IT</t>
  </si>
  <si>
    <t>PC4-12/10/25</t>
  </si>
  <si>
    <t>PC4-13/10/25</t>
  </si>
  <si>
    <t>GONZALEZ DIAZ, CLAUDIA</t>
  </si>
  <si>
    <t>381086744524</t>
  </si>
  <si>
    <t>TOUNKARA, OUMAR</t>
  </si>
  <si>
    <t>381091037378</t>
  </si>
  <si>
    <t>PC1-15/10/25</t>
  </si>
  <si>
    <t>PC4-15/10/25</t>
  </si>
  <si>
    <t>MEDINA RODRIGUEZ, ANILAUDY</t>
  </si>
  <si>
    <t>351086754575</t>
  </si>
  <si>
    <t>PRO IT</t>
  </si>
  <si>
    <t>PC1-17/10/25</t>
  </si>
  <si>
    <t>PC6-16/10/25</t>
  </si>
  <si>
    <t>PC2-17/10/25</t>
  </si>
  <si>
    <t>PC13-20/10/25</t>
  </si>
  <si>
    <t>PC1-20/10/2</t>
  </si>
  <si>
    <t>PC16-20/10/25</t>
  </si>
  <si>
    <t>PC4-20/10/25</t>
  </si>
  <si>
    <t>PC3-21/10/25</t>
  </si>
  <si>
    <t>SUSTITUIDO MARTIN LEAL, JAVIER  - OJO DAR DE BAJA CUANDO FINALICE LA IT</t>
  </si>
  <si>
    <t>SUSTITUIDO POR  SANCHEZ SANTANA, AARON  (A PARTIR DEL 23/10/25)   - - OJO DAR DE BAJA CUANDO FINALICE LA IT</t>
  </si>
  <si>
    <t xml:space="preserve">ORTIZ PEREZ, DANIEL </t>
  </si>
  <si>
    <t>351043389616</t>
  </si>
  <si>
    <t>SUSTITUIDA POR ALVARADO LARA, INIMAR  (20/10/2025)- OJO DAR DE BAJA CUANDO FINALICE IT</t>
  </si>
  <si>
    <t>SUSTITUIDA POR MARTIN GUTIERREZ JESSICA DESDE (20/10/2025) - OJO DAR DE BAJA CUANDO FINALICE IT</t>
  </si>
  <si>
    <t>NSPP 22/10/25</t>
  </si>
  <si>
    <t>B03/10/25</t>
  </si>
  <si>
    <t>B08/10/25</t>
  </si>
  <si>
    <t>B07/10/25</t>
  </si>
  <si>
    <t>PC14-23/10/25</t>
  </si>
  <si>
    <t>PC18-23/10/25</t>
  </si>
  <si>
    <t>PC3-23/10/25</t>
  </si>
  <si>
    <t>PC1-23/10/25</t>
  </si>
  <si>
    <t>PC4-23/10/25</t>
  </si>
  <si>
    <t>SANTOS MONTESDEOCA, BELEN</t>
  </si>
  <si>
    <t>381028849769</t>
  </si>
  <si>
    <t>HERRERA AGUALLO, JAN KEVIN</t>
  </si>
  <si>
    <t>381094689935</t>
  </si>
  <si>
    <t>MENDOZA FUENTES, CARLA MARIELA</t>
  </si>
  <si>
    <t>381083599401</t>
  </si>
  <si>
    <t>GIL GUERRA, ORLANDO ALFONSO</t>
  </si>
  <si>
    <t>350058119714</t>
  </si>
  <si>
    <t>PC4-24/10/25</t>
  </si>
  <si>
    <t>EXPLOTACIONES INDUST VALLE GUERRA</t>
  </si>
  <si>
    <t>HERNANDEZ HERNANDEZ, ROSA MARIA</t>
  </si>
  <si>
    <t>380042536292</t>
  </si>
  <si>
    <t>SUSTITUIDO CANET FERNANDEZ, YERANDI  -BAJA 28/10/25 OJO DAR DE BAJA CUANDO FINALICE LA IT</t>
  </si>
  <si>
    <t xml:space="preserve">SUSTITUIDO POR CALDEIRA DE JESUS, RITA  - OJO DAR DE BAJA CUANDO FINALICE iT </t>
  </si>
  <si>
    <t>VEGA MENDEZ, JAVIER</t>
  </si>
  <si>
    <t>351095154270</t>
  </si>
  <si>
    <t xml:space="preserve">SUSTITUIDO POR LOZANO PEREZ, LIONEL  - OJO DAR DE BAJA CUANDO FINALICE 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</si>
</sst>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6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Arial"/>
      <family val="2"/>
    </font>
    <font>
      <b/>
      <u/>
      <sz val="8"/>
      <color rgb="FFCC00FF"/>
      <name val="Arial"/>
      <family val="2"/>
    </font>
    <font>
      <sz val="8"/>
      <color rgb="FF00B050"/>
      <name val="Arial"/>
      <family val="2"/>
    </font>
    <font>
      <b/>
      <sz val="7"/>
      <color rgb="FFFF0000"/>
      <name val="Arial"/>
      <family val="2"/>
    </font>
    <font>
      <b/>
      <u/>
      <sz val="7"/>
      <color rgb="FFCC00FF"/>
      <name val="Arial"/>
      <family val="2"/>
    </font>
    <font>
      <sz val="7"/>
      <color theme="1"/>
      <name val="Calibri"/>
      <family val="2"/>
      <scheme val="minor"/>
    </font>
    <font>
      <b/>
      <sz val="8"/>
      <color rgb="FF00B050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rgb="FF0070C0"/>
      <name val="Arial"/>
      <family val="2"/>
    </font>
    <font>
      <b/>
      <u/>
      <sz val="8"/>
      <color rgb="FF00B050"/>
      <name val="Arial"/>
      <family val="2"/>
    </font>
    <font>
      <b/>
      <sz val="11"/>
      <color rgb="FFC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CEE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D8DEA"/>
        <bgColor indexed="64"/>
      </patternFill>
    </fill>
    <fill>
      <patternFill patternType="solid">
        <fgColor rgb="FFBD75BA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3" fillId="3" borderId="0" applyNumberFormat="0" applyBorder="0" applyAlignment="0" applyProtection="0"/>
    <xf numFmtId="164" fontId="2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2" fillId="0" borderId="0"/>
    <xf numFmtId="0" fontId="1" fillId="0" borderId="0"/>
  </cellStyleXfs>
  <cellXfs count="298">
    <xf numFmtId="0" fontId="0" fillId="0" borderId="0" xfId="0"/>
    <xf numFmtId="0" fontId="4" fillId="6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textRotation="90"/>
    </xf>
    <xf numFmtId="4" fontId="3" fillId="2" borderId="1" xfId="0" applyNumberFormat="1" applyFont="1" applyFill="1" applyBorder="1" applyAlignment="1">
      <alignment horizontal="center" textRotation="90"/>
    </xf>
    <xf numFmtId="0" fontId="4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center" textRotation="90"/>
    </xf>
    <xf numFmtId="4" fontId="3" fillId="7" borderId="1" xfId="0" applyNumberFormat="1" applyFont="1" applyFill="1" applyBorder="1" applyAlignment="1">
      <alignment horizontal="center"/>
    </xf>
    <xf numFmtId="14" fontId="4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>
      <alignment horizontal="center" vertical="center"/>
    </xf>
    <xf numFmtId="4" fontId="3" fillId="9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" fontId="3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Fill="1" applyBorder="1" applyAlignment="1" applyProtection="1">
      <alignment horizontal="center" vertical="center"/>
    </xf>
    <xf numFmtId="4" fontId="4" fillId="6" borderId="0" xfId="0" applyNumberFormat="1" applyFont="1" applyFill="1" applyBorder="1" applyAlignment="1">
      <alignment horizontal="center" vertical="center"/>
    </xf>
    <xf numFmtId="4" fontId="4" fillId="0" borderId="0" xfId="0" applyNumberFormat="1" applyFont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/>
    </xf>
    <xf numFmtId="4" fontId="20" fillId="12" borderId="5" xfId="0" applyNumberFormat="1" applyFont="1" applyFill="1" applyBorder="1" applyAlignment="1">
      <alignment horizontal="center" vertical="center"/>
    </xf>
    <xf numFmtId="4" fontId="20" fillId="12" borderId="4" xfId="0" applyNumberFormat="1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0" fontId="4" fillId="0" borderId="0" xfId="0" applyFont="1" applyFill="1" applyBorder="1" applyAlignment="1" applyProtection="1">
      <alignment horizontal="left" vertical="center"/>
    </xf>
    <xf numFmtId="1" fontId="4" fillId="0" borderId="0" xfId="0" applyNumberFormat="1" applyFont="1" applyFill="1" applyBorder="1" applyAlignment="1" applyProtection="1">
      <alignment horizontal="center" vertical="center"/>
    </xf>
    <xf numFmtId="14" fontId="4" fillId="6" borderId="8" xfId="0" applyNumberFormat="1" applyFont="1" applyFill="1" applyBorder="1" applyAlignment="1">
      <alignment horizontal="center" vertical="center"/>
    </xf>
    <xf numFmtId="4" fontId="3" fillId="8" borderId="1" xfId="0" applyNumberFormat="1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4" fontId="6" fillId="9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" fontId="4" fillId="0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5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textRotation="90"/>
    </xf>
    <xf numFmtId="4" fontId="4" fillId="7" borderId="1" xfId="0" applyNumberFormat="1" applyFont="1" applyFill="1" applyBorder="1" applyAlignment="1">
      <alignment horizontal="center" textRotation="90"/>
    </xf>
    <xf numFmtId="14" fontId="21" fillId="0" borderId="0" xfId="0" applyNumberFormat="1" applyFont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textRotation="90"/>
    </xf>
    <xf numFmtId="0" fontId="22" fillId="9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7" fillId="15" borderId="5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23" fillId="14" borderId="6" xfId="0" applyFont="1" applyFill="1" applyBorder="1" applyAlignment="1">
      <alignment horizontal="center"/>
    </xf>
    <xf numFmtId="0" fontId="8" fillId="0" borderId="0" xfId="0" applyFont="1" applyFill="1" applyBorder="1" applyAlignment="1" applyProtection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1" fontId="4" fillId="16" borderId="1" xfId="0" applyNumberFormat="1" applyFont="1" applyFill="1" applyBorder="1" applyAlignment="1">
      <alignment horizontal="center" vertical="center"/>
    </xf>
    <xf numFmtId="0" fontId="19" fillId="9" borderId="2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vertical="center"/>
    </xf>
    <xf numFmtId="14" fontId="3" fillId="8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center"/>
    </xf>
    <xf numFmtId="0" fontId="4" fillId="6" borderId="12" xfId="0" applyFont="1" applyFill="1" applyBorder="1" applyAlignment="1">
      <alignment vertical="center"/>
    </xf>
    <xf numFmtId="0" fontId="4" fillId="6" borderId="13" xfId="0" applyFont="1" applyFill="1" applyBorder="1" applyAlignment="1">
      <alignment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17" borderId="0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center" vertical="center"/>
    </xf>
    <xf numFmtId="0" fontId="3" fillId="17" borderId="10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49" fontId="5" fillId="18" borderId="0" xfId="0" applyNumberFormat="1" applyFont="1" applyFill="1" applyAlignment="1"/>
    <xf numFmtId="0" fontId="4" fillId="0" borderId="16" xfId="0" applyFont="1" applyBorder="1" applyAlignment="1">
      <alignment horizontal="left"/>
    </xf>
    <xf numFmtId="0" fontId="3" fillId="16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/>
    </xf>
    <xf numFmtId="0" fontId="4" fillId="1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6" fillId="15" borderId="14" xfId="0" applyFont="1" applyFill="1" applyBorder="1" applyAlignment="1">
      <alignment horizontal="right" vertical="center"/>
    </xf>
    <xf numFmtId="0" fontId="6" fillId="10" borderId="15" xfId="0" applyFont="1" applyFill="1" applyBorder="1" applyAlignment="1">
      <alignment horizontal="right" vertical="center"/>
    </xf>
    <xf numFmtId="0" fontId="6" fillId="11" borderId="15" xfId="0" applyFont="1" applyFill="1" applyBorder="1" applyAlignment="1">
      <alignment horizontal="right" vertical="center"/>
    </xf>
    <xf numFmtId="0" fontId="6" fillId="17" borderId="15" xfId="0" applyFont="1" applyFill="1" applyBorder="1" applyAlignment="1">
      <alignment horizontal="right" vertical="center"/>
    </xf>
    <xf numFmtId="0" fontId="6" fillId="13" borderId="16" xfId="0" applyFont="1" applyFill="1" applyBorder="1" applyAlignment="1">
      <alignment horizontal="right" vertical="center"/>
    </xf>
    <xf numFmtId="0" fontId="0" fillId="14" borderId="17" xfId="0" applyFill="1" applyBorder="1" applyAlignment="1">
      <alignment horizontal="right"/>
    </xf>
    <xf numFmtId="0" fontId="4" fillId="0" borderId="0" xfId="0" applyFont="1" applyFill="1" applyBorder="1" applyAlignment="1" applyProtection="1">
      <alignment horizontal="right" vertical="center"/>
    </xf>
    <xf numFmtId="0" fontId="18" fillId="6" borderId="8" xfId="0" applyFont="1" applyFill="1" applyBorder="1" applyAlignment="1">
      <alignment horizontal="left" vertical="center"/>
    </xf>
    <xf numFmtId="0" fontId="4" fillId="14" borderId="5" xfId="0" applyFont="1" applyFill="1" applyBorder="1" applyAlignment="1">
      <alignment horizontal="left"/>
    </xf>
    <xf numFmtId="4" fontId="4" fillId="14" borderId="9" xfId="0" applyNumberFormat="1" applyFont="1" applyFill="1" applyBorder="1" applyAlignment="1">
      <alignment horizontal="left"/>
    </xf>
    <xf numFmtId="0" fontId="4" fillId="0" borderId="0" xfId="0" applyFont="1" applyBorder="1" applyAlignment="1">
      <alignment horizontal="left"/>
    </xf>
    <xf numFmtId="4" fontId="4" fillId="0" borderId="0" xfId="0" applyNumberFormat="1" applyFont="1" applyBorder="1" applyAlignment="1">
      <alignment horizontal="left"/>
    </xf>
    <xf numFmtId="0" fontId="3" fillId="0" borderId="0" xfId="0" applyFont="1" applyFill="1" applyBorder="1" applyAlignment="1" applyProtection="1">
      <alignment horizontal="left" vertical="center"/>
    </xf>
    <xf numFmtId="4" fontId="4" fillId="0" borderId="0" xfId="0" applyNumberFormat="1" applyFont="1" applyFill="1" applyBorder="1" applyAlignment="1" applyProtection="1">
      <alignment horizontal="left" vertical="center"/>
    </xf>
    <xf numFmtId="4" fontId="3" fillId="0" borderId="0" xfId="0" applyNumberFormat="1" applyFont="1" applyFill="1" applyBorder="1" applyAlignment="1">
      <alignment horizontal="left" vertical="center"/>
    </xf>
    <xf numFmtId="4" fontId="4" fillId="6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Alignment="1">
      <alignment horizontal="left"/>
    </xf>
    <xf numFmtId="4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4" fontId="3" fillId="0" borderId="5" xfId="0" applyNumberFormat="1" applyFont="1" applyBorder="1" applyAlignment="1">
      <alignment horizontal="left"/>
    </xf>
    <xf numFmtId="4" fontId="4" fillId="0" borderId="5" xfId="0" applyNumberFormat="1" applyFont="1" applyFill="1" applyBorder="1" applyAlignment="1">
      <alignment horizontal="left" vertical="center"/>
    </xf>
    <xf numFmtId="4" fontId="4" fillId="0" borderId="9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 applyAlignment="1">
      <alignment horizontal="left"/>
    </xf>
    <xf numFmtId="4" fontId="4" fillId="0" borderId="3" xfId="0" applyNumberFormat="1" applyFont="1" applyBorder="1" applyAlignment="1">
      <alignment horizontal="left" vertical="center"/>
    </xf>
    <xf numFmtId="4" fontId="4" fillId="0" borderId="19" xfId="0" applyNumberFormat="1" applyFont="1" applyBorder="1" applyAlignment="1">
      <alignment horizontal="left" vertical="center"/>
    </xf>
    <xf numFmtId="4" fontId="4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" fontId="4" fillId="0" borderId="4" xfId="0" applyNumberFormat="1" applyFont="1" applyBorder="1" applyAlignment="1">
      <alignment horizontal="left" vertical="center"/>
    </xf>
    <xf numFmtId="4" fontId="4" fillId="0" borderId="11" xfId="0" applyNumberFormat="1" applyFont="1" applyBorder="1" applyAlignment="1">
      <alignment horizontal="left" vertical="center"/>
    </xf>
    <xf numFmtId="4" fontId="20" fillId="12" borderId="5" xfId="0" applyNumberFormat="1" applyFont="1" applyFill="1" applyBorder="1" applyAlignment="1">
      <alignment horizontal="left"/>
    </xf>
    <xf numFmtId="0" fontId="20" fillId="12" borderId="5" xfId="0" applyFont="1" applyFill="1" applyBorder="1" applyAlignment="1">
      <alignment horizontal="left"/>
    </xf>
    <xf numFmtId="0" fontId="24" fillId="12" borderId="5" xfId="0" applyFont="1" applyFill="1" applyBorder="1" applyAlignment="1">
      <alignment horizontal="left"/>
    </xf>
    <xf numFmtId="4" fontId="20" fillId="12" borderId="5" xfId="0" applyNumberFormat="1" applyFont="1" applyFill="1" applyBorder="1" applyAlignment="1">
      <alignment horizontal="left" vertical="center"/>
    </xf>
    <xf numFmtId="4" fontId="20" fillId="12" borderId="9" xfId="0" applyNumberFormat="1" applyFont="1" applyFill="1" applyBorder="1" applyAlignment="1">
      <alignment horizontal="left" vertical="center"/>
    </xf>
    <xf numFmtId="4" fontId="20" fillId="12" borderId="4" xfId="0" applyNumberFormat="1" applyFont="1" applyFill="1" applyBorder="1" applyAlignment="1">
      <alignment horizontal="left"/>
    </xf>
    <xf numFmtId="0" fontId="20" fillId="12" borderId="4" xfId="0" applyFont="1" applyFill="1" applyBorder="1" applyAlignment="1">
      <alignment horizontal="left"/>
    </xf>
    <xf numFmtId="0" fontId="24" fillId="12" borderId="4" xfId="0" applyFont="1" applyFill="1" applyBorder="1" applyAlignment="1">
      <alignment horizontal="left"/>
    </xf>
    <xf numFmtId="4" fontId="20" fillId="12" borderId="4" xfId="0" applyNumberFormat="1" applyFont="1" applyFill="1" applyBorder="1" applyAlignment="1">
      <alignment horizontal="left" vertical="center"/>
    </xf>
    <xf numFmtId="4" fontId="20" fillId="12" borderId="11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4" fontId="4" fillId="0" borderId="0" xfId="0" applyNumberFormat="1" applyFont="1" applyBorder="1" applyAlignment="1">
      <alignment horizontal="left" vertical="center"/>
    </xf>
    <xf numFmtId="4" fontId="4" fillId="0" borderId="10" xfId="0" applyNumberFormat="1" applyFont="1" applyBorder="1" applyAlignment="1">
      <alignment horizontal="left" vertical="center"/>
    </xf>
    <xf numFmtId="14" fontId="4" fillId="16" borderId="1" xfId="0" applyNumberFormat="1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textRotation="90"/>
    </xf>
    <xf numFmtId="14" fontId="4" fillId="19" borderId="1" xfId="0" applyNumberFormat="1" applyFont="1" applyFill="1" applyBorder="1" applyAlignment="1">
      <alignment horizontal="center"/>
    </xf>
    <xf numFmtId="14" fontId="4" fillId="19" borderId="1" xfId="0" applyNumberFormat="1" applyFont="1" applyFill="1" applyBorder="1" applyAlignment="1">
      <alignment horizontal="center" vertical="center"/>
    </xf>
    <xf numFmtId="14" fontId="19" fillId="9" borderId="1" xfId="0" applyNumberFormat="1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18" fillId="16" borderId="1" xfId="0" applyNumberFormat="1" applyFont="1" applyFill="1" applyBorder="1" applyAlignment="1">
      <alignment horizontal="center" vertical="center"/>
    </xf>
    <xf numFmtId="0" fontId="0" fillId="20" borderId="17" xfId="0" applyFill="1" applyBorder="1" applyAlignment="1">
      <alignment horizontal="right"/>
    </xf>
    <xf numFmtId="0" fontId="0" fillId="20" borderId="6" xfId="0" applyFill="1" applyBorder="1" applyAlignment="1">
      <alignment horizontal="center"/>
    </xf>
    <xf numFmtId="0" fontId="23" fillId="20" borderId="6" xfId="0" applyFont="1" applyFill="1" applyBorder="1" applyAlignment="1">
      <alignment horizontal="center"/>
    </xf>
    <xf numFmtId="0" fontId="0" fillId="20" borderId="7" xfId="0" applyFill="1" applyBorder="1" applyAlignment="1">
      <alignment horizontal="center"/>
    </xf>
    <xf numFmtId="0" fontId="9" fillId="20" borderId="6" xfId="0" applyFont="1" applyFill="1" applyBorder="1" applyAlignment="1">
      <alignment horizontal="center"/>
    </xf>
    <xf numFmtId="0" fontId="25" fillId="21" borderId="0" xfId="0" applyFont="1" applyFill="1" applyAlignment="1">
      <alignment horizontal="left"/>
    </xf>
    <xf numFmtId="0" fontId="25" fillId="21" borderId="0" xfId="0" applyFont="1" applyFill="1" applyAlignment="1">
      <alignment horizontal="center"/>
    </xf>
    <xf numFmtId="0" fontId="25" fillId="21" borderId="0" xfId="0" applyFont="1" applyFill="1"/>
    <xf numFmtId="0" fontId="6" fillId="22" borderId="15" xfId="0" applyFont="1" applyFill="1" applyBorder="1" applyAlignment="1">
      <alignment horizontal="right" vertical="center"/>
    </xf>
    <xf numFmtId="0" fontId="3" fillId="22" borderId="0" xfId="0" applyFont="1" applyFill="1" applyBorder="1" applyAlignment="1">
      <alignment horizontal="center" vertical="center"/>
    </xf>
    <xf numFmtId="0" fontId="7" fillId="22" borderId="0" xfId="0" applyFont="1" applyFill="1" applyBorder="1" applyAlignment="1">
      <alignment horizontal="center" vertical="center"/>
    </xf>
    <xf numFmtId="0" fontId="3" fillId="22" borderId="10" xfId="0" applyFont="1" applyFill="1" applyBorder="1" applyAlignment="1">
      <alignment horizontal="center" vertical="center"/>
    </xf>
    <xf numFmtId="0" fontId="3" fillId="14" borderId="14" xfId="0" applyFont="1" applyFill="1" applyBorder="1" applyAlignment="1">
      <alignment vertical="top"/>
    </xf>
    <xf numFmtId="4" fontId="4" fillId="14" borderId="5" xfId="0" applyNumberFormat="1" applyFont="1" applyFill="1" applyBorder="1" applyAlignment="1">
      <alignment vertical="top"/>
    </xf>
    <xf numFmtId="0" fontId="4" fillId="0" borderId="14" xfId="0" applyFont="1" applyBorder="1" applyAlignment="1">
      <alignment vertical="top"/>
    </xf>
    <xf numFmtId="4" fontId="4" fillId="0" borderId="5" xfId="0" applyNumberFormat="1" applyFont="1" applyBorder="1" applyAlignment="1">
      <alignment vertical="top"/>
    </xf>
    <xf numFmtId="0" fontId="26" fillId="0" borderId="18" xfId="0" applyFont="1" applyBorder="1" applyAlignment="1">
      <alignment vertical="top"/>
    </xf>
    <xf numFmtId="4" fontId="4" fillId="0" borderId="3" xfId="0" applyNumberFormat="1" applyFont="1" applyBorder="1" applyAlignment="1">
      <alignment vertical="top"/>
    </xf>
    <xf numFmtId="0" fontId="4" fillId="0" borderId="20" xfId="0" applyFont="1" applyBorder="1" applyAlignment="1">
      <alignment vertical="top"/>
    </xf>
    <xf numFmtId="4" fontId="4" fillId="0" borderId="21" xfId="0" applyNumberFormat="1" applyFont="1" applyBorder="1" applyAlignment="1">
      <alignment vertical="top"/>
    </xf>
    <xf numFmtId="0" fontId="27" fillId="12" borderId="14" xfId="5" applyFont="1" applyFill="1" applyBorder="1" applyAlignment="1">
      <alignment vertical="top"/>
    </xf>
    <xf numFmtId="4" fontId="20" fillId="12" borderId="5" xfId="0" applyNumberFormat="1" applyFont="1" applyFill="1" applyBorder="1" applyAlignment="1">
      <alignment vertical="top"/>
    </xf>
    <xf numFmtId="0" fontId="20" fillId="12" borderId="16" xfId="5" applyFont="1" applyFill="1" applyBorder="1" applyAlignment="1">
      <alignment vertical="top"/>
    </xf>
    <xf numFmtId="4" fontId="20" fillId="12" borderId="4" xfId="0" applyNumberFormat="1" applyFont="1" applyFill="1" applyBorder="1" applyAlignment="1">
      <alignment vertical="top"/>
    </xf>
    <xf numFmtId="0" fontId="26" fillId="0" borderId="14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4" fontId="4" fillId="0" borderId="0" xfId="0" applyNumberFormat="1" applyFont="1" applyBorder="1" applyAlignment="1">
      <alignment vertical="top"/>
    </xf>
    <xf numFmtId="0" fontId="4" fillId="0" borderId="16" xfId="0" applyFont="1" applyBorder="1" applyAlignment="1">
      <alignment vertical="top"/>
    </xf>
    <xf numFmtId="4" fontId="4" fillId="0" borderId="4" xfId="0" applyNumberFormat="1" applyFont="1" applyBorder="1" applyAlignment="1">
      <alignment vertical="top"/>
    </xf>
    <xf numFmtId="0" fontId="3" fillId="21" borderId="1" xfId="0" applyFont="1" applyFill="1" applyBorder="1" applyAlignment="1">
      <alignment horizontal="left" vertical="center"/>
    </xf>
    <xf numFmtId="49" fontId="3" fillId="21" borderId="1" xfId="0" applyNumberFormat="1" applyFont="1" applyFill="1" applyBorder="1" applyAlignment="1">
      <alignment horizontal="center" vertical="center"/>
    </xf>
    <xf numFmtId="49" fontId="7" fillId="21" borderId="1" xfId="0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14" fontId="3" fillId="21" borderId="1" xfId="0" applyNumberFormat="1" applyFont="1" applyFill="1" applyBorder="1" applyAlignment="1">
      <alignment horizontal="center"/>
    </xf>
    <xf numFmtId="4" fontId="3" fillId="21" borderId="1" xfId="0" applyNumberFormat="1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2" fontId="3" fillId="21" borderId="1" xfId="0" applyNumberFormat="1" applyFont="1" applyFill="1" applyBorder="1" applyAlignment="1">
      <alignment horizontal="center" vertical="center"/>
    </xf>
    <xf numFmtId="0" fontId="17" fillId="0" borderId="0" xfId="0" applyFont="1"/>
    <xf numFmtId="4" fontId="18" fillId="21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14" fontId="18" fillId="21" borderId="1" xfId="0" applyNumberFormat="1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left" vertical="center"/>
    </xf>
    <xf numFmtId="14" fontId="3" fillId="21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right" vertical="center"/>
    </xf>
    <xf numFmtId="0" fontId="4" fillId="0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4" fontId="18" fillId="8" borderId="1" xfId="0" applyNumberFormat="1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/>
    </xf>
    <xf numFmtId="0" fontId="28" fillId="0" borderId="0" xfId="0" applyFont="1" applyFill="1"/>
    <xf numFmtId="0" fontId="3" fillId="24" borderId="0" xfId="0" applyFont="1" applyFill="1" applyBorder="1" applyAlignment="1">
      <alignment horizontal="center" vertical="center"/>
    </xf>
    <xf numFmtId="0" fontId="29" fillId="0" borderId="0" xfId="0" applyFont="1"/>
    <xf numFmtId="14" fontId="18" fillId="6" borderId="1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8" fillId="16" borderId="1" xfId="0" applyFont="1" applyFill="1" applyBorder="1" applyAlignment="1">
      <alignment horizontal="center" vertical="center"/>
    </xf>
    <xf numFmtId="0" fontId="17" fillId="0" borderId="0" xfId="0" applyFont="1" applyFill="1"/>
    <xf numFmtId="49" fontId="4" fillId="0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vertical="center"/>
    </xf>
    <xf numFmtId="0" fontId="4" fillId="17" borderId="1" xfId="0" applyFont="1" applyFill="1" applyBorder="1" applyAlignment="1">
      <alignment horizontal="left" vertical="center"/>
    </xf>
    <xf numFmtId="49" fontId="4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14" fontId="4" fillId="17" borderId="1" xfId="0" applyNumberFormat="1" applyFont="1" applyFill="1" applyBorder="1" applyAlignment="1">
      <alignment horizontal="center" vertical="center"/>
    </xf>
    <xf numFmtId="4" fontId="4" fillId="17" borderId="1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2" fontId="4" fillId="17" borderId="1" xfId="0" applyNumberFormat="1" applyFont="1" applyFill="1" applyBorder="1" applyAlignment="1">
      <alignment horizontal="center" vertical="center"/>
    </xf>
    <xf numFmtId="4" fontId="18" fillId="21" borderId="2" xfId="0" applyNumberFormat="1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14" fontId="18" fillId="17" borderId="1" xfId="0" applyNumberFormat="1" applyFont="1" applyFill="1" applyBorder="1" applyAlignment="1">
      <alignment horizontal="center" vertical="center"/>
    </xf>
    <xf numFmtId="4" fontId="3" fillId="21" borderId="1" xfId="0" applyNumberFormat="1" applyFont="1" applyFill="1" applyBorder="1" applyAlignment="1">
      <alignment horizontal="left" vertical="center"/>
    </xf>
    <xf numFmtId="4" fontId="3" fillId="21" borderId="8" xfId="0" applyNumberFormat="1" applyFont="1" applyFill="1" applyBorder="1" applyAlignment="1">
      <alignment horizontal="center" vertical="center"/>
    </xf>
    <xf numFmtId="4" fontId="3" fillId="21" borderId="13" xfId="0" applyNumberFormat="1" applyFont="1" applyFill="1" applyBorder="1" applyAlignment="1">
      <alignment horizontal="center" vertical="center"/>
    </xf>
    <xf numFmtId="4" fontId="3" fillId="21" borderId="12" xfId="0" applyNumberFormat="1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49" fontId="4" fillId="16" borderId="1" xfId="0" applyNumberFormat="1" applyFont="1" applyFill="1" applyBorder="1" applyAlignment="1">
      <alignment horizontal="center" vertical="center"/>
    </xf>
    <xf numFmtId="49" fontId="8" fillId="16" borderId="1" xfId="0" applyNumberFormat="1" applyFont="1" applyFill="1" applyBorder="1" applyAlignment="1">
      <alignment horizontal="center" vertical="center"/>
    </xf>
    <xf numFmtId="14" fontId="4" fillId="16" borderId="1" xfId="0" applyNumberFormat="1" applyFont="1" applyFill="1" applyBorder="1" applyAlignment="1">
      <alignment horizontal="center"/>
    </xf>
    <xf numFmtId="4" fontId="4" fillId="16" borderId="1" xfId="0" applyNumberFormat="1" applyFont="1" applyFill="1" applyBorder="1" applyAlignment="1">
      <alignment horizontal="center" vertical="center"/>
    </xf>
    <xf numFmtId="2" fontId="4" fillId="16" borderId="1" xfId="0" applyNumberFormat="1" applyFont="1" applyFill="1" applyBorder="1" applyAlignment="1">
      <alignment horizontal="center" vertical="center"/>
    </xf>
    <xf numFmtId="4" fontId="3" fillId="21" borderId="8" xfId="0" applyNumberFormat="1" applyFont="1" applyFill="1" applyBorder="1" applyAlignment="1">
      <alignment horizontal="center" vertical="center"/>
    </xf>
    <xf numFmtId="4" fontId="3" fillId="21" borderId="12" xfId="0" applyNumberFormat="1" applyFont="1" applyFill="1" applyBorder="1" applyAlignment="1">
      <alignment horizontal="center" vertical="center"/>
    </xf>
    <xf numFmtId="4" fontId="3" fillId="21" borderId="13" xfId="0" applyNumberFormat="1" applyFont="1" applyFill="1" applyBorder="1" applyAlignment="1">
      <alignment horizontal="center" vertical="center"/>
    </xf>
    <xf numFmtId="4" fontId="3" fillId="21" borderId="8" xfId="0" applyNumberFormat="1" applyFont="1" applyFill="1" applyBorder="1" applyAlignment="1">
      <alignment horizontal="center" vertical="center"/>
    </xf>
    <xf numFmtId="4" fontId="3" fillId="21" borderId="12" xfId="0" applyNumberFormat="1" applyFont="1" applyFill="1" applyBorder="1" applyAlignment="1">
      <alignment horizontal="center" vertical="center"/>
    </xf>
    <xf numFmtId="4" fontId="3" fillId="21" borderId="13" xfId="0" applyNumberFormat="1" applyFont="1" applyFill="1" applyBorder="1" applyAlignment="1">
      <alignment horizontal="center" vertical="center"/>
    </xf>
    <xf numFmtId="14" fontId="4" fillId="17" borderId="1" xfId="0" applyNumberFormat="1" applyFont="1" applyFill="1" applyBorder="1" applyAlignment="1">
      <alignment horizontal="center"/>
    </xf>
    <xf numFmtId="0" fontId="3" fillId="17" borderId="1" xfId="0" applyFont="1" applyFill="1" applyBorder="1" applyAlignment="1">
      <alignment horizontal="center" vertical="center"/>
    </xf>
    <xf numFmtId="14" fontId="18" fillId="19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 textRotation="90"/>
    </xf>
    <xf numFmtId="0" fontId="13" fillId="3" borderId="0" xfId="1"/>
    <xf numFmtId="0" fontId="14" fillId="4" borderId="0" xfId="3"/>
    <xf numFmtId="0" fontId="7" fillId="6" borderId="1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14" fontId="4" fillId="24" borderId="1" xfId="0" applyNumberFormat="1" applyFont="1" applyFill="1" applyBorder="1" applyAlignment="1">
      <alignment horizontal="center" vertical="center"/>
    </xf>
    <xf numFmtId="4" fontId="4" fillId="24" borderId="1" xfId="0" applyNumberFormat="1" applyFont="1" applyFill="1" applyBorder="1" applyAlignment="1">
      <alignment horizontal="center" vertical="center"/>
    </xf>
    <xf numFmtId="14" fontId="18" fillId="24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right" vertical="center"/>
    </xf>
    <xf numFmtId="0" fontId="4" fillId="25" borderId="1" xfId="0" applyFont="1" applyFill="1" applyBorder="1" applyAlignment="1">
      <alignment horizontal="left" vertical="center"/>
    </xf>
    <xf numFmtId="49" fontId="4" fillId="25" borderId="1" xfId="0" applyNumberFormat="1" applyFont="1" applyFill="1" applyBorder="1" applyAlignment="1">
      <alignment horizontal="center" vertical="center"/>
    </xf>
    <xf numFmtId="49" fontId="8" fillId="25" borderId="1" xfId="0" applyNumberFormat="1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14" fontId="4" fillId="25" borderId="1" xfId="0" applyNumberFormat="1" applyFont="1" applyFill="1" applyBorder="1" applyAlignment="1">
      <alignment horizontal="center" vertical="center"/>
    </xf>
    <xf numFmtId="14" fontId="4" fillId="25" borderId="1" xfId="0" applyNumberFormat="1" applyFont="1" applyFill="1" applyBorder="1" applyAlignment="1">
      <alignment horizontal="center"/>
    </xf>
    <xf numFmtId="14" fontId="18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2" fontId="4" fillId="25" borderId="1" xfId="0" applyNumberFormat="1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4" fontId="4" fillId="25" borderId="1" xfId="0" applyNumberFormat="1" applyFont="1" applyFill="1" applyBorder="1" applyAlignment="1">
      <alignment horizontal="center" vertical="center"/>
    </xf>
    <xf numFmtId="14" fontId="3" fillId="21" borderId="1" xfId="0" applyNumberFormat="1" applyFont="1" applyFill="1" applyBorder="1" applyAlignment="1">
      <alignment horizontal="left" vertical="center"/>
    </xf>
    <xf numFmtId="4" fontId="3" fillId="21" borderId="1" xfId="0" applyNumberFormat="1" applyFont="1" applyFill="1" applyBorder="1" applyAlignment="1">
      <alignment vertical="center"/>
    </xf>
    <xf numFmtId="0" fontId="1" fillId="0" borderId="0" xfId="6"/>
    <xf numFmtId="0" fontId="15" fillId="26" borderId="0" xfId="4" applyFill="1"/>
    <xf numFmtId="0" fontId="4" fillId="16" borderId="1" xfId="0" applyFont="1" applyFill="1" applyBorder="1" applyAlignment="1">
      <alignment vertical="center"/>
    </xf>
    <xf numFmtId="0" fontId="3" fillId="27" borderId="10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right" vertical="center"/>
    </xf>
    <xf numFmtId="0" fontId="4" fillId="27" borderId="1" xfId="0" applyFont="1" applyFill="1" applyBorder="1" applyAlignment="1">
      <alignment horizontal="left" vertical="center"/>
    </xf>
    <xf numFmtId="49" fontId="4" fillId="27" borderId="1" xfId="0" applyNumberFormat="1" applyFont="1" applyFill="1" applyBorder="1" applyAlignment="1">
      <alignment horizontal="center" vertical="center"/>
    </xf>
    <xf numFmtId="49" fontId="8" fillId="27" borderId="1" xfId="0" applyNumberFormat="1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14" fontId="4" fillId="27" borderId="1" xfId="0" applyNumberFormat="1" applyFont="1" applyFill="1" applyBorder="1" applyAlignment="1">
      <alignment horizontal="center" vertical="center"/>
    </xf>
    <xf numFmtId="14" fontId="4" fillId="27" borderId="1" xfId="0" applyNumberFormat="1" applyFont="1" applyFill="1" applyBorder="1" applyAlignment="1">
      <alignment horizontal="center"/>
    </xf>
    <xf numFmtId="4" fontId="4" fillId="27" borderId="1" xfId="0" applyNumberFormat="1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center" vertical="center"/>
    </xf>
    <xf numFmtId="2" fontId="4" fillId="27" borderId="1" xfId="0" applyNumberFormat="1" applyFont="1" applyFill="1" applyBorder="1" applyAlignment="1">
      <alignment horizontal="center" vertical="center"/>
    </xf>
    <xf numFmtId="14" fontId="18" fillId="27" borderId="1" xfId="0" applyNumberFormat="1" applyFont="1" applyFill="1" applyBorder="1" applyAlignment="1">
      <alignment horizontal="center" vertical="center"/>
    </xf>
    <xf numFmtId="49" fontId="30" fillId="0" borderId="1" xfId="0" quotePrefix="1" applyNumberFormat="1" applyFont="1" applyBorder="1"/>
    <xf numFmtId="0" fontId="15" fillId="5" borderId="0" xfId="4"/>
    <xf numFmtId="0" fontId="4" fillId="28" borderId="1" xfId="0" applyFont="1" applyFill="1" applyBorder="1" applyAlignment="1">
      <alignment vertical="center"/>
    </xf>
    <xf numFmtId="0" fontId="4" fillId="28" borderId="1" xfId="0" applyFont="1" applyFill="1" applyBorder="1" applyAlignment="1">
      <alignment horizontal="left" vertical="center"/>
    </xf>
    <xf numFmtId="49" fontId="4" fillId="28" borderId="1" xfId="0" applyNumberFormat="1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14" fontId="4" fillId="28" borderId="1" xfId="0" applyNumberFormat="1" applyFont="1" applyFill="1" applyBorder="1" applyAlignment="1">
      <alignment horizontal="center" vertical="center"/>
    </xf>
    <xf numFmtId="14" fontId="4" fillId="28" borderId="1" xfId="0" applyNumberFormat="1" applyFont="1" applyFill="1" applyBorder="1" applyAlignment="1">
      <alignment horizontal="center"/>
    </xf>
    <xf numFmtId="4" fontId="4" fillId="28" borderId="1" xfId="0" applyNumberFormat="1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center" vertical="center"/>
    </xf>
    <xf numFmtId="2" fontId="4" fillId="28" borderId="1" xfId="0" applyNumberFormat="1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9" fillId="25" borderId="14" xfId="0" applyFont="1" applyFill="1" applyBorder="1" applyAlignment="1">
      <alignment horizontal="center" vertical="center"/>
    </xf>
    <xf numFmtId="0" fontId="9" fillId="25" borderId="5" xfId="0" applyFont="1" applyFill="1" applyBorder="1" applyAlignment="1">
      <alignment horizontal="center" vertical="center"/>
    </xf>
    <xf numFmtId="0" fontId="9" fillId="25" borderId="9" xfId="0" applyFont="1" applyFill="1" applyBorder="1" applyAlignment="1">
      <alignment horizontal="center" vertical="center"/>
    </xf>
    <xf numFmtId="4" fontId="3" fillId="21" borderId="8" xfId="0" applyNumberFormat="1" applyFont="1" applyFill="1" applyBorder="1" applyAlignment="1">
      <alignment horizontal="center" vertical="center"/>
    </xf>
    <xf numFmtId="4" fontId="3" fillId="21" borderId="12" xfId="0" applyNumberFormat="1" applyFont="1" applyFill="1" applyBorder="1" applyAlignment="1">
      <alignment horizontal="center" vertical="center"/>
    </xf>
    <xf numFmtId="4" fontId="3" fillId="21" borderId="13" xfId="0" applyNumberFormat="1" applyFont="1" applyFill="1" applyBorder="1" applyAlignment="1">
      <alignment horizontal="center" vertical="center"/>
    </xf>
    <xf numFmtId="0" fontId="3" fillId="29" borderId="0" xfId="0" applyFont="1" applyFill="1" applyBorder="1" applyAlignment="1">
      <alignment horizontal="center" vertical="center"/>
    </xf>
    <xf numFmtId="0" fontId="3" fillId="29" borderId="10" xfId="0" applyFont="1" applyFill="1" applyBorder="1" applyAlignment="1">
      <alignment horizontal="center" vertical="center"/>
    </xf>
  </cellXfs>
  <cellStyles count="7">
    <cellStyle name="Buena" xfId="1" builtinId="26"/>
    <cellStyle name="Euro" xfId="2"/>
    <cellStyle name="Incorrecto" xfId="3" builtinId="27"/>
    <cellStyle name="Neutral" xfId="4" builtinId="28"/>
    <cellStyle name="Normal" xfId="0" builtinId="0"/>
    <cellStyle name="Normal 2" xfId="5"/>
    <cellStyle name="Normal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"/>
  <sheetViews>
    <sheetView topLeftCell="A43" zoomScale="130" zoomScaleNormal="130" workbookViewId="0">
      <selection activeCell="A81" sqref="A81:IV82"/>
    </sheetView>
  </sheetViews>
  <sheetFormatPr baseColWidth="10" defaultRowHeight="15" x14ac:dyDescent="0.25"/>
  <cols>
    <col min="1" max="1" width="4.140625" customWidth="1"/>
    <col min="2" max="2" width="19.85546875" customWidth="1"/>
    <col min="3" max="3" width="11.140625" customWidth="1"/>
    <col min="4" max="4" width="3.5703125" style="23" customWidth="1"/>
    <col min="5" max="5" width="2.85546875" customWidth="1"/>
    <col min="6" max="7" width="8.85546875" customWidth="1"/>
    <col min="8" max="8" width="12.140625" customWidth="1"/>
    <col min="9" max="9" width="7.140625" customWidth="1"/>
    <col min="10" max="10" width="3.5703125" customWidth="1"/>
    <col min="11" max="11" width="5.140625" bestFit="1" customWidth="1"/>
    <col min="12" max="12" width="3.140625" customWidth="1"/>
    <col min="13" max="13" width="2.5703125" customWidth="1"/>
    <col min="14" max="14" width="3" bestFit="1" customWidth="1"/>
    <col min="15" max="15" width="2.42578125" customWidth="1"/>
    <col min="16" max="16" width="3" bestFit="1" customWidth="1"/>
    <col min="17" max="18" width="5.85546875" customWidth="1"/>
    <col min="19" max="19" width="5.42578125" customWidth="1"/>
    <col min="20" max="20" width="7" bestFit="1" customWidth="1"/>
    <col min="21" max="21" width="7.140625" bestFit="1" customWidth="1"/>
    <col min="22" max="22" width="7" bestFit="1" customWidth="1"/>
  </cols>
  <sheetData>
    <row r="1" spans="1:22" x14ac:dyDescent="0.25">
      <c r="A1" s="87"/>
      <c r="B1" s="81" t="s">
        <v>136</v>
      </c>
      <c r="C1" s="4">
        <v>45693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2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2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2" x14ac:dyDescent="0.25">
      <c r="A4" s="89">
        <v>8</v>
      </c>
      <c r="B4" s="68" t="s">
        <v>77</v>
      </c>
      <c r="C4" s="66">
        <v>381058368283</v>
      </c>
      <c r="D4" s="205">
        <v>189</v>
      </c>
      <c r="E4" s="84" t="s">
        <v>22</v>
      </c>
      <c r="F4" s="141">
        <v>45586</v>
      </c>
      <c r="G4" s="141"/>
      <c r="H4" s="147">
        <v>45697</v>
      </c>
      <c r="I4" s="85"/>
      <c r="J4" s="85"/>
      <c r="K4" s="85"/>
      <c r="L4" s="85"/>
      <c r="M4" s="85"/>
      <c r="N4" s="85"/>
      <c r="O4" s="85"/>
      <c r="P4" s="192">
        <f>L4+M4+N4+O4</f>
        <v>0</v>
      </c>
      <c r="Q4" s="83" t="s">
        <v>92</v>
      </c>
      <c r="R4" s="68"/>
      <c r="S4" s="68"/>
      <c r="T4" s="68"/>
      <c r="U4" s="85"/>
      <c r="V4" s="68"/>
    </row>
    <row r="5" spans="1:22" s="185" customFormat="1" x14ac:dyDescent="0.25">
      <c r="A5" s="193" t="s">
        <v>125</v>
      </c>
      <c r="B5" s="177"/>
      <c r="C5" s="178"/>
      <c r="D5" s="179"/>
      <c r="E5" s="180"/>
      <c r="F5" s="194"/>
      <c r="G5" s="181"/>
      <c r="H5" s="194"/>
      <c r="I5" s="182"/>
      <c r="J5" s="183"/>
      <c r="K5" s="184"/>
      <c r="L5" s="183"/>
      <c r="M5" s="183"/>
      <c r="N5" s="183"/>
      <c r="O5" s="183"/>
      <c r="P5" s="192">
        <f>L5+M5+N5+O5</f>
        <v>0</v>
      </c>
      <c r="Q5" s="182"/>
      <c r="R5" s="182"/>
      <c r="S5" s="182"/>
      <c r="T5" s="182"/>
      <c r="U5" s="182"/>
      <c r="V5" s="182"/>
    </row>
    <row r="6" spans="1:22" x14ac:dyDescent="0.25">
      <c r="A6" s="89">
        <v>8</v>
      </c>
      <c r="B6" s="68" t="s">
        <v>130</v>
      </c>
      <c r="C6" s="66">
        <v>381055494659</v>
      </c>
      <c r="D6" s="205">
        <v>100</v>
      </c>
      <c r="E6" s="84" t="s">
        <v>22</v>
      </c>
      <c r="F6" s="141">
        <v>45642</v>
      </c>
      <c r="G6" s="141"/>
      <c r="H6" s="147">
        <v>45753</v>
      </c>
      <c r="I6" s="85"/>
      <c r="J6" s="85"/>
      <c r="K6" s="85"/>
      <c r="L6" s="85"/>
      <c r="M6" s="85"/>
      <c r="N6" s="85"/>
      <c r="O6" s="85"/>
      <c r="P6" s="192"/>
      <c r="Q6" s="83" t="s">
        <v>48</v>
      </c>
      <c r="R6" s="68"/>
      <c r="S6" s="68"/>
      <c r="T6" s="68"/>
      <c r="U6" s="85"/>
      <c r="V6" s="68"/>
    </row>
    <row r="7" spans="1:22" x14ac:dyDescent="0.25">
      <c r="A7" s="187">
        <v>8</v>
      </c>
      <c r="B7" s="44" t="s">
        <v>58</v>
      </c>
      <c r="C7" s="65" t="s">
        <v>59</v>
      </c>
      <c r="D7" s="75" t="s">
        <v>52</v>
      </c>
      <c r="E7" s="55" t="s">
        <v>22</v>
      </c>
      <c r="F7" s="191">
        <v>45183</v>
      </c>
      <c r="G7" s="143">
        <v>45582</v>
      </c>
      <c r="H7" s="12" t="s">
        <v>111</v>
      </c>
      <c r="I7" s="42">
        <v>2075.7399999999998</v>
      </c>
      <c r="J7" s="1">
        <v>30</v>
      </c>
      <c r="K7" s="2">
        <f>I7/J7</f>
        <v>69.191333333333333</v>
      </c>
      <c r="L7" s="1">
        <v>0</v>
      </c>
      <c r="M7" s="1">
        <v>0</v>
      </c>
      <c r="N7" s="1">
        <v>0</v>
      </c>
      <c r="O7" s="1">
        <v>31</v>
      </c>
      <c r="P7" s="192">
        <f>L7+M7+N7+O7</f>
        <v>31</v>
      </c>
      <c r="Q7" s="42">
        <f>K7*50%*L7</f>
        <v>0</v>
      </c>
      <c r="R7" s="42">
        <f>K7*60%*M7</f>
        <v>0</v>
      </c>
      <c r="S7" s="42">
        <f>K7*60%*N7</f>
        <v>0</v>
      </c>
      <c r="T7" s="42">
        <f>K7*75%*O7</f>
        <v>1608.6985000000002</v>
      </c>
      <c r="U7" s="42">
        <f>S7+T7</f>
        <v>1608.6985000000002</v>
      </c>
      <c r="V7" s="42">
        <f>K7*(M7+O7+L7+N7)*100%</f>
        <v>2144.9313333333334</v>
      </c>
    </row>
    <row r="8" spans="1:22" x14ac:dyDescent="0.25">
      <c r="A8" s="195">
        <v>8</v>
      </c>
      <c r="B8" s="9" t="s">
        <v>55</v>
      </c>
      <c r="C8" s="51"/>
      <c r="D8" s="56"/>
      <c r="E8" s="56"/>
      <c r="F8" s="142"/>
      <c r="G8" s="142"/>
      <c r="H8" s="52"/>
      <c r="I8" s="53"/>
      <c r="J8" s="52"/>
      <c r="K8" s="53"/>
      <c r="L8" s="52"/>
      <c r="M8" s="52"/>
      <c r="N8" s="52"/>
      <c r="O8" s="52"/>
      <c r="P8" s="192">
        <f>L8+M8+N8+O8</f>
        <v>0</v>
      </c>
      <c r="Q8" s="10"/>
      <c r="R8" s="10"/>
      <c r="S8" s="10"/>
      <c r="T8" s="10"/>
      <c r="U8" s="11">
        <f>SUM(U4:U7)</f>
        <v>1608.6985000000002</v>
      </c>
      <c r="V8" s="10"/>
    </row>
    <row r="9" spans="1:22" x14ac:dyDescent="0.25">
      <c r="A9" s="90">
        <v>717</v>
      </c>
      <c r="B9" s="8" t="s">
        <v>76</v>
      </c>
      <c r="C9" s="65" t="s">
        <v>107</v>
      </c>
      <c r="D9" s="75" t="s">
        <v>52</v>
      </c>
      <c r="E9" s="55" t="s">
        <v>22</v>
      </c>
      <c r="F9" s="12">
        <v>45504</v>
      </c>
      <c r="G9" s="143">
        <v>45693</v>
      </c>
      <c r="H9" s="12" t="s">
        <v>160</v>
      </c>
      <c r="I9" s="42">
        <v>1506.38</v>
      </c>
      <c r="J9" s="1">
        <v>30</v>
      </c>
      <c r="K9" s="2">
        <f>I9/J9</f>
        <v>50.212666666666671</v>
      </c>
      <c r="L9" s="1">
        <v>0</v>
      </c>
      <c r="M9" s="1">
        <v>0</v>
      </c>
      <c r="N9" s="1">
        <v>0</v>
      </c>
      <c r="O9" s="1">
        <v>31</v>
      </c>
      <c r="P9" s="192">
        <f>L9+M9+N9+O9</f>
        <v>31</v>
      </c>
      <c r="Q9" s="42">
        <f>K9*50%*L9</f>
        <v>0</v>
      </c>
      <c r="R9" s="42">
        <f>K9*60%*M9</f>
        <v>0</v>
      </c>
      <c r="S9" s="42">
        <f>K9*60%*N9</f>
        <v>0</v>
      </c>
      <c r="T9" s="42">
        <f>K9*75%*O9</f>
        <v>1167.4445000000001</v>
      </c>
      <c r="U9" s="42">
        <f>S9+T9</f>
        <v>1167.4445000000001</v>
      </c>
      <c r="V9" s="42">
        <f>K9*(M9+O9+L9+N9)*100%</f>
        <v>1556.5926666666669</v>
      </c>
    </row>
    <row r="10" spans="1:22" s="185" customFormat="1" ht="15" customHeight="1" x14ac:dyDescent="0.25">
      <c r="A10" s="193" t="s">
        <v>108</v>
      </c>
      <c r="B10" s="177"/>
      <c r="C10" s="178"/>
      <c r="D10" s="179"/>
      <c r="E10" s="180"/>
      <c r="F10" s="194"/>
      <c r="G10" s="181"/>
      <c r="H10" s="194"/>
      <c r="I10" s="182"/>
      <c r="J10" s="183"/>
      <c r="K10" s="184"/>
      <c r="L10" s="183"/>
      <c r="M10" s="183"/>
      <c r="N10" s="183"/>
      <c r="O10" s="183"/>
      <c r="P10" s="192">
        <f>L10+M10+N10+O10</f>
        <v>0</v>
      </c>
      <c r="Q10" s="182"/>
      <c r="R10" s="182"/>
      <c r="S10" s="182"/>
      <c r="T10" s="182"/>
      <c r="U10" s="182"/>
      <c r="V10" s="182"/>
    </row>
    <row r="11" spans="1:22" x14ac:dyDescent="0.25">
      <c r="A11" s="90">
        <v>717</v>
      </c>
      <c r="B11" s="8" t="s">
        <v>122</v>
      </c>
      <c r="C11" s="65" t="s">
        <v>56</v>
      </c>
      <c r="D11" s="75" t="s">
        <v>52</v>
      </c>
      <c r="E11" s="55" t="s">
        <v>22</v>
      </c>
      <c r="F11" s="12">
        <v>45583</v>
      </c>
      <c r="G11" s="143">
        <v>45709</v>
      </c>
      <c r="H11" s="12" t="s">
        <v>202</v>
      </c>
      <c r="I11" s="42">
        <v>1527.43</v>
      </c>
      <c r="J11" s="1">
        <v>30</v>
      </c>
      <c r="K11" s="2">
        <f>I11/J11</f>
        <v>50.914333333333339</v>
      </c>
      <c r="L11" s="1">
        <v>0</v>
      </c>
      <c r="M11" s="1">
        <v>0</v>
      </c>
      <c r="N11" s="1">
        <v>0</v>
      </c>
      <c r="O11" s="1">
        <v>31</v>
      </c>
      <c r="P11" s="192">
        <f>L11+M11+N11+O11</f>
        <v>31</v>
      </c>
      <c r="Q11" s="42">
        <f>K11*50%*L11</f>
        <v>0</v>
      </c>
      <c r="R11" s="42">
        <f>K11*60%*M11</f>
        <v>0</v>
      </c>
      <c r="S11" s="42">
        <f>K11*60%*N11</f>
        <v>0</v>
      </c>
      <c r="T11" s="42">
        <f>K11*75%*O11</f>
        <v>1183.7582500000001</v>
      </c>
      <c r="U11" s="42">
        <f>S11+T11</f>
        <v>1183.7582500000001</v>
      </c>
      <c r="V11" s="42">
        <f>K11*(M11+O11+L11+N11)*100%</f>
        <v>1578.3443333333335</v>
      </c>
    </row>
    <row r="12" spans="1:22" x14ac:dyDescent="0.25">
      <c r="A12" s="89">
        <v>717</v>
      </c>
      <c r="B12" s="68" t="s">
        <v>130</v>
      </c>
      <c r="C12" s="66">
        <v>381055494659</v>
      </c>
      <c r="D12" s="205">
        <v>100</v>
      </c>
      <c r="E12" s="84" t="s">
        <v>22</v>
      </c>
      <c r="F12" s="141">
        <v>45642</v>
      </c>
      <c r="G12" s="141"/>
      <c r="H12" s="147">
        <v>45753</v>
      </c>
      <c r="I12" s="85"/>
      <c r="J12" s="85"/>
      <c r="K12" s="85"/>
      <c r="L12" s="85"/>
      <c r="M12" s="85"/>
      <c r="N12" s="85"/>
      <c r="O12" s="85"/>
      <c r="P12" s="192"/>
      <c r="Q12" s="83" t="s">
        <v>48</v>
      </c>
      <c r="R12" s="68"/>
      <c r="S12" s="68"/>
      <c r="T12" s="68"/>
      <c r="U12" s="85"/>
      <c r="V12" s="68"/>
    </row>
    <row r="13" spans="1:22" x14ac:dyDescent="0.25">
      <c r="A13" s="195">
        <v>717</v>
      </c>
      <c r="B13" s="9" t="s">
        <v>49</v>
      </c>
      <c r="C13" s="51"/>
      <c r="D13" s="56"/>
      <c r="E13" s="56"/>
      <c r="F13" s="142"/>
      <c r="G13" s="142"/>
      <c r="H13" s="52"/>
      <c r="I13" s="53"/>
      <c r="J13" s="52"/>
      <c r="K13" s="53"/>
      <c r="L13" s="52"/>
      <c r="M13" s="52"/>
      <c r="N13" s="52"/>
      <c r="O13" s="52"/>
      <c r="P13" s="192">
        <f t="shared" ref="P13:P23" si="0">L13+M13+N13+O13</f>
        <v>0</v>
      </c>
      <c r="Q13" s="10"/>
      <c r="R13" s="10"/>
      <c r="S13" s="10"/>
      <c r="T13" s="10"/>
      <c r="U13" s="11">
        <f>SUM(U9:U11)</f>
        <v>2351.2027500000004</v>
      </c>
      <c r="V13" s="10"/>
    </row>
    <row r="14" spans="1:22" ht="14.25" customHeight="1" x14ac:dyDescent="0.25">
      <c r="A14" s="90">
        <v>1378</v>
      </c>
      <c r="B14" s="8" t="s">
        <v>197</v>
      </c>
      <c r="C14" s="65" t="s">
        <v>198</v>
      </c>
      <c r="D14" s="75" t="s">
        <v>52</v>
      </c>
      <c r="E14" s="55" t="s">
        <v>22</v>
      </c>
      <c r="F14" s="12">
        <v>45687</v>
      </c>
      <c r="G14" s="143"/>
      <c r="H14" s="191">
        <v>45690</v>
      </c>
      <c r="I14" s="186">
        <v>1323</v>
      </c>
      <c r="J14" s="1">
        <v>30</v>
      </c>
      <c r="K14" s="2">
        <f t="shared" ref="K14:K23" si="1">I14/J14</f>
        <v>44.1</v>
      </c>
      <c r="L14" s="1">
        <v>2</v>
      </c>
      <c r="M14" s="1">
        <v>0</v>
      </c>
      <c r="N14" s="1">
        <v>0</v>
      </c>
      <c r="O14" s="1">
        <v>0</v>
      </c>
      <c r="P14" s="192">
        <f t="shared" si="0"/>
        <v>2</v>
      </c>
      <c r="Q14" s="42">
        <f t="shared" ref="Q14:Q23" si="2">K14*50%*L14</f>
        <v>44.1</v>
      </c>
      <c r="R14" s="42">
        <f t="shared" ref="R14:R23" si="3">K14*60%*M14</f>
        <v>0</v>
      </c>
      <c r="S14" s="42">
        <f t="shared" ref="S14:S23" si="4">K14*60%*N14</f>
        <v>0</v>
      </c>
      <c r="T14" s="42">
        <f t="shared" ref="T14:T23" si="5">K14*75%*O14</f>
        <v>0</v>
      </c>
      <c r="U14" s="42">
        <f t="shared" ref="U14:U23" si="6">S14+T14</f>
        <v>0</v>
      </c>
      <c r="V14" s="42">
        <f t="shared" ref="V14:V23" si="7">K14*(M14+O14+L14+N14)*100%</f>
        <v>88.2</v>
      </c>
    </row>
    <row r="15" spans="1:22" ht="14.25" customHeight="1" x14ac:dyDescent="0.25">
      <c r="A15" s="90">
        <v>1378</v>
      </c>
      <c r="B15" s="8" t="s">
        <v>179</v>
      </c>
      <c r="C15" s="65" t="s">
        <v>180</v>
      </c>
      <c r="D15" s="75" t="s">
        <v>52</v>
      </c>
      <c r="E15" s="55" t="s">
        <v>22</v>
      </c>
      <c r="F15" s="12">
        <v>45679</v>
      </c>
      <c r="G15" s="143"/>
      <c r="H15" s="12"/>
      <c r="I15" s="186">
        <v>1323</v>
      </c>
      <c r="J15" s="1">
        <v>30</v>
      </c>
      <c r="K15" s="2">
        <f t="shared" si="1"/>
        <v>44.1</v>
      </c>
      <c r="L15" s="1">
        <v>3</v>
      </c>
      <c r="M15" s="1">
        <v>7</v>
      </c>
      <c r="N15" s="1">
        <v>0</v>
      </c>
      <c r="O15" s="1">
        <v>0</v>
      </c>
      <c r="P15" s="192">
        <f t="shared" si="0"/>
        <v>10</v>
      </c>
      <c r="Q15" s="42">
        <f t="shared" si="2"/>
        <v>66.150000000000006</v>
      </c>
      <c r="R15" s="42">
        <f t="shared" si="3"/>
        <v>185.22</v>
      </c>
      <c r="S15" s="42">
        <f t="shared" si="4"/>
        <v>0</v>
      </c>
      <c r="T15" s="42">
        <f t="shared" si="5"/>
        <v>0</v>
      </c>
      <c r="U15" s="42">
        <f t="shared" si="6"/>
        <v>0</v>
      </c>
      <c r="V15" s="42">
        <f t="shared" si="7"/>
        <v>441</v>
      </c>
    </row>
    <row r="16" spans="1:22" ht="14.25" customHeight="1" x14ac:dyDescent="0.25">
      <c r="A16" s="90">
        <v>1378</v>
      </c>
      <c r="B16" s="8" t="s">
        <v>64</v>
      </c>
      <c r="C16" s="65" t="s">
        <v>65</v>
      </c>
      <c r="D16" s="75" t="s">
        <v>52</v>
      </c>
      <c r="E16" s="55" t="s">
        <v>22</v>
      </c>
      <c r="F16" s="12">
        <v>45299</v>
      </c>
      <c r="G16" s="143">
        <v>45663</v>
      </c>
      <c r="H16" s="12" t="s">
        <v>137</v>
      </c>
      <c r="I16" s="186">
        <v>1260</v>
      </c>
      <c r="J16" s="1">
        <v>30</v>
      </c>
      <c r="K16" s="2">
        <f t="shared" si="1"/>
        <v>42</v>
      </c>
      <c r="L16" s="1">
        <v>0</v>
      </c>
      <c r="M16" s="1">
        <v>0</v>
      </c>
      <c r="N16" s="1">
        <v>0</v>
      </c>
      <c r="O16" s="1">
        <v>31</v>
      </c>
      <c r="P16" s="192">
        <f t="shared" si="0"/>
        <v>31</v>
      </c>
      <c r="Q16" s="42">
        <f t="shared" si="2"/>
        <v>0</v>
      </c>
      <c r="R16" s="42">
        <f t="shared" si="3"/>
        <v>0</v>
      </c>
      <c r="S16" s="42">
        <f t="shared" si="4"/>
        <v>0</v>
      </c>
      <c r="T16" s="42">
        <f t="shared" si="5"/>
        <v>976.5</v>
      </c>
      <c r="U16" s="42">
        <f t="shared" si="6"/>
        <v>976.5</v>
      </c>
      <c r="V16" s="42">
        <f t="shared" si="7"/>
        <v>1302</v>
      </c>
    </row>
    <row r="17" spans="1:23" x14ac:dyDescent="0.25">
      <c r="A17" s="90">
        <v>1378</v>
      </c>
      <c r="B17" s="8" t="s">
        <v>154</v>
      </c>
      <c r="C17" s="65" t="s">
        <v>155</v>
      </c>
      <c r="D17" s="75" t="s">
        <v>52</v>
      </c>
      <c r="E17" s="55" t="s">
        <v>22</v>
      </c>
      <c r="F17" s="12">
        <v>45299</v>
      </c>
      <c r="G17" s="143">
        <v>45693</v>
      </c>
      <c r="H17" s="12" t="s">
        <v>194</v>
      </c>
      <c r="I17" s="186">
        <v>1323</v>
      </c>
      <c r="J17" s="1">
        <v>30</v>
      </c>
      <c r="K17" s="2">
        <f t="shared" si="1"/>
        <v>44.1</v>
      </c>
      <c r="L17" s="1">
        <v>3</v>
      </c>
      <c r="M17" s="1">
        <v>12</v>
      </c>
      <c r="N17" s="1">
        <v>5</v>
      </c>
      <c r="O17" s="1">
        <v>4</v>
      </c>
      <c r="P17" s="192">
        <f t="shared" si="0"/>
        <v>24</v>
      </c>
      <c r="Q17" s="42">
        <f t="shared" si="2"/>
        <v>66.150000000000006</v>
      </c>
      <c r="R17" s="42">
        <f t="shared" si="3"/>
        <v>317.52</v>
      </c>
      <c r="S17" s="42">
        <f t="shared" si="4"/>
        <v>132.30000000000001</v>
      </c>
      <c r="T17" s="42">
        <f t="shared" si="5"/>
        <v>132.30000000000001</v>
      </c>
      <c r="U17" s="42">
        <f t="shared" si="6"/>
        <v>264.60000000000002</v>
      </c>
      <c r="V17" s="42">
        <f t="shared" si="7"/>
        <v>1058.4000000000001</v>
      </c>
    </row>
    <row r="18" spans="1:23" x14ac:dyDescent="0.25">
      <c r="A18" s="90">
        <v>1378</v>
      </c>
      <c r="B18" s="8" t="s">
        <v>187</v>
      </c>
      <c r="C18" s="65" t="s">
        <v>188</v>
      </c>
      <c r="D18" s="75" t="s">
        <v>52</v>
      </c>
      <c r="E18" s="55" t="s">
        <v>22</v>
      </c>
      <c r="F18" s="12">
        <v>45684</v>
      </c>
      <c r="G18" s="143"/>
      <c r="H18" s="203">
        <v>45686</v>
      </c>
      <c r="I18" s="186">
        <v>1323</v>
      </c>
      <c r="J18" s="1">
        <v>30</v>
      </c>
      <c r="K18" s="2">
        <f t="shared" si="1"/>
        <v>44.1</v>
      </c>
      <c r="L18" s="1">
        <v>3</v>
      </c>
      <c r="M18" s="1">
        <v>0</v>
      </c>
      <c r="N18" s="1">
        <v>0</v>
      </c>
      <c r="O18" s="1">
        <v>0</v>
      </c>
      <c r="P18" s="192">
        <f t="shared" si="0"/>
        <v>3</v>
      </c>
      <c r="Q18" s="42">
        <f t="shared" si="2"/>
        <v>66.150000000000006</v>
      </c>
      <c r="R18" s="42">
        <f t="shared" si="3"/>
        <v>0</v>
      </c>
      <c r="S18" s="42">
        <f t="shared" si="4"/>
        <v>0</v>
      </c>
      <c r="T18" s="42">
        <f t="shared" si="5"/>
        <v>0</v>
      </c>
      <c r="U18" s="42">
        <f t="shared" si="6"/>
        <v>0</v>
      </c>
      <c r="V18" s="42">
        <f t="shared" si="7"/>
        <v>132.30000000000001</v>
      </c>
    </row>
    <row r="19" spans="1:23" x14ac:dyDescent="0.25">
      <c r="A19" s="90">
        <v>1378</v>
      </c>
      <c r="B19" s="8" t="s">
        <v>141</v>
      </c>
      <c r="C19" s="65" t="s">
        <v>142</v>
      </c>
      <c r="D19" s="75" t="s">
        <v>52</v>
      </c>
      <c r="E19" s="55" t="s">
        <v>22</v>
      </c>
      <c r="F19" s="12">
        <v>45659</v>
      </c>
      <c r="G19" s="143"/>
      <c r="H19" s="203">
        <v>45661</v>
      </c>
      <c r="I19" s="186">
        <v>1623</v>
      </c>
      <c r="J19" s="1">
        <v>30</v>
      </c>
      <c r="K19" s="2">
        <f t="shared" si="1"/>
        <v>54.1</v>
      </c>
      <c r="L19" s="1">
        <v>3</v>
      </c>
      <c r="M19" s="1">
        <v>0</v>
      </c>
      <c r="N19" s="1">
        <v>0</v>
      </c>
      <c r="O19" s="1">
        <v>0</v>
      </c>
      <c r="P19" s="192">
        <f t="shared" si="0"/>
        <v>3</v>
      </c>
      <c r="Q19" s="42">
        <f t="shared" si="2"/>
        <v>81.150000000000006</v>
      </c>
      <c r="R19" s="42">
        <f t="shared" si="3"/>
        <v>0</v>
      </c>
      <c r="S19" s="42">
        <f t="shared" si="4"/>
        <v>0</v>
      </c>
      <c r="T19" s="42">
        <f t="shared" si="5"/>
        <v>0</v>
      </c>
      <c r="U19" s="42">
        <f t="shared" si="6"/>
        <v>0</v>
      </c>
      <c r="V19" s="42">
        <f t="shared" si="7"/>
        <v>162.30000000000001</v>
      </c>
    </row>
    <row r="20" spans="1:23" x14ac:dyDescent="0.25">
      <c r="A20" s="90">
        <v>1378</v>
      </c>
      <c r="B20" s="8" t="s">
        <v>69</v>
      </c>
      <c r="C20" s="65" t="s">
        <v>70</v>
      </c>
      <c r="D20" s="75" t="s">
        <v>50</v>
      </c>
      <c r="E20" s="55" t="s">
        <v>22</v>
      </c>
      <c r="F20" s="12">
        <v>45615</v>
      </c>
      <c r="G20" s="143">
        <v>45699</v>
      </c>
      <c r="H20" s="12" t="s">
        <v>170</v>
      </c>
      <c r="I20" s="186">
        <v>1323</v>
      </c>
      <c r="J20" s="1">
        <v>30</v>
      </c>
      <c r="K20" s="2">
        <f t="shared" si="1"/>
        <v>44.1</v>
      </c>
      <c r="L20" s="1">
        <v>0</v>
      </c>
      <c r="M20" s="1">
        <v>0</v>
      </c>
      <c r="N20" s="1">
        <v>0</v>
      </c>
      <c r="O20" s="1">
        <v>31</v>
      </c>
      <c r="P20" s="192">
        <f t="shared" si="0"/>
        <v>31</v>
      </c>
      <c r="Q20" s="42">
        <f t="shared" si="2"/>
        <v>0</v>
      </c>
      <c r="R20" s="42">
        <f t="shared" si="3"/>
        <v>0</v>
      </c>
      <c r="S20" s="42">
        <f t="shared" si="4"/>
        <v>0</v>
      </c>
      <c r="T20" s="42">
        <f t="shared" si="5"/>
        <v>1025.325</v>
      </c>
      <c r="U20" s="42">
        <f t="shared" si="6"/>
        <v>1025.325</v>
      </c>
      <c r="V20" s="42">
        <f t="shared" si="7"/>
        <v>1367.1000000000001</v>
      </c>
    </row>
    <row r="21" spans="1:23" x14ac:dyDescent="0.25">
      <c r="A21" s="90">
        <v>1378</v>
      </c>
      <c r="B21" s="8" t="s">
        <v>132</v>
      </c>
      <c r="C21" s="65" t="s">
        <v>133</v>
      </c>
      <c r="D21" s="75" t="s">
        <v>52</v>
      </c>
      <c r="E21" s="55" t="s">
        <v>22</v>
      </c>
      <c r="F21" s="12">
        <v>45646</v>
      </c>
      <c r="G21" s="143">
        <v>45695</v>
      </c>
      <c r="H21" s="12" t="s">
        <v>185</v>
      </c>
      <c r="I21" s="186">
        <v>1323</v>
      </c>
      <c r="J21" s="1">
        <v>30</v>
      </c>
      <c r="K21" s="2">
        <f t="shared" si="1"/>
        <v>44.1</v>
      </c>
      <c r="L21" s="1">
        <v>0</v>
      </c>
      <c r="M21" s="1">
        <v>3</v>
      </c>
      <c r="N21" s="1">
        <v>5</v>
      </c>
      <c r="O21" s="1">
        <v>23</v>
      </c>
      <c r="P21" s="192">
        <f t="shared" si="0"/>
        <v>31</v>
      </c>
      <c r="Q21" s="42">
        <f t="shared" si="2"/>
        <v>0</v>
      </c>
      <c r="R21" s="42">
        <f t="shared" si="3"/>
        <v>79.38</v>
      </c>
      <c r="S21" s="42">
        <f t="shared" si="4"/>
        <v>132.30000000000001</v>
      </c>
      <c r="T21" s="42">
        <f t="shared" si="5"/>
        <v>760.72500000000002</v>
      </c>
      <c r="U21" s="42">
        <f t="shared" si="6"/>
        <v>893.02500000000009</v>
      </c>
      <c r="V21" s="42">
        <f t="shared" si="7"/>
        <v>1367.1000000000001</v>
      </c>
    </row>
    <row r="22" spans="1:23" x14ac:dyDescent="0.25">
      <c r="A22" s="90">
        <v>1378</v>
      </c>
      <c r="B22" s="8" t="s">
        <v>124</v>
      </c>
      <c r="C22" s="65" t="s">
        <v>68</v>
      </c>
      <c r="D22" s="75" t="s">
        <v>50</v>
      </c>
      <c r="E22" s="55" t="s">
        <v>22</v>
      </c>
      <c r="F22" s="12">
        <v>45608</v>
      </c>
      <c r="G22" s="143">
        <v>45692</v>
      </c>
      <c r="H22" s="12" t="s">
        <v>156</v>
      </c>
      <c r="I22" s="186">
        <v>1323</v>
      </c>
      <c r="J22" s="1">
        <v>30</v>
      </c>
      <c r="K22" s="2">
        <f t="shared" si="1"/>
        <v>44.1</v>
      </c>
      <c r="L22" s="1">
        <v>0</v>
      </c>
      <c r="M22" s="1">
        <v>0</v>
      </c>
      <c r="N22" s="1">
        <v>0</v>
      </c>
      <c r="O22" s="1">
        <v>31</v>
      </c>
      <c r="P22" s="192">
        <f t="shared" si="0"/>
        <v>31</v>
      </c>
      <c r="Q22" s="42">
        <f t="shared" si="2"/>
        <v>0</v>
      </c>
      <c r="R22" s="42">
        <f t="shared" si="3"/>
        <v>0</v>
      </c>
      <c r="S22" s="42">
        <f t="shared" si="4"/>
        <v>0</v>
      </c>
      <c r="T22" s="42">
        <f t="shared" si="5"/>
        <v>1025.325</v>
      </c>
      <c r="U22" s="42">
        <f t="shared" si="6"/>
        <v>1025.325</v>
      </c>
      <c r="V22" s="42">
        <f t="shared" si="7"/>
        <v>1367.1000000000001</v>
      </c>
    </row>
    <row r="23" spans="1:23" ht="14.25" customHeight="1" x14ac:dyDescent="0.25">
      <c r="A23" s="90">
        <v>1378</v>
      </c>
      <c r="B23" s="8" t="s">
        <v>115</v>
      </c>
      <c r="C23" s="65" t="s">
        <v>116</v>
      </c>
      <c r="D23" s="75" t="s">
        <v>52</v>
      </c>
      <c r="E23" s="55" t="s">
        <v>22</v>
      </c>
      <c r="F23" s="12">
        <v>45618</v>
      </c>
      <c r="G23" s="143">
        <v>45695</v>
      </c>
      <c r="H23" s="12" t="s">
        <v>164</v>
      </c>
      <c r="I23" s="186">
        <v>1323</v>
      </c>
      <c r="J23" s="1">
        <v>30</v>
      </c>
      <c r="K23" s="2">
        <f t="shared" si="1"/>
        <v>44.1</v>
      </c>
      <c r="L23" s="1">
        <v>0</v>
      </c>
      <c r="M23" s="1">
        <v>0</v>
      </c>
      <c r="N23" s="1">
        <v>0</v>
      </c>
      <c r="O23" s="1">
        <v>31</v>
      </c>
      <c r="P23" s="192">
        <f t="shared" si="0"/>
        <v>31</v>
      </c>
      <c r="Q23" s="42">
        <f t="shared" si="2"/>
        <v>0</v>
      </c>
      <c r="R23" s="42">
        <f t="shared" si="3"/>
        <v>0</v>
      </c>
      <c r="S23" s="42">
        <f t="shared" si="4"/>
        <v>0</v>
      </c>
      <c r="T23" s="42">
        <f t="shared" si="5"/>
        <v>1025.325</v>
      </c>
      <c r="U23" s="42">
        <f t="shared" si="6"/>
        <v>1025.325</v>
      </c>
      <c r="V23" s="42">
        <f t="shared" si="7"/>
        <v>1367.1000000000001</v>
      </c>
    </row>
    <row r="24" spans="1:23" x14ac:dyDescent="0.25">
      <c r="A24" s="195">
        <v>1378</v>
      </c>
      <c r="B24" s="9" t="s">
        <v>23</v>
      </c>
      <c r="C24" s="51">
        <v>38102537361</v>
      </c>
      <c r="D24" s="56"/>
      <c r="E24" s="56"/>
      <c r="F24" s="142"/>
      <c r="G24" s="142"/>
      <c r="H24" s="52"/>
      <c r="I24" s="53"/>
      <c r="J24" s="52"/>
      <c r="K24" s="53"/>
      <c r="L24" s="52"/>
      <c r="M24" s="52"/>
      <c r="N24" s="52"/>
      <c r="O24" s="52"/>
      <c r="P24" s="192">
        <f t="shared" ref="P24:P32" si="8">L24+M24+N24+O24</f>
        <v>0</v>
      </c>
      <c r="Q24" s="10"/>
      <c r="R24" s="10"/>
      <c r="S24" s="10"/>
      <c r="T24" s="10"/>
      <c r="U24" s="11">
        <f>SUM(U16:U23)</f>
        <v>5210.1000000000004</v>
      </c>
      <c r="V24" s="10"/>
    </row>
    <row r="25" spans="1:23" x14ac:dyDescent="0.25">
      <c r="A25" s="187">
        <v>1628</v>
      </c>
      <c r="B25" s="44" t="s">
        <v>105</v>
      </c>
      <c r="C25" s="65" t="s">
        <v>106</v>
      </c>
      <c r="D25" s="75" t="s">
        <v>52</v>
      </c>
      <c r="E25" s="55" t="s">
        <v>22</v>
      </c>
      <c r="F25" s="12">
        <v>45536</v>
      </c>
      <c r="G25" s="143">
        <v>45698</v>
      </c>
      <c r="H25" s="12" t="s">
        <v>157</v>
      </c>
      <c r="I25" s="42">
        <v>1500</v>
      </c>
      <c r="J25" s="1">
        <v>30</v>
      </c>
      <c r="K25" s="2">
        <f>I25/J25</f>
        <v>50</v>
      </c>
      <c r="L25" s="1">
        <v>0</v>
      </c>
      <c r="M25" s="1">
        <v>0</v>
      </c>
      <c r="N25" s="1">
        <v>0</v>
      </c>
      <c r="O25" s="1">
        <v>31</v>
      </c>
      <c r="P25" s="192">
        <f t="shared" si="8"/>
        <v>31</v>
      </c>
      <c r="Q25" s="42">
        <f>K25*50%*L25</f>
        <v>0</v>
      </c>
      <c r="R25" s="42">
        <f>K25*60%*M25</f>
        <v>0</v>
      </c>
      <c r="S25" s="42">
        <f>K25*60%*N25</f>
        <v>0</v>
      </c>
      <c r="T25" s="42">
        <f>K25*75%*O25</f>
        <v>1162.5</v>
      </c>
      <c r="U25" s="42">
        <f>S25+T25</f>
        <v>1162.5</v>
      </c>
      <c r="V25" s="42">
        <f>K25*(M25+O25+L25+N25)*100%</f>
        <v>1550</v>
      </c>
      <c r="W25" s="200"/>
    </row>
    <row r="26" spans="1:23" s="185" customFormat="1" x14ac:dyDescent="0.25">
      <c r="A26" s="193" t="s">
        <v>112</v>
      </c>
      <c r="B26" s="177"/>
      <c r="C26" s="178"/>
      <c r="D26" s="179"/>
      <c r="E26" s="180"/>
      <c r="F26" s="194"/>
      <c r="G26" s="181"/>
      <c r="H26" s="194"/>
      <c r="I26" s="182"/>
      <c r="J26" s="183"/>
      <c r="K26" s="184"/>
      <c r="L26" s="183"/>
      <c r="M26" s="183"/>
      <c r="N26" s="183"/>
      <c r="O26" s="183"/>
      <c r="P26" s="192">
        <f t="shared" si="8"/>
        <v>0</v>
      </c>
      <c r="Q26" s="182"/>
      <c r="R26" s="182"/>
      <c r="S26" s="182"/>
      <c r="T26" s="182"/>
      <c r="U26" s="182"/>
      <c r="V26" s="182"/>
    </row>
    <row r="27" spans="1:23" x14ac:dyDescent="0.25">
      <c r="A27" s="195">
        <v>1628</v>
      </c>
      <c r="B27" s="9" t="s">
        <v>104</v>
      </c>
      <c r="C27" s="51"/>
      <c r="D27" s="56"/>
      <c r="E27" s="56"/>
      <c r="F27" s="142"/>
      <c r="G27" s="142"/>
      <c r="H27" s="52"/>
      <c r="I27" s="53"/>
      <c r="J27" s="52"/>
      <c r="K27" s="53"/>
      <c r="L27" s="52"/>
      <c r="M27" s="52"/>
      <c r="N27" s="52"/>
      <c r="O27" s="52"/>
      <c r="P27" s="192">
        <f t="shared" si="8"/>
        <v>0</v>
      </c>
      <c r="Q27" s="10"/>
      <c r="R27" s="10"/>
      <c r="S27" s="10"/>
      <c r="T27" s="10"/>
      <c r="U27" s="11">
        <f>SUM(U25:U26)</f>
        <v>1162.5</v>
      </c>
      <c r="V27" s="10"/>
    </row>
    <row r="28" spans="1:23" ht="14.25" customHeight="1" x14ac:dyDescent="0.25">
      <c r="A28" s="90">
        <v>1846</v>
      </c>
      <c r="B28" s="8" t="s">
        <v>139</v>
      </c>
      <c r="C28" s="65" t="s">
        <v>140</v>
      </c>
      <c r="D28" s="75" t="s">
        <v>51</v>
      </c>
      <c r="E28" s="55" t="s">
        <v>22</v>
      </c>
      <c r="F28" s="12">
        <v>45659</v>
      </c>
      <c r="G28" s="143">
        <v>45694</v>
      </c>
      <c r="H28" s="12" t="s">
        <v>203</v>
      </c>
      <c r="I28" s="42">
        <v>2108.3200000000002</v>
      </c>
      <c r="J28" s="1">
        <v>92</v>
      </c>
      <c r="K28" s="2">
        <f>I28/J28</f>
        <v>22.916521739130438</v>
      </c>
      <c r="L28" s="1">
        <v>3</v>
      </c>
      <c r="M28" s="1">
        <v>12</v>
      </c>
      <c r="N28" s="1">
        <v>5</v>
      </c>
      <c r="O28" s="1">
        <v>10</v>
      </c>
      <c r="P28" s="192">
        <f t="shared" si="8"/>
        <v>30</v>
      </c>
      <c r="Q28" s="42">
        <f>K28*50%*L28</f>
        <v>34.374782608695654</v>
      </c>
      <c r="R28" s="42">
        <f>K28*60%*M28</f>
        <v>164.99895652173916</v>
      </c>
      <c r="S28" s="42">
        <f>K28*60%*N28</f>
        <v>68.749565217391307</v>
      </c>
      <c r="T28" s="42">
        <f>K28*75%*O28</f>
        <v>171.87391304347827</v>
      </c>
      <c r="U28" s="42">
        <f>S28+T28</f>
        <v>240.62347826086958</v>
      </c>
      <c r="V28" s="42">
        <f>K28*(M28+O28+L28+N28)*100%</f>
        <v>687.49565217391319</v>
      </c>
    </row>
    <row r="29" spans="1:23" x14ac:dyDescent="0.25">
      <c r="A29" s="195">
        <v>1846</v>
      </c>
      <c r="B29" s="9" t="s">
        <v>138</v>
      </c>
      <c r="C29" s="51">
        <v>38120237336</v>
      </c>
      <c r="D29" s="56"/>
      <c r="E29" s="56"/>
      <c r="F29" s="142"/>
      <c r="G29" s="142"/>
      <c r="H29" s="52"/>
      <c r="I29" s="53"/>
      <c r="J29" s="52"/>
      <c r="K29" s="53"/>
      <c r="L29" s="52"/>
      <c r="M29" s="52"/>
      <c r="N29" s="52"/>
      <c r="O29" s="52"/>
      <c r="P29" s="192">
        <f t="shared" si="8"/>
        <v>0</v>
      </c>
      <c r="Q29" s="10"/>
      <c r="R29" s="10"/>
      <c r="S29" s="10"/>
      <c r="T29" s="10"/>
      <c r="U29" s="11">
        <f>SUM(U24:U28)</f>
        <v>7775.7234782608703</v>
      </c>
      <c r="V29" s="10"/>
    </row>
    <row r="30" spans="1:23" x14ac:dyDescent="0.25">
      <c r="A30" s="187">
        <v>1903</v>
      </c>
      <c r="B30" s="44" t="s">
        <v>89</v>
      </c>
      <c r="C30" s="65" t="s">
        <v>90</v>
      </c>
      <c r="D30" s="75" t="s">
        <v>51</v>
      </c>
      <c r="E30" s="55" t="s">
        <v>22</v>
      </c>
      <c r="F30" s="12">
        <v>45418</v>
      </c>
      <c r="G30" s="143">
        <v>45691</v>
      </c>
      <c r="H30" s="12" t="s">
        <v>153</v>
      </c>
      <c r="I30" s="1">
        <v>1809.18</v>
      </c>
      <c r="J30" s="1">
        <v>79</v>
      </c>
      <c r="K30" s="2">
        <f>I30/J30</f>
        <v>22.901012658227849</v>
      </c>
      <c r="L30" s="1">
        <v>0</v>
      </c>
      <c r="M30" s="1">
        <v>0</v>
      </c>
      <c r="N30" s="1">
        <v>0</v>
      </c>
      <c r="O30" s="1">
        <v>31</v>
      </c>
      <c r="P30" s="192">
        <f t="shared" si="8"/>
        <v>31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532.44854430379758</v>
      </c>
      <c r="U30" s="42">
        <f>S30+T30</f>
        <v>532.44854430379758</v>
      </c>
      <c r="V30" s="42">
        <f>K30*(M30+O30+L30+N30)*100%</f>
        <v>709.93139240506332</v>
      </c>
    </row>
    <row r="31" spans="1:23" x14ac:dyDescent="0.25">
      <c r="A31" s="193" t="s">
        <v>131</v>
      </c>
      <c r="B31" s="177"/>
      <c r="C31" s="178"/>
      <c r="D31" s="179"/>
      <c r="E31" s="180"/>
      <c r="F31" s="194"/>
      <c r="G31" s="181"/>
      <c r="H31" s="194"/>
      <c r="I31" s="182"/>
      <c r="J31" s="183"/>
      <c r="K31" s="184"/>
      <c r="L31" s="183"/>
      <c r="M31" s="183"/>
      <c r="N31" s="183"/>
      <c r="O31" s="183"/>
      <c r="P31" s="192">
        <f t="shared" si="8"/>
        <v>0</v>
      </c>
      <c r="Q31" s="182"/>
      <c r="R31" s="182"/>
      <c r="S31" s="182"/>
      <c r="T31" s="182"/>
      <c r="U31" s="182"/>
      <c r="V31" s="182"/>
    </row>
    <row r="32" spans="1:23" x14ac:dyDescent="0.25">
      <c r="A32" s="89">
        <v>1903</v>
      </c>
      <c r="B32" s="68" t="s">
        <v>161</v>
      </c>
      <c r="C32" s="66">
        <v>381066156272</v>
      </c>
      <c r="D32" s="205">
        <v>189</v>
      </c>
      <c r="E32" s="84" t="s">
        <v>22</v>
      </c>
      <c r="F32" s="141">
        <v>45580</v>
      </c>
      <c r="G32" s="141"/>
      <c r="H32" s="147">
        <v>45691</v>
      </c>
      <c r="I32" s="85"/>
      <c r="J32" s="85"/>
      <c r="K32" s="85"/>
      <c r="L32" s="85"/>
      <c r="M32" s="85"/>
      <c r="N32" s="85"/>
      <c r="O32" s="85"/>
      <c r="P32" s="192">
        <f t="shared" si="8"/>
        <v>0</v>
      </c>
      <c r="Q32" s="83" t="s">
        <v>92</v>
      </c>
      <c r="R32" s="68"/>
      <c r="S32" s="68"/>
      <c r="T32" s="68"/>
      <c r="U32" s="85"/>
      <c r="V32" s="68"/>
    </row>
    <row r="33" spans="1:22" x14ac:dyDescent="0.25">
      <c r="A33" s="89">
        <v>1903</v>
      </c>
      <c r="B33" s="68" t="s">
        <v>161</v>
      </c>
      <c r="C33" s="66">
        <v>381066156272</v>
      </c>
      <c r="D33" s="205">
        <v>189</v>
      </c>
      <c r="E33" s="84" t="s">
        <v>22</v>
      </c>
      <c r="F33" s="141">
        <v>45692</v>
      </c>
      <c r="G33" s="141"/>
      <c r="H33" s="147">
        <v>45709</v>
      </c>
      <c r="I33" s="85"/>
      <c r="J33" s="85"/>
      <c r="K33" s="85"/>
      <c r="L33" s="85"/>
      <c r="M33" s="85"/>
      <c r="N33" s="85"/>
      <c r="O33" s="85"/>
      <c r="P33" s="192">
        <v>0</v>
      </c>
      <c r="Q33" s="83" t="s">
        <v>72</v>
      </c>
      <c r="R33" s="68"/>
      <c r="S33" s="68"/>
      <c r="T33" s="68"/>
      <c r="U33" s="85"/>
      <c r="V33" s="68"/>
    </row>
    <row r="34" spans="1:22" x14ac:dyDescent="0.25">
      <c r="A34" s="187">
        <v>1903</v>
      </c>
      <c r="B34" s="44" t="s">
        <v>190</v>
      </c>
      <c r="C34" s="65" t="s">
        <v>191</v>
      </c>
      <c r="D34" s="75" t="s">
        <v>51</v>
      </c>
      <c r="E34" s="55" t="s">
        <v>22</v>
      </c>
      <c r="F34" s="12">
        <v>45685</v>
      </c>
      <c r="G34" s="143"/>
      <c r="H34" s="203"/>
      <c r="I34" s="1">
        <v>669.48</v>
      </c>
      <c r="J34" s="1">
        <v>31</v>
      </c>
      <c r="K34" s="2">
        <f>I34/J34</f>
        <v>21.596129032258066</v>
      </c>
      <c r="L34" s="1">
        <v>3</v>
      </c>
      <c r="M34" s="1">
        <v>1</v>
      </c>
      <c r="N34" s="1">
        <v>0</v>
      </c>
      <c r="O34" s="1">
        <v>0</v>
      </c>
      <c r="P34" s="192">
        <f t="shared" ref="P34:P53" si="9">L34+M34+N34+O34</f>
        <v>4</v>
      </c>
      <c r="Q34" s="42">
        <f>K34*50%*L34</f>
        <v>32.394193548387101</v>
      </c>
      <c r="R34" s="42">
        <f>K34*60%*M34</f>
        <v>12.957677419354839</v>
      </c>
      <c r="S34" s="42">
        <f>K34*60%*N34</f>
        <v>0</v>
      </c>
      <c r="T34" s="42">
        <f>K34*75%*O34</f>
        <v>0</v>
      </c>
      <c r="U34" s="42">
        <f>S34+T34</f>
        <v>0</v>
      </c>
      <c r="V34" s="42">
        <f>K34*(M34+O34+L34+N34)*100%</f>
        <v>86.384516129032264</v>
      </c>
    </row>
    <row r="35" spans="1:22" x14ac:dyDescent="0.25">
      <c r="A35" s="187">
        <v>1903</v>
      </c>
      <c r="B35" s="44" t="s">
        <v>162</v>
      </c>
      <c r="C35" s="65" t="s">
        <v>163</v>
      </c>
      <c r="D35" s="75" t="s">
        <v>50</v>
      </c>
      <c r="E35" s="55" t="s">
        <v>22</v>
      </c>
      <c r="F35" s="12">
        <v>45674</v>
      </c>
      <c r="G35" s="143"/>
      <c r="H35" s="203">
        <v>45676</v>
      </c>
      <c r="I35" s="1">
        <v>1323</v>
      </c>
      <c r="J35" s="1">
        <v>30</v>
      </c>
      <c r="K35" s="2">
        <f>I35/J35</f>
        <v>44.1</v>
      </c>
      <c r="L35" s="1">
        <v>3</v>
      </c>
      <c r="M35" s="1">
        <v>0</v>
      </c>
      <c r="N35" s="1">
        <v>0</v>
      </c>
      <c r="O35" s="1">
        <v>0</v>
      </c>
      <c r="P35" s="192">
        <f t="shared" si="9"/>
        <v>3</v>
      </c>
      <c r="Q35" s="42">
        <f>K35*50%*L35</f>
        <v>66.150000000000006</v>
      </c>
      <c r="R35" s="42">
        <f>K35*60%*M35</f>
        <v>0</v>
      </c>
      <c r="S35" s="42">
        <f>K35*60%*N35</f>
        <v>0</v>
      </c>
      <c r="T35" s="42">
        <f>K35*75%*O35</f>
        <v>0</v>
      </c>
      <c r="U35" s="42">
        <f>S35+T35</f>
        <v>0</v>
      </c>
      <c r="V35" s="42">
        <f>K35*(M35+O35+L35+N35)*100%</f>
        <v>132.30000000000001</v>
      </c>
    </row>
    <row r="36" spans="1:22" s="190" customFormat="1" ht="14.1" customHeight="1" x14ac:dyDescent="0.25">
      <c r="A36" s="195">
        <v>1903</v>
      </c>
      <c r="B36" s="9" t="s">
        <v>143</v>
      </c>
      <c r="C36" s="51"/>
      <c r="D36" s="56"/>
      <c r="E36" s="56"/>
      <c r="F36" s="142"/>
      <c r="G36" s="142"/>
      <c r="H36" s="52"/>
      <c r="I36" s="53"/>
      <c r="J36" s="52"/>
      <c r="K36" s="53"/>
      <c r="L36" s="52"/>
      <c r="M36" s="52"/>
      <c r="N36" s="52"/>
      <c r="O36" s="52"/>
      <c r="P36" s="192">
        <f t="shared" si="9"/>
        <v>0</v>
      </c>
      <c r="Q36" s="10"/>
      <c r="R36" s="10"/>
      <c r="S36" s="10"/>
      <c r="T36" s="10"/>
      <c r="U36" s="11">
        <f>SUM(U30:U31)</f>
        <v>532.44854430379758</v>
      </c>
      <c r="V36" s="10"/>
    </row>
    <row r="37" spans="1:22" x14ac:dyDescent="0.25">
      <c r="A37" s="187">
        <v>1939</v>
      </c>
      <c r="B37" s="44" t="s">
        <v>121</v>
      </c>
      <c r="C37" s="189">
        <v>38103177654</v>
      </c>
      <c r="D37" s="75" t="s">
        <v>52</v>
      </c>
      <c r="E37" s="55" t="s">
        <v>22</v>
      </c>
      <c r="F37" s="12">
        <v>45581</v>
      </c>
      <c r="G37" s="143">
        <v>45700</v>
      </c>
      <c r="H37" s="12" t="s">
        <v>178</v>
      </c>
      <c r="I37" s="1">
        <v>1916.15</v>
      </c>
      <c r="J37" s="1">
        <v>30</v>
      </c>
      <c r="K37" s="2">
        <f>I37/J37</f>
        <v>63.87166666666667</v>
      </c>
      <c r="L37" s="1">
        <v>0</v>
      </c>
      <c r="M37" s="1">
        <v>0</v>
      </c>
      <c r="N37" s="1">
        <v>0</v>
      </c>
      <c r="O37" s="1">
        <v>31</v>
      </c>
      <c r="P37" s="192">
        <f t="shared" si="9"/>
        <v>31</v>
      </c>
      <c r="Q37" s="42">
        <f>K37*50%*L37</f>
        <v>0</v>
      </c>
      <c r="R37" s="42">
        <f>K37*60%*M37</f>
        <v>0</v>
      </c>
      <c r="S37" s="42">
        <f>K37*60%*N37</f>
        <v>0</v>
      </c>
      <c r="T37" s="42">
        <f>K37*75%*O37</f>
        <v>1485.0162500000001</v>
      </c>
      <c r="U37" s="42">
        <f>S37+T37</f>
        <v>1485.0162500000001</v>
      </c>
      <c r="V37" s="42">
        <f>K37*(M37+O37+L37+N37)*100%</f>
        <v>1980.0216666666668</v>
      </c>
    </row>
    <row r="38" spans="1:22" x14ac:dyDescent="0.25">
      <c r="A38" s="195">
        <v>1939</v>
      </c>
      <c r="B38" s="9" t="s">
        <v>120</v>
      </c>
      <c r="C38" s="51"/>
      <c r="D38" s="56"/>
      <c r="E38" s="56"/>
      <c r="F38" s="142"/>
      <c r="G38" s="142"/>
      <c r="H38" s="52"/>
      <c r="I38" s="53"/>
      <c r="J38" s="52"/>
      <c r="K38" s="53"/>
      <c r="L38" s="52"/>
      <c r="M38" s="52"/>
      <c r="N38" s="52"/>
      <c r="O38" s="52"/>
      <c r="P38" s="192">
        <f t="shared" si="9"/>
        <v>0</v>
      </c>
      <c r="Q38" s="10"/>
      <c r="R38" s="10"/>
      <c r="S38" s="10"/>
      <c r="T38" s="10"/>
      <c r="U38" s="11">
        <f>SUM(U37)</f>
        <v>1485.0162500000001</v>
      </c>
      <c r="V38" s="10"/>
    </row>
    <row r="39" spans="1:22" x14ac:dyDescent="0.25">
      <c r="A39" s="196">
        <v>1985</v>
      </c>
      <c r="B39" s="44" t="s">
        <v>144</v>
      </c>
      <c r="C39" s="65" t="s">
        <v>145</v>
      </c>
      <c r="D39" s="55">
        <v>100</v>
      </c>
      <c r="E39" s="55" t="s">
        <v>22</v>
      </c>
      <c r="F39" s="188">
        <v>45660</v>
      </c>
      <c r="G39" s="143"/>
      <c r="H39" s="203">
        <v>45667</v>
      </c>
      <c r="I39" s="42">
        <v>1323</v>
      </c>
      <c r="J39" s="1">
        <v>30</v>
      </c>
      <c r="K39" s="2">
        <f>I39/J39</f>
        <v>44.1</v>
      </c>
      <c r="L39" s="1">
        <v>3</v>
      </c>
      <c r="M39" s="1">
        <v>5</v>
      </c>
      <c r="N39" s="1">
        <v>0</v>
      </c>
      <c r="O39" s="1">
        <v>0</v>
      </c>
      <c r="P39" s="192">
        <f t="shared" si="9"/>
        <v>8</v>
      </c>
      <c r="Q39" s="42">
        <f>K39*50%*L39</f>
        <v>66.150000000000006</v>
      </c>
      <c r="R39" s="42">
        <f>K39*60%*M39</f>
        <v>132.30000000000001</v>
      </c>
      <c r="S39" s="42">
        <f>K39*60%*N39</f>
        <v>0</v>
      </c>
      <c r="T39" s="42">
        <f>K39*75%*O39</f>
        <v>0</v>
      </c>
      <c r="U39" s="42">
        <f>S39+T39</f>
        <v>0</v>
      </c>
      <c r="V39" s="42">
        <f>K39*(M39+O39+L39+N39)*100%</f>
        <v>352.8</v>
      </c>
    </row>
    <row r="40" spans="1:22" x14ac:dyDescent="0.25">
      <c r="A40" s="196">
        <v>1985</v>
      </c>
      <c r="B40" s="44" t="s">
        <v>118</v>
      </c>
      <c r="C40" s="65" t="s">
        <v>119</v>
      </c>
      <c r="D40" s="55">
        <v>189</v>
      </c>
      <c r="E40" s="55" t="s">
        <v>22</v>
      </c>
      <c r="F40" s="188">
        <v>45580</v>
      </c>
      <c r="G40" s="143"/>
      <c r="H40" s="203">
        <v>45678</v>
      </c>
      <c r="I40" s="42">
        <v>1323</v>
      </c>
      <c r="J40" s="1">
        <v>30</v>
      </c>
      <c r="K40" s="2">
        <f>I40/J40</f>
        <v>44.1</v>
      </c>
      <c r="L40" s="1">
        <v>0</v>
      </c>
      <c r="M40" s="1">
        <v>0</v>
      </c>
      <c r="N40" s="1">
        <v>0</v>
      </c>
      <c r="O40" s="1">
        <v>21</v>
      </c>
      <c r="P40" s="192">
        <f t="shared" si="9"/>
        <v>21</v>
      </c>
      <c r="Q40" s="42">
        <f>K40*50%*L40</f>
        <v>0</v>
      </c>
      <c r="R40" s="42">
        <f>K40*60%*M40</f>
        <v>0</v>
      </c>
      <c r="S40" s="42">
        <f>K40*60%*N40</f>
        <v>0</v>
      </c>
      <c r="T40" s="42">
        <f>K40*75%*O40</f>
        <v>694.57500000000005</v>
      </c>
      <c r="U40" s="42">
        <f>S40+T40</f>
        <v>694.57500000000005</v>
      </c>
      <c r="V40" s="42">
        <f>K40*(M40+O40+L40+N40)*100%</f>
        <v>926.1</v>
      </c>
    </row>
    <row r="41" spans="1:22" x14ac:dyDescent="0.25">
      <c r="A41" s="193" t="s">
        <v>174</v>
      </c>
      <c r="B41" s="177"/>
      <c r="C41" s="178"/>
      <c r="D41" s="179"/>
      <c r="E41" s="180"/>
      <c r="F41" s="194"/>
      <c r="G41" s="181"/>
      <c r="H41" s="194"/>
      <c r="I41" s="182"/>
      <c r="J41" s="183" t="s">
        <v>207</v>
      </c>
      <c r="K41" s="184"/>
      <c r="L41" s="183"/>
      <c r="M41" s="183"/>
      <c r="N41" s="183"/>
      <c r="O41" s="183"/>
      <c r="P41" s="192">
        <f t="shared" si="9"/>
        <v>0</v>
      </c>
      <c r="Q41" s="182"/>
      <c r="R41" s="182"/>
      <c r="S41" s="182"/>
      <c r="T41" s="182"/>
      <c r="U41" s="182"/>
      <c r="V41" s="182"/>
    </row>
    <row r="42" spans="1:22" x14ac:dyDescent="0.25">
      <c r="A42" s="195">
        <v>1985</v>
      </c>
      <c r="B42" s="9" t="s">
        <v>87</v>
      </c>
      <c r="C42" s="51"/>
      <c r="D42" s="56"/>
      <c r="E42" s="56"/>
      <c r="F42" s="142"/>
      <c r="G42" s="142"/>
      <c r="H42" s="52"/>
      <c r="I42" s="53"/>
      <c r="J42" s="52"/>
      <c r="K42" s="53"/>
      <c r="L42" s="52"/>
      <c r="M42" s="52"/>
      <c r="N42" s="52"/>
      <c r="O42" s="52"/>
      <c r="P42" s="192">
        <f t="shared" si="9"/>
        <v>0</v>
      </c>
      <c r="Q42" s="10"/>
      <c r="R42" s="10"/>
      <c r="S42" s="10"/>
      <c r="T42" s="10"/>
      <c r="U42" s="11">
        <f>SUM(U40:U40)</f>
        <v>694.57500000000005</v>
      </c>
      <c r="V42" s="10"/>
    </row>
    <row r="43" spans="1:22" x14ac:dyDescent="0.25">
      <c r="A43" s="196">
        <v>2273</v>
      </c>
      <c r="B43" s="44" t="s">
        <v>85</v>
      </c>
      <c r="C43" s="65" t="s">
        <v>86</v>
      </c>
      <c r="D43" s="55">
        <v>200</v>
      </c>
      <c r="E43" s="55" t="s">
        <v>22</v>
      </c>
      <c r="F43" s="188">
        <v>45517</v>
      </c>
      <c r="G43" s="143"/>
      <c r="H43" s="203">
        <v>45678</v>
      </c>
      <c r="I43" s="42">
        <v>3386.46</v>
      </c>
      <c r="J43" s="1">
        <v>92</v>
      </c>
      <c r="K43" s="2">
        <f>I43/J43</f>
        <v>36.809347826086956</v>
      </c>
      <c r="L43" s="1">
        <v>0</v>
      </c>
      <c r="M43" s="1">
        <v>0</v>
      </c>
      <c r="N43" s="1">
        <v>0</v>
      </c>
      <c r="O43" s="1">
        <v>21</v>
      </c>
      <c r="P43" s="192">
        <f t="shared" si="9"/>
        <v>21</v>
      </c>
      <c r="Q43" s="42">
        <f>K43*50%*L43</f>
        <v>0</v>
      </c>
      <c r="R43" s="42">
        <f>K43*60%*M43</f>
        <v>0</v>
      </c>
      <c r="S43" s="42">
        <f>K43*60%*N43</f>
        <v>0</v>
      </c>
      <c r="T43" s="42">
        <f>K43*75%*O43</f>
        <v>579.74722826086952</v>
      </c>
      <c r="U43" s="42">
        <f>S43+T43</f>
        <v>579.74722826086952</v>
      </c>
      <c r="V43" s="42">
        <f>K43*(M43+O43+L43+N43)*100%</f>
        <v>772.99630434782603</v>
      </c>
    </row>
    <row r="44" spans="1:22" x14ac:dyDescent="0.25">
      <c r="A44" s="89">
        <v>2273</v>
      </c>
      <c r="B44" s="68" t="s">
        <v>85</v>
      </c>
      <c r="C44" s="66" t="s">
        <v>86</v>
      </c>
      <c r="D44" s="205">
        <v>200</v>
      </c>
      <c r="E44" s="84" t="s">
        <v>22</v>
      </c>
      <c r="F44" s="141">
        <v>45679</v>
      </c>
      <c r="G44" s="141"/>
      <c r="H44" s="147">
        <v>45790</v>
      </c>
      <c r="I44" s="85"/>
      <c r="J44" s="85"/>
      <c r="K44" s="85"/>
      <c r="L44" s="85"/>
      <c r="M44" s="85"/>
      <c r="N44" s="85"/>
      <c r="O44" s="85"/>
      <c r="P44" s="192">
        <f t="shared" si="9"/>
        <v>0</v>
      </c>
      <c r="Q44" s="83" t="s">
        <v>92</v>
      </c>
      <c r="R44" s="68"/>
      <c r="S44" s="68"/>
      <c r="T44" s="68"/>
      <c r="U44" s="85"/>
      <c r="V44" s="68"/>
    </row>
    <row r="45" spans="1:22" x14ac:dyDescent="0.25">
      <c r="A45" s="195">
        <v>2273</v>
      </c>
      <c r="B45" s="9" t="s">
        <v>53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 t="shared" si="9"/>
        <v>0</v>
      </c>
      <c r="Q45" s="10"/>
      <c r="R45" s="10"/>
      <c r="S45" s="10"/>
      <c r="T45" s="10"/>
      <c r="U45" s="11">
        <f>SUM(U43:U43)</f>
        <v>579.74722826086952</v>
      </c>
      <c r="V45" s="10"/>
    </row>
    <row r="46" spans="1:22" x14ac:dyDescent="0.25">
      <c r="A46" s="196">
        <v>2281</v>
      </c>
      <c r="B46" s="44" t="s">
        <v>109</v>
      </c>
      <c r="C46" s="65" t="s">
        <v>110</v>
      </c>
      <c r="D46" s="55">
        <v>100</v>
      </c>
      <c r="E46" s="55" t="s">
        <v>22</v>
      </c>
      <c r="F46" s="12">
        <v>45516</v>
      </c>
      <c r="G46" s="143"/>
      <c r="H46" s="203" t="s">
        <v>177</v>
      </c>
      <c r="I46" s="42">
        <v>1891.94</v>
      </c>
      <c r="J46" s="1">
        <v>30</v>
      </c>
      <c r="K46" s="2">
        <f>I46/J46</f>
        <v>63.064666666666668</v>
      </c>
      <c r="L46" s="1">
        <v>0</v>
      </c>
      <c r="M46" s="1">
        <v>0</v>
      </c>
      <c r="N46" s="1">
        <v>0</v>
      </c>
      <c r="O46" s="1">
        <v>7</v>
      </c>
      <c r="P46" s="192">
        <f t="shared" si="9"/>
        <v>7</v>
      </c>
      <c r="Q46" s="42">
        <f>K46*50%*L46</f>
        <v>0</v>
      </c>
      <c r="R46" s="42">
        <f>K46*60%*M46</f>
        <v>0</v>
      </c>
      <c r="S46" s="42">
        <f>K46*60%*N46</f>
        <v>0</v>
      </c>
      <c r="T46" s="42">
        <f>K46*75%*O46</f>
        <v>331.08950000000004</v>
      </c>
      <c r="U46" s="42">
        <f>S46+T46</f>
        <v>331.08950000000004</v>
      </c>
      <c r="V46" s="42">
        <f>K46*(M46+O46+L46+N46)*100%</f>
        <v>441.45266666666669</v>
      </c>
    </row>
    <row r="47" spans="1:22" s="185" customFormat="1" x14ac:dyDescent="0.25">
      <c r="A47" s="196">
        <v>2281</v>
      </c>
      <c r="B47" s="44" t="s">
        <v>79</v>
      </c>
      <c r="C47" s="65" t="s">
        <v>73</v>
      </c>
      <c r="D47" s="55">
        <v>189</v>
      </c>
      <c r="E47" s="55" t="s">
        <v>22</v>
      </c>
      <c r="F47" s="12">
        <v>45363</v>
      </c>
      <c r="G47" s="143">
        <v>45699</v>
      </c>
      <c r="H47" s="12" t="s">
        <v>171</v>
      </c>
      <c r="I47" s="42">
        <v>1901.68</v>
      </c>
      <c r="J47" s="1">
        <v>30</v>
      </c>
      <c r="K47" s="2">
        <f>I47/J47</f>
        <v>63.389333333333333</v>
      </c>
      <c r="L47" s="1">
        <v>0</v>
      </c>
      <c r="M47" s="1">
        <v>0</v>
      </c>
      <c r="N47" s="1">
        <v>0</v>
      </c>
      <c r="O47" s="1">
        <v>31</v>
      </c>
      <c r="P47" s="192">
        <f t="shared" si="9"/>
        <v>31</v>
      </c>
      <c r="Q47" s="42">
        <f>K47*50%*L47</f>
        <v>0</v>
      </c>
      <c r="R47" s="42">
        <f>K47*60%*M47</f>
        <v>0</v>
      </c>
      <c r="S47" s="42">
        <f>K47*60%*N47</f>
        <v>0</v>
      </c>
      <c r="T47" s="42">
        <f>K47*75%*O47</f>
        <v>1473.8020000000001</v>
      </c>
      <c r="U47" s="42">
        <f>S47+T47</f>
        <v>1473.8020000000001</v>
      </c>
      <c r="V47" s="42">
        <f>K47*(M47+O47+L47+N47)*100%</f>
        <v>1965.0693333333334</v>
      </c>
    </row>
    <row r="48" spans="1:22" x14ac:dyDescent="0.25">
      <c r="A48" s="196">
        <v>2281</v>
      </c>
      <c r="B48" s="44" t="s">
        <v>172</v>
      </c>
      <c r="C48" s="65" t="s">
        <v>173</v>
      </c>
      <c r="D48" s="55">
        <v>189</v>
      </c>
      <c r="E48" s="55" t="s">
        <v>22</v>
      </c>
      <c r="F48" s="12">
        <v>45679</v>
      </c>
      <c r="G48" s="143">
        <v>45692</v>
      </c>
      <c r="H48" s="12" t="s">
        <v>186</v>
      </c>
      <c r="I48" s="42">
        <v>1543.99</v>
      </c>
      <c r="J48" s="1">
        <v>30</v>
      </c>
      <c r="K48" s="2">
        <f>I48/J48</f>
        <v>51.466333333333331</v>
      </c>
      <c r="L48" s="1">
        <v>3</v>
      </c>
      <c r="M48" s="1">
        <v>7</v>
      </c>
      <c r="N48" s="1">
        <v>0</v>
      </c>
      <c r="O48" s="1">
        <v>0</v>
      </c>
      <c r="P48" s="192">
        <f t="shared" si="9"/>
        <v>10</v>
      </c>
      <c r="Q48" s="42">
        <f>K48*50%*L48</f>
        <v>77.1995</v>
      </c>
      <c r="R48" s="42">
        <f>K48*60%*M48</f>
        <v>216.15859999999998</v>
      </c>
      <c r="S48" s="42">
        <f>K48*60%*N48</f>
        <v>0</v>
      </c>
      <c r="T48" s="42">
        <f>K48*75%*O48</f>
        <v>0</v>
      </c>
      <c r="U48" s="42">
        <f>S48+T48</f>
        <v>0</v>
      </c>
      <c r="V48" s="42">
        <f>K48*(M48+O48+L48+N48)*100%</f>
        <v>514.6633333333333</v>
      </c>
    </row>
    <row r="49" spans="1:23" x14ac:dyDescent="0.25">
      <c r="A49" s="196">
        <v>2281</v>
      </c>
      <c r="B49" s="44" t="s">
        <v>192</v>
      </c>
      <c r="C49" s="65" t="s">
        <v>193</v>
      </c>
      <c r="D49" s="55">
        <v>189</v>
      </c>
      <c r="E49" s="55" t="s">
        <v>22</v>
      </c>
      <c r="F49" s="12">
        <v>45686</v>
      </c>
      <c r="G49" s="143"/>
      <c r="H49" s="12"/>
      <c r="I49" s="42">
        <v>1382</v>
      </c>
      <c r="J49" s="1">
        <v>30</v>
      </c>
      <c r="K49" s="2">
        <f>I49/J49</f>
        <v>46.06666666666667</v>
      </c>
      <c r="L49" s="1">
        <v>0</v>
      </c>
      <c r="M49" s="1">
        <v>0</v>
      </c>
      <c r="N49" s="1">
        <v>0</v>
      </c>
      <c r="O49" s="1">
        <v>3</v>
      </c>
      <c r="P49" s="192">
        <f t="shared" si="9"/>
        <v>3</v>
      </c>
      <c r="Q49" s="42">
        <f>K49*50%*L49</f>
        <v>0</v>
      </c>
      <c r="R49" s="42">
        <f>K49*60%*M49</f>
        <v>0</v>
      </c>
      <c r="S49" s="42">
        <f>K49*60%*N49</f>
        <v>0</v>
      </c>
      <c r="T49" s="42">
        <f>K49*75%*O49</f>
        <v>103.65</v>
      </c>
      <c r="U49" s="42">
        <f>S49+T49</f>
        <v>103.65</v>
      </c>
      <c r="V49" s="42">
        <f>K49*(M49+O49+L49+N49)*100%</f>
        <v>138.20000000000002</v>
      </c>
    </row>
    <row r="50" spans="1:23" x14ac:dyDescent="0.25">
      <c r="A50" s="196">
        <v>2281</v>
      </c>
      <c r="B50" s="44" t="s">
        <v>95</v>
      </c>
      <c r="C50" s="65" t="s">
        <v>96</v>
      </c>
      <c r="D50" s="55">
        <v>100</v>
      </c>
      <c r="E50" s="55" t="s">
        <v>22</v>
      </c>
      <c r="F50" s="12">
        <v>45448</v>
      </c>
      <c r="G50" s="143">
        <v>45700</v>
      </c>
      <c r="H50" s="12" t="s">
        <v>181</v>
      </c>
      <c r="I50" s="42">
        <v>1813.28</v>
      </c>
      <c r="J50" s="1">
        <v>30</v>
      </c>
      <c r="K50" s="2">
        <f>I50/J50</f>
        <v>60.442666666666668</v>
      </c>
      <c r="L50" s="1">
        <v>0</v>
      </c>
      <c r="M50" s="1">
        <v>0</v>
      </c>
      <c r="N50" s="1">
        <v>0</v>
      </c>
      <c r="O50" s="1">
        <v>31</v>
      </c>
      <c r="P50" s="192">
        <f t="shared" si="9"/>
        <v>31</v>
      </c>
      <c r="Q50" s="42">
        <f>K50*50%*L50</f>
        <v>0</v>
      </c>
      <c r="R50" s="42">
        <f>K50*60%*M50</f>
        <v>0</v>
      </c>
      <c r="S50" s="42">
        <f>K50*60%*N50</f>
        <v>0</v>
      </c>
      <c r="T50" s="42">
        <f>K50*75%*O50</f>
        <v>1405.2919999999999</v>
      </c>
      <c r="U50" s="42">
        <f>S50+T50</f>
        <v>1405.2919999999999</v>
      </c>
      <c r="V50" s="42">
        <f>K50*(M50+O50+L50+N50)*100%</f>
        <v>1873.7226666666668</v>
      </c>
      <c r="W50" s="190"/>
    </row>
    <row r="51" spans="1:23" x14ac:dyDescent="0.25">
      <c r="A51" s="193" t="s">
        <v>103</v>
      </c>
      <c r="B51" s="177"/>
      <c r="C51" s="178"/>
      <c r="D51" s="179"/>
      <c r="E51" s="180"/>
      <c r="F51" s="194"/>
      <c r="G51" s="181"/>
      <c r="H51" s="194"/>
      <c r="I51" s="182"/>
      <c r="J51" s="183"/>
      <c r="K51" s="184"/>
      <c r="L51" s="183"/>
      <c r="M51" s="183"/>
      <c r="N51" s="183"/>
      <c r="O51" s="183"/>
      <c r="P51" s="192">
        <f t="shared" si="9"/>
        <v>0</v>
      </c>
      <c r="Q51" s="182"/>
      <c r="R51" s="182"/>
      <c r="S51" s="182"/>
      <c r="T51" s="182"/>
      <c r="U51" s="182"/>
      <c r="V51" s="182"/>
      <c r="W51" s="190"/>
    </row>
    <row r="52" spans="1:23" s="185" customFormat="1" x14ac:dyDescent="0.25">
      <c r="A52" s="195">
        <v>2281</v>
      </c>
      <c r="B52" s="9" t="s">
        <v>60</v>
      </c>
      <c r="C52" s="51"/>
      <c r="D52" s="56"/>
      <c r="E52" s="56"/>
      <c r="F52" s="142"/>
      <c r="G52" s="142"/>
      <c r="H52" s="52"/>
      <c r="I52" s="53"/>
      <c r="J52" s="52"/>
      <c r="K52" s="53"/>
      <c r="L52" s="52"/>
      <c r="M52" s="52"/>
      <c r="N52" s="52"/>
      <c r="O52" s="52"/>
      <c r="P52" s="192">
        <f t="shared" si="9"/>
        <v>0</v>
      </c>
      <c r="Q52" s="10"/>
      <c r="R52" s="10"/>
      <c r="S52" s="10"/>
      <c r="T52" s="10"/>
      <c r="U52" s="11">
        <f>SUM(U46:U51)</f>
        <v>3313.8335000000002</v>
      </c>
      <c r="V52" s="10"/>
      <c r="W52" s="206"/>
    </row>
    <row r="53" spans="1:23" s="185" customFormat="1" ht="13.5" customHeight="1" x14ac:dyDescent="0.25">
      <c r="A53" s="196">
        <v>2290</v>
      </c>
      <c r="B53" s="44" t="s">
        <v>74</v>
      </c>
      <c r="C53" s="65" t="s">
        <v>75</v>
      </c>
      <c r="D53" s="55">
        <v>100</v>
      </c>
      <c r="E53" s="55" t="s">
        <v>22</v>
      </c>
      <c r="F53" s="12">
        <v>45347</v>
      </c>
      <c r="G53" s="143">
        <v>45697</v>
      </c>
      <c r="H53" s="12" t="s">
        <v>169</v>
      </c>
      <c r="I53" s="42">
        <v>744.29</v>
      </c>
      <c r="J53" s="1">
        <v>16</v>
      </c>
      <c r="K53" s="2">
        <f>I53/J53</f>
        <v>46.518124999999998</v>
      </c>
      <c r="L53" s="1">
        <v>0</v>
      </c>
      <c r="M53" s="1">
        <v>0</v>
      </c>
      <c r="N53" s="1">
        <v>0</v>
      </c>
      <c r="O53" s="1">
        <v>31</v>
      </c>
      <c r="P53" s="192">
        <f t="shared" si="9"/>
        <v>31</v>
      </c>
      <c r="Q53" s="42">
        <f>K53*50%*L53</f>
        <v>0</v>
      </c>
      <c r="R53" s="42">
        <f>K53*60%*M53</f>
        <v>0</v>
      </c>
      <c r="S53" s="42">
        <f>K53*60%*N53</f>
        <v>0</v>
      </c>
      <c r="T53" s="42">
        <f>K53*75%*O53</f>
        <v>1081.54640625</v>
      </c>
      <c r="U53" s="42">
        <f>S53+T53</f>
        <v>1081.54640625</v>
      </c>
      <c r="V53" s="42">
        <f>K53*(M53+O53+L53+N53)*100%</f>
        <v>1442.0618749999999</v>
      </c>
      <c r="W53" s="206"/>
    </row>
    <row r="54" spans="1:23" s="185" customFormat="1" ht="15" customHeight="1" x14ac:dyDescent="0.25">
      <c r="A54" s="193" t="s">
        <v>176</v>
      </c>
      <c r="B54" s="177"/>
      <c r="C54" s="178"/>
      <c r="D54" s="179"/>
      <c r="E54" s="180"/>
      <c r="F54" s="194"/>
      <c r="G54" s="181"/>
      <c r="H54" s="194"/>
      <c r="I54" s="182"/>
      <c r="J54" s="183"/>
      <c r="K54" s="184"/>
      <c r="L54" s="183"/>
      <c r="M54" s="183"/>
      <c r="N54" s="183"/>
      <c r="O54" s="183"/>
      <c r="P54" s="192"/>
      <c r="Q54" s="182"/>
      <c r="R54" s="182"/>
      <c r="S54" s="182"/>
      <c r="T54" s="182"/>
      <c r="U54" s="182"/>
      <c r="V54" s="182"/>
      <c r="W54" s="206"/>
    </row>
    <row r="55" spans="1:23" s="185" customFormat="1" ht="14.25" customHeight="1" x14ac:dyDescent="0.25">
      <c r="A55" s="196">
        <v>2290</v>
      </c>
      <c r="B55" s="44" t="s">
        <v>151</v>
      </c>
      <c r="C55" s="65" t="s">
        <v>152</v>
      </c>
      <c r="D55" s="55">
        <v>100</v>
      </c>
      <c r="E55" s="55" t="s">
        <v>22</v>
      </c>
      <c r="F55" s="12">
        <v>45659</v>
      </c>
      <c r="G55" s="143"/>
      <c r="H55" s="203">
        <v>45661</v>
      </c>
      <c r="I55" s="42">
        <v>1535.04</v>
      </c>
      <c r="J55" s="1">
        <v>30</v>
      </c>
      <c r="K55" s="2">
        <f>I55/J55</f>
        <v>51.167999999999999</v>
      </c>
      <c r="L55" s="1">
        <v>3</v>
      </c>
      <c r="M55" s="1">
        <v>0</v>
      </c>
      <c r="N55" s="1">
        <v>0</v>
      </c>
      <c r="O55" s="1">
        <v>0</v>
      </c>
      <c r="P55" s="192">
        <f>L55+M55+N55+O55</f>
        <v>3</v>
      </c>
      <c r="Q55" s="42">
        <f>K55*50%*L55</f>
        <v>76.751999999999995</v>
      </c>
      <c r="R55" s="42">
        <f>K55*60%*M55</f>
        <v>0</v>
      </c>
      <c r="S55" s="42">
        <f>K55*60%*N55</f>
        <v>0</v>
      </c>
      <c r="T55" s="42">
        <f>K55*75%*O55</f>
        <v>0</v>
      </c>
      <c r="U55" s="42">
        <f>S55+T55</f>
        <v>0</v>
      </c>
      <c r="V55" s="42">
        <f>K55*(M55+O55+L55+N55)*100%</f>
        <v>153.50399999999999</v>
      </c>
      <c r="W55" s="206"/>
    </row>
    <row r="56" spans="1:23" s="185" customFormat="1" ht="14.25" customHeight="1" x14ac:dyDescent="0.25">
      <c r="A56" s="196">
        <v>2290</v>
      </c>
      <c r="B56" s="44" t="s">
        <v>134</v>
      </c>
      <c r="C56" s="65" t="s">
        <v>135</v>
      </c>
      <c r="D56" s="55">
        <v>100</v>
      </c>
      <c r="E56" s="55" t="s">
        <v>22</v>
      </c>
      <c r="F56" s="12">
        <v>45647</v>
      </c>
      <c r="G56" s="143"/>
      <c r="H56" s="203">
        <v>45678</v>
      </c>
      <c r="I56" s="42">
        <v>1476.23</v>
      </c>
      <c r="J56" s="1">
        <v>30</v>
      </c>
      <c r="K56" s="2">
        <f>I56/J56</f>
        <v>49.207666666666668</v>
      </c>
      <c r="L56" s="1">
        <v>0</v>
      </c>
      <c r="M56" s="1">
        <v>4</v>
      </c>
      <c r="N56" s="1">
        <v>5</v>
      </c>
      <c r="O56" s="1">
        <v>12</v>
      </c>
      <c r="P56" s="192">
        <f>L56+M56+N56+O56</f>
        <v>21</v>
      </c>
      <c r="Q56" s="42">
        <f>K56*50%*L56</f>
        <v>0</v>
      </c>
      <c r="R56" s="42">
        <f>K56*60%*M56</f>
        <v>118.0984</v>
      </c>
      <c r="S56" s="42">
        <f>K56*60%*N56</f>
        <v>147.62299999999999</v>
      </c>
      <c r="T56" s="42">
        <f>K56*75%*O56</f>
        <v>442.86899999999997</v>
      </c>
      <c r="U56" s="42">
        <f>S56+T56</f>
        <v>590.49199999999996</v>
      </c>
      <c r="V56" s="42">
        <f>K56*(M56+O56+L56+N56)*100%</f>
        <v>1033.3610000000001</v>
      </c>
      <c r="W56" s="206"/>
    </row>
    <row r="57" spans="1:23" s="185" customFormat="1" ht="14.25" customHeight="1" x14ac:dyDescent="0.25">
      <c r="A57" s="193" t="s">
        <v>175</v>
      </c>
      <c r="B57" s="177"/>
      <c r="C57" s="178"/>
      <c r="D57" s="179"/>
      <c r="E57" s="180"/>
      <c r="F57" s="194"/>
      <c r="G57" s="181"/>
      <c r="H57" s="194"/>
      <c r="I57" s="182"/>
      <c r="J57" s="183" t="s">
        <v>208</v>
      </c>
      <c r="K57" s="184"/>
      <c r="L57" s="183"/>
      <c r="M57" s="183"/>
      <c r="N57" s="183"/>
      <c r="O57" s="183"/>
      <c r="P57" s="192"/>
      <c r="Q57" s="182"/>
      <c r="R57" s="182"/>
      <c r="S57" s="182"/>
      <c r="T57" s="182"/>
      <c r="U57" s="182"/>
      <c r="V57" s="182"/>
      <c r="W57" s="206"/>
    </row>
    <row r="58" spans="1:23" x14ac:dyDescent="0.25">
      <c r="A58" s="196">
        <v>2290</v>
      </c>
      <c r="B58" s="44" t="s">
        <v>195</v>
      </c>
      <c r="C58" s="65" t="s">
        <v>196</v>
      </c>
      <c r="D58" s="55">
        <v>200</v>
      </c>
      <c r="E58" s="55" t="s">
        <v>22</v>
      </c>
      <c r="F58" s="12">
        <v>45687</v>
      </c>
      <c r="G58" s="143"/>
      <c r="H58" s="203">
        <v>45688</v>
      </c>
      <c r="I58" s="42">
        <v>1996.31</v>
      </c>
      <c r="J58" s="1">
        <v>68</v>
      </c>
      <c r="K58" s="2">
        <f>I58/J58</f>
        <v>29.357499999999998</v>
      </c>
      <c r="L58" s="1">
        <v>2</v>
      </c>
      <c r="M58" s="1">
        <v>0</v>
      </c>
      <c r="N58" s="1">
        <v>0</v>
      </c>
      <c r="O58" s="1">
        <v>0</v>
      </c>
      <c r="P58" s="192">
        <f>L58+M58+N58+O58</f>
        <v>2</v>
      </c>
      <c r="Q58" s="42">
        <f>K58*50%*L58</f>
        <v>29.357499999999998</v>
      </c>
      <c r="R58" s="42">
        <f>K58*60%*M58</f>
        <v>0</v>
      </c>
      <c r="S58" s="42">
        <f>K58*60%*N58</f>
        <v>0</v>
      </c>
      <c r="T58" s="42">
        <f>K58*75%*O58</f>
        <v>0</v>
      </c>
      <c r="U58" s="42">
        <f>S58+T58</f>
        <v>0</v>
      </c>
      <c r="V58" s="42">
        <f>K58*(M58+O58+L58+N58)*100%</f>
        <v>58.714999999999996</v>
      </c>
      <c r="W58" s="190"/>
    </row>
    <row r="59" spans="1:23" x14ac:dyDescent="0.25">
      <c r="A59" s="196">
        <v>2290</v>
      </c>
      <c r="B59" s="44" t="s">
        <v>158</v>
      </c>
      <c r="C59" s="65" t="s">
        <v>159</v>
      </c>
      <c r="D59" s="55">
        <v>100</v>
      </c>
      <c r="E59" s="55" t="s">
        <v>22</v>
      </c>
      <c r="F59" s="12">
        <v>45672</v>
      </c>
      <c r="G59" s="143">
        <v>45686</v>
      </c>
      <c r="H59" s="12" t="s">
        <v>182</v>
      </c>
      <c r="I59" s="42">
        <v>1487.51</v>
      </c>
      <c r="J59" s="1">
        <v>30</v>
      </c>
      <c r="K59" s="2">
        <f>I59/J59</f>
        <v>49.583666666666666</v>
      </c>
      <c r="L59" s="1">
        <v>3</v>
      </c>
      <c r="M59" s="1">
        <v>12</v>
      </c>
      <c r="N59" s="1">
        <v>2</v>
      </c>
      <c r="O59" s="1">
        <v>0</v>
      </c>
      <c r="P59" s="192">
        <f>L59+M59+N59+O59</f>
        <v>17</v>
      </c>
      <c r="Q59" s="42">
        <f>K59*50%*L59</f>
        <v>74.375500000000002</v>
      </c>
      <c r="R59" s="42">
        <f>K59*60%*M59</f>
        <v>357.00239999999997</v>
      </c>
      <c r="S59" s="42">
        <f>K59*60%*N59</f>
        <v>59.500399999999999</v>
      </c>
      <c r="T59" s="42">
        <f>K59*75%*O59</f>
        <v>0</v>
      </c>
      <c r="U59" s="42">
        <f>S59+T59</f>
        <v>59.500399999999999</v>
      </c>
      <c r="V59" s="42">
        <f>K59*(M59+O59+L59+N59)*100%</f>
        <v>842.92233333333331</v>
      </c>
      <c r="W59" s="190"/>
    </row>
    <row r="60" spans="1:23" s="185" customFormat="1" ht="14.25" customHeight="1" x14ac:dyDescent="0.25">
      <c r="A60" s="193" t="s">
        <v>209</v>
      </c>
      <c r="B60" s="177"/>
      <c r="C60" s="178"/>
      <c r="D60" s="179"/>
      <c r="E60" s="180"/>
      <c r="F60" s="194"/>
      <c r="G60" s="181"/>
      <c r="H60" s="194"/>
      <c r="I60" s="182"/>
      <c r="J60" s="183"/>
      <c r="K60" s="184"/>
      <c r="L60" s="183"/>
      <c r="M60" s="183"/>
      <c r="N60" s="183"/>
      <c r="O60" s="183"/>
      <c r="P60" s="192"/>
      <c r="Q60" s="182"/>
      <c r="R60" s="182"/>
      <c r="S60" s="182"/>
      <c r="T60" s="182"/>
      <c r="U60" s="182"/>
      <c r="V60" s="182"/>
      <c r="W60" s="206"/>
    </row>
    <row r="61" spans="1:23" x14ac:dyDescent="0.25">
      <c r="A61" s="196">
        <v>2290</v>
      </c>
      <c r="B61" s="44" t="s">
        <v>98</v>
      </c>
      <c r="C61" s="65" t="s">
        <v>99</v>
      </c>
      <c r="D61" s="55">
        <v>100</v>
      </c>
      <c r="E61" s="55" t="s">
        <v>22</v>
      </c>
      <c r="F61" s="12">
        <v>45607</v>
      </c>
      <c r="G61" s="143">
        <v>45339</v>
      </c>
      <c r="H61" s="12" t="s">
        <v>184</v>
      </c>
      <c r="I61" s="42">
        <v>1500.04</v>
      </c>
      <c r="J61" s="1">
        <v>30</v>
      </c>
      <c r="K61" s="2">
        <f>I61/J61</f>
        <v>50.001333333333335</v>
      </c>
      <c r="L61" s="1">
        <v>0</v>
      </c>
      <c r="M61" s="1">
        <v>0</v>
      </c>
      <c r="N61" s="1">
        <v>0</v>
      </c>
      <c r="O61" s="1">
        <v>31</v>
      </c>
      <c r="P61" s="192">
        <f>L61+M61+N61+O61</f>
        <v>31</v>
      </c>
      <c r="Q61" s="42">
        <f>K61*50%*L61</f>
        <v>0</v>
      </c>
      <c r="R61" s="42">
        <f>K61*60%*M61</f>
        <v>0</v>
      </c>
      <c r="S61" s="42">
        <f>K61*60%*N61</f>
        <v>0</v>
      </c>
      <c r="T61" s="42">
        <f>K61*75%*O61</f>
        <v>1162.5310000000002</v>
      </c>
      <c r="U61" s="42">
        <f>S61+T61</f>
        <v>1162.5310000000002</v>
      </c>
      <c r="V61" s="42">
        <f>K61*(M61+O61+L61+N61)*100%</f>
        <v>1550.0413333333333</v>
      </c>
      <c r="W61" s="190"/>
    </row>
    <row r="62" spans="1:23" s="185" customFormat="1" ht="14.25" customHeight="1" x14ac:dyDescent="0.25">
      <c r="A62" s="193" t="s">
        <v>126</v>
      </c>
      <c r="B62" s="177"/>
      <c r="C62" s="178"/>
      <c r="D62" s="179"/>
      <c r="E62" s="180"/>
      <c r="F62" s="194"/>
      <c r="G62" s="181"/>
      <c r="H62" s="194"/>
      <c r="I62" s="182"/>
      <c r="J62" s="183"/>
      <c r="K62" s="184"/>
      <c r="L62" s="183"/>
      <c r="M62" s="183"/>
      <c r="N62" s="183"/>
      <c r="O62" s="183"/>
      <c r="P62" s="192"/>
      <c r="Q62" s="182"/>
      <c r="R62" s="182"/>
      <c r="S62" s="182"/>
      <c r="T62" s="182"/>
      <c r="U62" s="182"/>
      <c r="V62" s="182"/>
      <c r="W62" s="206"/>
    </row>
    <row r="63" spans="1:23" s="185" customFormat="1" ht="14.25" customHeight="1" x14ac:dyDescent="0.25">
      <c r="A63" s="196">
        <v>2290</v>
      </c>
      <c r="B63" s="44" t="s">
        <v>146</v>
      </c>
      <c r="C63" s="65" t="s">
        <v>147</v>
      </c>
      <c r="D63" s="55">
        <v>100</v>
      </c>
      <c r="E63" s="55" t="s">
        <v>22</v>
      </c>
      <c r="F63" s="12">
        <v>45659</v>
      </c>
      <c r="G63" s="143"/>
      <c r="H63" s="203">
        <v>45659</v>
      </c>
      <c r="I63" s="42">
        <v>1477.48</v>
      </c>
      <c r="J63" s="1">
        <v>30</v>
      </c>
      <c r="K63" s="2">
        <f>I63/J63</f>
        <v>49.249333333333333</v>
      </c>
      <c r="L63" s="1">
        <v>1</v>
      </c>
      <c r="M63" s="1">
        <v>0</v>
      </c>
      <c r="N63" s="1">
        <v>0</v>
      </c>
      <c r="O63" s="1">
        <v>0</v>
      </c>
      <c r="P63" s="192">
        <f>L63+M63+N63+O63</f>
        <v>1</v>
      </c>
      <c r="Q63" s="42">
        <f>K63*50%*L63</f>
        <v>24.624666666666666</v>
      </c>
      <c r="R63" s="42">
        <f>K63*60%*M63</f>
        <v>0</v>
      </c>
      <c r="S63" s="42">
        <f>K63*60%*N63</f>
        <v>0</v>
      </c>
      <c r="T63" s="42">
        <f>K63*75%*O63</f>
        <v>0</v>
      </c>
      <c r="U63" s="42">
        <f>S63+T63</f>
        <v>0</v>
      </c>
      <c r="V63" s="42">
        <f>K63*(M63+O63+L63+N63)*100%</f>
        <v>49.249333333333333</v>
      </c>
      <c r="W63" s="206"/>
    </row>
    <row r="64" spans="1:23" x14ac:dyDescent="0.25">
      <c r="A64" s="196">
        <v>2290</v>
      </c>
      <c r="B64" s="44" t="s">
        <v>97</v>
      </c>
      <c r="C64" s="65" t="s">
        <v>100</v>
      </c>
      <c r="D64" s="55">
        <v>100</v>
      </c>
      <c r="E64" s="55" t="s">
        <v>22</v>
      </c>
      <c r="F64" s="12">
        <v>45561</v>
      </c>
      <c r="G64" s="143">
        <v>45706</v>
      </c>
      <c r="H64" s="12" t="s">
        <v>189</v>
      </c>
      <c r="I64" s="42">
        <v>1512.48</v>
      </c>
      <c r="J64" s="1">
        <v>30</v>
      </c>
      <c r="K64" s="2">
        <f>I64/J64</f>
        <v>50.416000000000004</v>
      </c>
      <c r="L64" s="1">
        <v>0</v>
      </c>
      <c r="M64" s="1">
        <v>0</v>
      </c>
      <c r="N64" s="1">
        <v>0</v>
      </c>
      <c r="O64" s="1">
        <v>31</v>
      </c>
      <c r="P64" s="192">
        <f>L64+M64+N64+O64</f>
        <v>31</v>
      </c>
      <c r="Q64" s="42">
        <f>K64*50%*L64</f>
        <v>0</v>
      </c>
      <c r="R64" s="42">
        <f>K64*60%*M64</f>
        <v>0</v>
      </c>
      <c r="S64" s="42">
        <f>K64*60%*N64</f>
        <v>0</v>
      </c>
      <c r="T64" s="42">
        <f>K64*75%*O64</f>
        <v>1172.1720000000003</v>
      </c>
      <c r="U64" s="42">
        <f>S64+T64</f>
        <v>1172.1720000000003</v>
      </c>
      <c r="V64" s="42">
        <f>K64*(M64+O64+L64+N64)*100%</f>
        <v>1562.8960000000002</v>
      </c>
      <c r="W64" s="190"/>
    </row>
    <row r="65" spans="1:24" s="185" customFormat="1" ht="14.25" customHeight="1" x14ac:dyDescent="0.25">
      <c r="A65" s="193" t="s">
        <v>117</v>
      </c>
      <c r="B65" s="177"/>
      <c r="C65" s="178"/>
      <c r="D65" s="179"/>
      <c r="E65" s="180"/>
      <c r="F65" s="194"/>
      <c r="G65" s="181"/>
      <c r="H65" s="194"/>
      <c r="I65" s="182"/>
      <c r="J65" s="183"/>
      <c r="K65" s="184"/>
      <c r="L65" s="183"/>
      <c r="M65" s="183"/>
      <c r="N65" s="183"/>
      <c r="O65" s="183"/>
      <c r="P65" s="192"/>
      <c r="Q65" s="182"/>
      <c r="R65" s="182"/>
      <c r="S65" s="182"/>
      <c r="T65" s="182"/>
      <c r="U65" s="182"/>
      <c r="V65" s="182"/>
      <c r="W65" s="206"/>
    </row>
    <row r="66" spans="1:24" x14ac:dyDescent="0.25">
      <c r="A66" s="196">
        <v>2290</v>
      </c>
      <c r="B66" s="44" t="s">
        <v>149</v>
      </c>
      <c r="C66" s="65" t="s">
        <v>150</v>
      </c>
      <c r="D66" s="55">
        <v>100</v>
      </c>
      <c r="E66" s="55" t="s">
        <v>22</v>
      </c>
      <c r="F66" s="12">
        <v>45668</v>
      </c>
      <c r="G66" s="143"/>
      <c r="H66" s="203">
        <v>45669</v>
      </c>
      <c r="I66" s="42">
        <v>1652.65</v>
      </c>
      <c r="J66" s="1">
        <v>30</v>
      </c>
      <c r="K66" s="2">
        <f>I66/J66</f>
        <v>55.088333333333338</v>
      </c>
      <c r="L66" s="1">
        <v>2</v>
      </c>
      <c r="M66" s="1">
        <v>0</v>
      </c>
      <c r="N66" s="1">
        <v>0</v>
      </c>
      <c r="O66" s="1">
        <v>0</v>
      </c>
      <c r="P66" s="192">
        <f>L66+M66+N66+O66</f>
        <v>2</v>
      </c>
      <c r="Q66" s="42">
        <f>K66*50%*L66</f>
        <v>55.088333333333338</v>
      </c>
      <c r="R66" s="42">
        <f>K66*60%*M66</f>
        <v>0</v>
      </c>
      <c r="S66" s="42">
        <f>K66*60%*N66</f>
        <v>0</v>
      </c>
      <c r="T66" s="42">
        <f>K66*75%*O66</f>
        <v>0</v>
      </c>
      <c r="U66" s="42">
        <f>S66+T66</f>
        <v>0</v>
      </c>
      <c r="V66" s="42">
        <f>K66*(M66+O66+L66+N66)*100%</f>
        <v>110.17666666666668</v>
      </c>
      <c r="W66" s="190"/>
    </row>
    <row r="67" spans="1:24" x14ac:dyDescent="0.25">
      <c r="A67" s="89">
        <v>2290</v>
      </c>
      <c r="B67" s="68" t="s">
        <v>113</v>
      </c>
      <c r="C67" s="66" t="s">
        <v>114</v>
      </c>
      <c r="D67" s="205">
        <v>100</v>
      </c>
      <c r="E67" s="84" t="s">
        <v>22</v>
      </c>
      <c r="F67" s="141">
        <v>45566</v>
      </c>
      <c r="G67" s="141"/>
      <c r="H67" s="147"/>
      <c r="I67" s="85"/>
      <c r="J67" s="85"/>
      <c r="K67" s="85"/>
      <c r="L67" s="199"/>
      <c r="M67" s="199"/>
      <c r="N67" s="199"/>
      <c r="O67" s="85"/>
      <c r="P67" s="83"/>
      <c r="Q67" s="83" t="s">
        <v>88</v>
      </c>
      <c r="R67" s="68"/>
      <c r="S67" s="68"/>
      <c r="T67" s="68"/>
      <c r="U67" s="85"/>
      <c r="V67" s="68"/>
      <c r="W67" s="190"/>
    </row>
    <row r="68" spans="1:24" s="185" customFormat="1" ht="15" customHeight="1" x14ac:dyDescent="0.25">
      <c r="A68" s="193" t="s">
        <v>206</v>
      </c>
      <c r="B68" s="177"/>
      <c r="C68" s="178"/>
      <c r="D68" s="179"/>
      <c r="E68" s="180"/>
      <c r="F68" s="194"/>
      <c r="G68" s="181"/>
      <c r="H68" s="194"/>
      <c r="I68" s="182"/>
      <c r="J68" s="183"/>
      <c r="K68" s="184"/>
      <c r="L68" s="183"/>
      <c r="M68" s="183"/>
      <c r="N68" s="183"/>
      <c r="O68" s="183"/>
      <c r="P68" s="192"/>
      <c r="Q68" s="182"/>
      <c r="R68" s="182"/>
      <c r="S68" s="182"/>
      <c r="T68" s="182"/>
      <c r="U68" s="182"/>
      <c r="V68" s="182"/>
      <c r="W68" s="206"/>
    </row>
    <row r="69" spans="1:24" x14ac:dyDescent="0.25">
      <c r="A69" s="196">
        <v>2290</v>
      </c>
      <c r="B69" s="44" t="s">
        <v>101</v>
      </c>
      <c r="C69" s="65" t="s">
        <v>102</v>
      </c>
      <c r="D69" s="55">
        <v>100</v>
      </c>
      <c r="E69" s="55" t="s">
        <v>22</v>
      </c>
      <c r="F69" s="12">
        <v>45614</v>
      </c>
      <c r="G69" s="143"/>
      <c r="H69" s="203">
        <v>45681</v>
      </c>
      <c r="I69" s="42">
        <v>1512.48</v>
      </c>
      <c r="J69" s="1">
        <v>30</v>
      </c>
      <c r="K69" s="2">
        <f>I69/J69</f>
        <v>50.416000000000004</v>
      </c>
      <c r="L69" s="1">
        <v>0</v>
      </c>
      <c r="M69" s="1">
        <v>0</v>
      </c>
      <c r="N69" s="1">
        <v>0</v>
      </c>
      <c r="O69" s="1">
        <v>24</v>
      </c>
      <c r="P69" s="192">
        <f t="shared" ref="P69:P75" si="10">L69+M69+N69+O69</f>
        <v>24</v>
      </c>
      <c r="Q69" s="42">
        <f>K69*50%*L69</f>
        <v>0</v>
      </c>
      <c r="R69" s="42">
        <f>K69*60%*M69</f>
        <v>0</v>
      </c>
      <c r="S69" s="42">
        <f>K69*60%*N69</f>
        <v>0</v>
      </c>
      <c r="T69" s="42">
        <f>K69*75%*O69</f>
        <v>907.48800000000006</v>
      </c>
      <c r="U69" s="42">
        <f>S69+T69</f>
        <v>907.48800000000006</v>
      </c>
      <c r="V69" s="42">
        <f>K69*(M69+O69+L69+N69)*100%</f>
        <v>1209.9840000000002</v>
      </c>
      <c r="W69" s="190"/>
    </row>
    <row r="70" spans="1:24" x14ac:dyDescent="0.25">
      <c r="A70" s="193" t="s">
        <v>129</v>
      </c>
      <c r="B70" s="177"/>
      <c r="C70" s="178"/>
      <c r="D70" s="179"/>
      <c r="E70" s="180"/>
      <c r="F70" s="194"/>
      <c r="G70" s="181"/>
      <c r="H70" s="194"/>
      <c r="I70" s="182"/>
      <c r="J70" s="177" t="s">
        <v>205</v>
      </c>
      <c r="K70" s="184"/>
      <c r="L70" s="183"/>
      <c r="M70" s="183"/>
      <c r="N70" s="183"/>
      <c r="O70" s="183"/>
      <c r="P70" s="192">
        <f t="shared" si="10"/>
        <v>0</v>
      </c>
      <c r="Q70" s="182"/>
      <c r="R70" s="182"/>
      <c r="S70" s="182"/>
      <c r="T70" s="182"/>
      <c r="U70" s="182"/>
      <c r="V70" s="182"/>
      <c r="W70" s="190"/>
    </row>
    <row r="71" spans="1:24" x14ac:dyDescent="0.25">
      <c r="A71" s="197">
        <v>2290</v>
      </c>
      <c r="B71" s="9" t="s">
        <v>54</v>
      </c>
      <c r="C71" s="51"/>
      <c r="D71" s="56"/>
      <c r="E71" s="56"/>
      <c r="F71" s="142"/>
      <c r="G71" s="142"/>
      <c r="H71" s="52"/>
      <c r="I71" s="53"/>
      <c r="J71" s="52"/>
      <c r="K71" s="53"/>
      <c r="L71" s="52"/>
      <c r="M71" s="52"/>
      <c r="N71" s="52"/>
      <c r="O71" s="52"/>
      <c r="P71" s="192">
        <f t="shared" si="10"/>
        <v>0</v>
      </c>
      <c r="Q71" s="10"/>
      <c r="R71" s="10"/>
      <c r="S71" s="10"/>
      <c r="T71" s="10"/>
      <c r="U71" s="11">
        <f>SUM(U53:U69)</f>
        <v>4973.7298062500004</v>
      </c>
      <c r="V71" s="10"/>
      <c r="W71" s="190"/>
    </row>
    <row r="72" spans="1:24" x14ac:dyDescent="0.25">
      <c r="A72" s="196">
        <v>2350</v>
      </c>
      <c r="B72" s="44" t="s">
        <v>127</v>
      </c>
      <c r="C72" s="65" t="s">
        <v>128</v>
      </c>
      <c r="D72" s="55">
        <v>100</v>
      </c>
      <c r="E72" s="55" t="s">
        <v>22</v>
      </c>
      <c r="F72" s="12">
        <v>45617</v>
      </c>
      <c r="G72" s="143">
        <v>45702</v>
      </c>
      <c r="H72" s="12" t="s">
        <v>183</v>
      </c>
      <c r="I72" s="42">
        <v>1323</v>
      </c>
      <c r="J72" s="1">
        <v>30</v>
      </c>
      <c r="K72" s="2">
        <f>I72/J72</f>
        <v>44.1</v>
      </c>
      <c r="L72" s="1">
        <v>0</v>
      </c>
      <c r="M72" s="1">
        <v>0</v>
      </c>
      <c r="N72" s="1">
        <v>0</v>
      </c>
      <c r="O72" s="1">
        <v>31</v>
      </c>
      <c r="P72" s="192">
        <f t="shared" si="10"/>
        <v>31</v>
      </c>
      <c r="Q72" s="42">
        <f>K72*50%*L72</f>
        <v>0</v>
      </c>
      <c r="R72" s="42">
        <f>K72*60%*M72</f>
        <v>0</v>
      </c>
      <c r="S72" s="42">
        <f>K72*60%*N72</f>
        <v>0</v>
      </c>
      <c r="T72" s="42">
        <f>K72*75%*O72</f>
        <v>1025.325</v>
      </c>
      <c r="U72" s="42">
        <f>S72+T72</f>
        <v>1025.325</v>
      </c>
      <c r="V72" s="42">
        <f>K72*(M72+O72+L72+N72)*100%</f>
        <v>1367.1000000000001</v>
      </c>
    </row>
    <row r="73" spans="1:24" x14ac:dyDescent="0.25">
      <c r="A73" s="196">
        <v>2350</v>
      </c>
      <c r="B73" s="44" t="s">
        <v>168</v>
      </c>
      <c r="C73" s="65" t="s">
        <v>167</v>
      </c>
      <c r="D73" s="55">
        <v>300</v>
      </c>
      <c r="E73" s="55" t="s">
        <v>22</v>
      </c>
      <c r="F73" s="12">
        <v>45677</v>
      </c>
      <c r="G73" s="143"/>
      <c r="H73" s="203">
        <v>45685</v>
      </c>
      <c r="I73" s="42">
        <v>396.9</v>
      </c>
      <c r="J73" s="1">
        <v>6</v>
      </c>
      <c r="K73" s="2">
        <f>I73/J73</f>
        <v>66.149999999999991</v>
      </c>
      <c r="L73" s="1">
        <v>3</v>
      </c>
      <c r="M73" s="1">
        <v>6</v>
      </c>
      <c r="N73" s="1">
        <v>0</v>
      </c>
      <c r="O73" s="1">
        <v>0</v>
      </c>
      <c r="P73" s="192">
        <f>L73+M73+N73+O73</f>
        <v>9</v>
      </c>
      <c r="Q73" s="42">
        <f>K73*50%*L73</f>
        <v>99.224999999999994</v>
      </c>
      <c r="R73" s="42">
        <f>K73*60%*M73</f>
        <v>238.13999999999993</v>
      </c>
      <c r="S73" s="42">
        <f>K73*60%*N73</f>
        <v>0</v>
      </c>
      <c r="T73" s="42">
        <f>K73*75%*O73</f>
        <v>0</v>
      </c>
      <c r="U73" s="42">
        <f>S73+T73</f>
        <v>0</v>
      </c>
      <c r="V73" s="42">
        <f>K73*(M73+O73+L73+N73)*100%</f>
        <v>595.34999999999991</v>
      </c>
    </row>
    <row r="74" spans="1:24" x14ac:dyDescent="0.25">
      <c r="A74" s="196">
        <v>2350</v>
      </c>
      <c r="B74" s="44" t="s">
        <v>93</v>
      </c>
      <c r="C74" s="65" t="s">
        <v>94</v>
      </c>
      <c r="D74" s="55">
        <v>100</v>
      </c>
      <c r="E74" s="55" t="s">
        <v>22</v>
      </c>
      <c r="F74" s="12">
        <v>45443</v>
      </c>
      <c r="G74" s="143">
        <v>45695</v>
      </c>
      <c r="H74" s="12" t="s">
        <v>165</v>
      </c>
      <c r="I74" s="42">
        <v>1323</v>
      </c>
      <c r="J74" s="1">
        <v>30</v>
      </c>
      <c r="K74" s="2">
        <f>I74/J74</f>
        <v>44.1</v>
      </c>
      <c r="L74" s="1">
        <v>0</v>
      </c>
      <c r="M74" s="1">
        <v>0</v>
      </c>
      <c r="N74" s="1">
        <v>0</v>
      </c>
      <c r="O74" s="1">
        <v>31</v>
      </c>
      <c r="P74" s="192">
        <f t="shared" si="10"/>
        <v>31</v>
      </c>
      <c r="Q74" s="42">
        <f>K74*50%*L74</f>
        <v>0</v>
      </c>
      <c r="R74" s="42">
        <f>K74*60%*M74</f>
        <v>0</v>
      </c>
      <c r="S74" s="42">
        <f>K74*60%*N74</f>
        <v>0</v>
      </c>
      <c r="T74" s="42">
        <f>K74*75%*O74</f>
        <v>1025.325</v>
      </c>
      <c r="U74" s="42">
        <f>S74+T74</f>
        <v>1025.325</v>
      </c>
      <c r="V74" s="42">
        <f>K74*(M74+O74+L74+N74)*100%</f>
        <v>1367.1000000000001</v>
      </c>
    </row>
    <row r="75" spans="1:24" x14ac:dyDescent="0.25">
      <c r="A75" s="69">
        <v>2350</v>
      </c>
      <c r="B75" s="44" t="s">
        <v>80</v>
      </c>
      <c r="C75" s="65" t="s">
        <v>81</v>
      </c>
      <c r="D75" s="55">
        <v>100</v>
      </c>
      <c r="E75" s="55" t="s">
        <v>22</v>
      </c>
      <c r="F75" s="40">
        <v>45639</v>
      </c>
      <c r="G75" s="143">
        <v>45695</v>
      </c>
      <c r="H75" s="12" t="s">
        <v>166</v>
      </c>
      <c r="I75" s="19">
        <v>1323</v>
      </c>
      <c r="J75" s="20">
        <v>30</v>
      </c>
      <c r="K75" s="2">
        <f>I75/J75</f>
        <v>44.1</v>
      </c>
      <c r="L75" s="20">
        <v>0</v>
      </c>
      <c r="M75" s="20">
        <v>0</v>
      </c>
      <c r="N75" s="20">
        <v>0</v>
      </c>
      <c r="O75" s="20">
        <v>31</v>
      </c>
      <c r="P75" s="192">
        <f t="shared" si="10"/>
        <v>31</v>
      </c>
      <c r="Q75" s="42">
        <f>K75*50%*L75</f>
        <v>0</v>
      </c>
      <c r="R75" s="42">
        <f>K75*60%*M75</f>
        <v>0</v>
      </c>
      <c r="S75" s="42">
        <f>K75*60%*N75</f>
        <v>0</v>
      </c>
      <c r="T75" s="42">
        <f>K75*75%*O75</f>
        <v>1025.325</v>
      </c>
      <c r="U75" s="42">
        <f>S75+T75</f>
        <v>1025.325</v>
      </c>
      <c r="V75" s="42">
        <f>K75*(M75+O75+L75+N75)*100%</f>
        <v>1367.1000000000001</v>
      </c>
      <c r="W75" s="202"/>
      <c r="X75" s="202"/>
    </row>
    <row r="76" spans="1:24" x14ac:dyDescent="0.25">
      <c r="A76" s="89">
        <v>2350</v>
      </c>
      <c r="B76" s="68" t="s">
        <v>66</v>
      </c>
      <c r="C76" s="66" t="s">
        <v>67</v>
      </c>
      <c r="D76" s="205">
        <v>100</v>
      </c>
      <c r="E76" s="84" t="s">
        <v>22</v>
      </c>
      <c r="F76" s="141">
        <v>45547</v>
      </c>
      <c r="G76" s="141"/>
      <c r="H76" s="147">
        <v>45658</v>
      </c>
      <c r="I76" s="85"/>
      <c r="J76" s="85"/>
      <c r="K76" s="85"/>
      <c r="L76" s="199"/>
      <c r="M76" s="199"/>
      <c r="N76" s="199"/>
      <c r="O76" s="85"/>
      <c r="P76" s="83"/>
      <c r="Q76" s="83" t="s">
        <v>63</v>
      </c>
      <c r="R76" s="68"/>
      <c r="S76" s="68"/>
      <c r="T76" s="68"/>
      <c r="U76" s="85"/>
      <c r="V76" s="68"/>
    </row>
    <row r="77" spans="1:24" x14ac:dyDescent="0.25">
      <c r="A77" s="89">
        <v>2350</v>
      </c>
      <c r="B77" s="68" t="s">
        <v>66</v>
      </c>
      <c r="C77" s="66" t="s">
        <v>67</v>
      </c>
      <c r="D77" s="205">
        <v>100</v>
      </c>
      <c r="E77" s="84" t="s">
        <v>22</v>
      </c>
      <c r="F77" s="141">
        <v>45659</v>
      </c>
      <c r="G77" s="141"/>
      <c r="H77" s="147">
        <v>45679</v>
      </c>
      <c r="I77" s="85"/>
      <c r="J77" s="85"/>
      <c r="K77" s="85"/>
      <c r="L77" s="199"/>
      <c r="M77" s="199"/>
      <c r="N77" s="199"/>
      <c r="O77" s="85"/>
      <c r="P77" s="83"/>
      <c r="Q77" s="83" t="s">
        <v>72</v>
      </c>
      <c r="R77" s="68"/>
      <c r="S77" s="68"/>
      <c r="T77" s="68"/>
      <c r="U77" s="85"/>
      <c r="V77" s="68"/>
    </row>
    <row r="78" spans="1:24" x14ac:dyDescent="0.25">
      <c r="A78" s="197">
        <v>2350</v>
      </c>
      <c r="B78" s="9" t="s">
        <v>78</v>
      </c>
      <c r="C78" s="51"/>
      <c r="D78" s="56"/>
      <c r="E78" s="56"/>
      <c r="F78" s="142"/>
      <c r="G78" s="142"/>
      <c r="H78" s="52"/>
      <c r="I78" s="53"/>
      <c r="J78" s="52"/>
      <c r="K78" s="53"/>
      <c r="L78" s="52"/>
      <c r="M78" s="52"/>
      <c r="N78" s="52"/>
      <c r="O78" s="52"/>
      <c r="P78" s="192">
        <f>L78+M78+N78+O78</f>
        <v>0</v>
      </c>
      <c r="Q78" s="10"/>
      <c r="R78" s="10"/>
      <c r="S78" s="10"/>
      <c r="T78" s="10"/>
      <c r="U78" s="11">
        <f>SUM(U72:U77)</f>
        <v>3075.9750000000004</v>
      </c>
      <c r="V78" s="10"/>
    </row>
    <row r="79" spans="1:24" x14ac:dyDescent="0.25">
      <c r="A79" s="196">
        <v>2357</v>
      </c>
      <c r="B79" s="44" t="s">
        <v>200</v>
      </c>
      <c r="C79" s="65" t="s">
        <v>201</v>
      </c>
      <c r="D79" s="55">
        <v>200</v>
      </c>
      <c r="E79" s="55" t="s">
        <v>22</v>
      </c>
      <c r="F79" s="12">
        <v>45671</v>
      </c>
      <c r="G79" s="143">
        <v>45713</v>
      </c>
      <c r="H79" s="12" t="s">
        <v>235</v>
      </c>
      <c r="I79" s="42">
        <v>4804.24</v>
      </c>
      <c r="J79" s="1">
        <v>92</v>
      </c>
      <c r="K79" s="2">
        <f>I79/J79</f>
        <v>52.22</v>
      </c>
      <c r="L79" s="1">
        <v>3</v>
      </c>
      <c r="M79" s="1">
        <v>12</v>
      </c>
      <c r="N79" s="1">
        <v>3</v>
      </c>
      <c r="O79" s="1">
        <v>0</v>
      </c>
      <c r="P79" s="192">
        <f>L79+M79+N79+O79</f>
        <v>18</v>
      </c>
      <c r="Q79" s="42">
        <f>K79*50%*L79</f>
        <v>78.33</v>
      </c>
      <c r="R79" s="42">
        <f>K79*60%*M79</f>
        <v>375.98399999999998</v>
      </c>
      <c r="S79" s="42">
        <f>K79*60%*N79</f>
        <v>93.995999999999995</v>
      </c>
      <c r="T79" s="42">
        <f>K79*75%*O79</f>
        <v>0</v>
      </c>
      <c r="U79" s="42">
        <f>S79+T79</f>
        <v>93.995999999999995</v>
      </c>
      <c r="V79" s="42">
        <f>K79*(M79+O79+L79+N79)*100%</f>
        <v>939.96</v>
      </c>
    </row>
    <row r="80" spans="1:24" s="185" customFormat="1" x14ac:dyDescent="0.25">
      <c r="A80" s="195">
        <v>2357</v>
      </c>
      <c r="B80" s="9" t="s">
        <v>199</v>
      </c>
      <c r="C80" s="51"/>
      <c r="D80" s="56"/>
      <c r="E80" s="56"/>
      <c r="F80" s="142"/>
      <c r="G80" s="142"/>
      <c r="H80" s="52"/>
      <c r="I80" s="53"/>
      <c r="J80" s="52"/>
      <c r="K80" s="53"/>
      <c r="L80" s="52"/>
      <c r="M80" s="52"/>
      <c r="N80" s="52"/>
      <c r="O80" s="52"/>
      <c r="P80" s="192">
        <f>L80+M80+N80+O80</f>
        <v>0</v>
      </c>
      <c r="Q80" s="10"/>
      <c r="R80" s="10"/>
      <c r="S80" s="10"/>
      <c r="T80" s="10"/>
      <c r="U80" s="11">
        <f>SUM(U79)</f>
        <v>93.995999999999995</v>
      </c>
      <c r="V80" s="10"/>
    </row>
    <row r="81" spans="1:22" ht="14.25" customHeight="1" x14ac:dyDescent="0.25">
      <c r="A81" s="90">
        <v>2375</v>
      </c>
      <c r="B81" s="8" t="s">
        <v>224</v>
      </c>
      <c r="C81" s="65" t="s">
        <v>225</v>
      </c>
      <c r="D81" s="75" t="s">
        <v>52</v>
      </c>
      <c r="E81" s="55" t="s">
        <v>22</v>
      </c>
      <c r="F81" s="12">
        <v>45667</v>
      </c>
      <c r="G81" s="143"/>
      <c r="H81" s="203">
        <v>45681</v>
      </c>
      <c r="I81" s="42">
        <v>1593.72</v>
      </c>
      <c r="J81" s="1">
        <v>30</v>
      </c>
      <c r="K81" s="2">
        <f>I81/J81</f>
        <v>53.124000000000002</v>
      </c>
      <c r="L81" s="1">
        <v>3</v>
      </c>
      <c r="M81" s="1">
        <v>12</v>
      </c>
      <c r="N81" s="1">
        <v>0</v>
      </c>
      <c r="O81" s="1">
        <v>0</v>
      </c>
      <c r="P81" s="192">
        <f>L81+M81+N81+O81</f>
        <v>15</v>
      </c>
      <c r="Q81" s="42">
        <f>K81*50%*L81</f>
        <v>79.686000000000007</v>
      </c>
      <c r="R81" s="42">
        <f>K81*60%*M81</f>
        <v>382.49279999999999</v>
      </c>
      <c r="S81" s="42">
        <f>K81*60%*N81</f>
        <v>0</v>
      </c>
      <c r="T81" s="42">
        <f>K81*75%*O81</f>
        <v>0</v>
      </c>
      <c r="U81" s="42">
        <f>S81+T81</f>
        <v>0</v>
      </c>
      <c r="V81" s="42">
        <f>K81*(M81+O81+L81+N81)*100%</f>
        <v>796.86</v>
      </c>
    </row>
    <row r="82" spans="1:22" x14ac:dyDescent="0.25">
      <c r="A82" s="195">
        <v>2375</v>
      </c>
      <c r="B82" s="9" t="s">
        <v>223</v>
      </c>
      <c r="C82" s="51">
        <v>38120237336</v>
      </c>
      <c r="D82" s="56"/>
      <c r="E82" s="56"/>
      <c r="F82" s="142"/>
      <c r="G82" s="142"/>
      <c r="H82" s="52"/>
      <c r="I82" s="53"/>
      <c r="J82" s="52"/>
      <c r="K82" s="53"/>
      <c r="L82" s="52"/>
      <c r="M82" s="52"/>
      <c r="N82" s="52"/>
      <c r="O82" s="52"/>
      <c r="P82" s="192">
        <f>L82+M82+N82+O82</f>
        <v>0</v>
      </c>
      <c r="Q82" s="10"/>
      <c r="R82" s="10"/>
      <c r="S82" s="10"/>
      <c r="T82" s="10"/>
      <c r="U82" s="11">
        <f>SUM(U75:U81)</f>
        <v>4289.2920000000004</v>
      </c>
      <c r="V82" s="10"/>
    </row>
    <row r="83" spans="1:22" x14ac:dyDescent="0.25">
      <c r="A83" s="91"/>
      <c r="B83" s="14" t="s">
        <v>24</v>
      </c>
      <c r="C83" s="15"/>
      <c r="D83" s="57"/>
      <c r="E83" s="57"/>
      <c r="F83" s="145"/>
      <c r="G83" s="145"/>
      <c r="H83" s="67"/>
      <c r="I83" s="16"/>
      <c r="J83" s="17"/>
      <c r="K83" s="17"/>
      <c r="L83" s="17"/>
      <c r="M83" s="17"/>
      <c r="N83" s="17"/>
      <c r="O83" s="17"/>
      <c r="P83" s="18"/>
      <c r="Q83" s="16"/>
      <c r="R83" s="43"/>
      <c r="S83" s="43"/>
      <c r="T83" s="43"/>
      <c r="U83" s="43"/>
      <c r="V83" s="43"/>
    </row>
    <row r="84" spans="1:22" x14ac:dyDescent="0.25">
      <c r="A84" s="90">
        <v>2442</v>
      </c>
      <c r="B84" s="8" t="s">
        <v>82</v>
      </c>
      <c r="C84" s="65" t="s">
        <v>83</v>
      </c>
      <c r="D84" s="55"/>
      <c r="E84" s="55" t="s">
        <v>71</v>
      </c>
      <c r="F84" s="12">
        <v>45385</v>
      </c>
      <c r="G84" s="144">
        <v>45694</v>
      </c>
      <c r="H84" s="146" t="s">
        <v>148</v>
      </c>
      <c r="I84" s="19"/>
      <c r="J84" s="20"/>
      <c r="K84" s="20"/>
      <c r="L84" s="100" t="s">
        <v>91</v>
      </c>
      <c r="M84" s="86"/>
      <c r="N84" s="86"/>
      <c r="O84" s="86"/>
      <c r="P84" s="73"/>
      <c r="Q84" s="73"/>
      <c r="R84" s="73"/>
      <c r="S84" s="73"/>
      <c r="T84" s="73"/>
      <c r="U84" s="86"/>
      <c r="V84" s="74"/>
    </row>
    <row r="85" spans="1:22" x14ac:dyDescent="0.25">
      <c r="A85" s="92">
        <v>2442</v>
      </c>
      <c r="B85" s="21" t="s">
        <v>84</v>
      </c>
      <c r="C85" s="22"/>
      <c r="D85" s="13"/>
      <c r="E85" s="13"/>
      <c r="F85" s="70"/>
      <c r="G85" s="70"/>
      <c r="H85" s="13"/>
      <c r="I85" s="41"/>
      <c r="J85" s="13"/>
      <c r="K85" s="13"/>
      <c r="L85" s="13"/>
      <c r="M85" s="13"/>
      <c r="N85" s="13"/>
      <c r="O85" s="13"/>
      <c r="P85" s="13"/>
      <c r="Q85" s="198"/>
      <c r="R85" s="198"/>
      <c r="S85" s="198"/>
      <c r="T85" s="198"/>
      <c r="U85" s="198">
        <v>0</v>
      </c>
      <c r="V85" s="198"/>
    </row>
    <row r="86" spans="1:22" ht="15.75" thickBot="1" x14ac:dyDescent="0.3">
      <c r="A86" s="87"/>
      <c r="C86" s="23"/>
      <c r="D86" s="58"/>
      <c r="F86" s="23"/>
      <c r="G86" s="23"/>
      <c r="H86" s="23"/>
      <c r="I86" s="72"/>
      <c r="J86" s="23"/>
      <c r="K86" s="23"/>
      <c r="L86" s="23"/>
      <c r="M86" s="23"/>
      <c r="N86" s="23"/>
      <c r="O86" s="23"/>
      <c r="P86" s="23"/>
      <c r="Q86" s="72"/>
      <c r="R86" s="72"/>
      <c r="S86" s="72"/>
      <c r="T86" s="72"/>
      <c r="U86" s="72"/>
      <c r="V86" s="72"/>
    </row>
    <row r="87" spans="1:22" ht="15.75" thickBot="1" x14ac:dyDescent="0.3">
      <c r="A87" s="87"/>
      <c r="C87" s="23"/>
      <c r="D87" s="58"/>
      <c r="E87" s="23"/>
      <c r="F87" s="23"/>
      <c r="G87" s="23"/>
      <c r="H87" s="160" t="s">
        <v>25</v>
      </c>
      <c r="I87" s="161"/>
      <c r="J87" s="101"/>
      <c r="K87" s="102"/>
      <c r="L87" s="103"/>
      <c r="M87" s="104"/>
      <c r="N87" s="38"/>
      <c r="O87" s="38"/>
      <c r="P87" s="105"/>
      <c r="Q87" s="106"/>
      <c r="R87" s="107"/>
      <c r="S87" s="108"/>
      <c r="T87" s="108"/>
      <c r="U87" s="25"/>
      <c r="V87" s="109"/>
    </row>
    <row r="88" spans="1:22" x14ac:dyDescent="0.25">
      <c r="A88" s="93"/>
      <c r="B88" s="46"/>
      <c r="C88" s="46" t="s">
        <v>26</v>
      </c>
      <c r="D88" s="59"/>
      <c r="E88" s="46"/>
      <c r="F88" s="46"/>
      <c r="G88" s="47"/>
      <c r="H88" s="162"/>
      <c r="I88" s="163"/>
      <c r="J88" s="79" t="s">
        <v>27</v>
      </c>
      <c r="K88" s="110"/>
      <c r="L88" s="111"/>
      <c r="M88" s="110"/>
      <c r="N88" s="111"/>
      <c r="O88" s="111"/>
      <c r="P88" s="112"/>
      <c r="Q88" s="113"/>
      <c r="R88" s="110"/>
      <c r="S88" s="113"/>
      <c r="T88" s="114"/>
      <c r="U88" s="45"/>
      <c r="V88" s="115"/>
    </row>
    <row r="89" spans="1:22" x14ac:dyDescent="0.25">
      <c r="A89" s="94"/>
      <c r="B89" s="27"/>
      <c r="C89" s="27" t="s">
        <v>28</v>
      </c>
      <c r="D89" s="60"/>
      <c r="E89" s="28"/>
      <c r="F89" s="27"/>
      <c r="G89" s="48"/>
      <c r="H89" s="164" t="s">
        <v>29</v>
      </c>
      <c r="I89" s="165"/>
      <c r="J89" s="117" t="s">
        <v>30</v>
      </c>
      <c r="K89" s="116"/>
      <c r="L89" s="118"/>
      <c r="M89" s="116"/>
      <c r="N89" s="118"/>
      <c r="O89" s="118"/>
      <c r="P89" s="119"/>
      <c r="Q89" s="120"/>
      <c r="R89" s="116"/>
      <c r="S89" s="120"/>
      <c r="T89" s="121"/>
      <c r="U89" s="29"/>
      <c r="V89" s="122"/>
    </row>
    <row r="90" spans="1:22" ht="15.75" thickBot="1" x14ac:dyDescent="0.3">
      <c r="A90" s="95"/>
      <c r="B90" s="30"/>
      <c r="C90" s="30" t="s">
        <v>31</v>
      </c>
      <c r="D90" s="61"/>
      <c r="E90" s="30"/>
      <c r="F90" s="30"/>
      <c r="G90" s="49"/>
      <c r="H90" s="166"/>
      <c r="I90" s="167"/>
      <c r="J90" s="82" t="s">
        <v>32</v>
      </c>
      <c r="K90" s="123"/>
      <c r="L90" s="124"/>
      <c r="M90" s="123"/>
      <c r="N90" s="124"/>
      <c r="O90" s="124"/>
      <c r="P90" s="125"/>
      <c r="Q90" s="123"/>
      <c r="R90" s="123"/>
      <c r="S90" s="123"/>
      <c r="T90" s="126"/>
      <c r="U90" s="31"/>
      <c r="V90" s="127"/>
    </row>
    <row r="91" spans="1:22" x14ac:dyDescent="0.25">
      <c r="A91" s="156"/>
      <c r="B91" s="157"/>
      <c r="C91" s="157" t="s">
        <v>33</v>
      </c>
      <c r="D91" s="158"/>
      <c r="E91" s="157"/>
      <c r="F91" s="157"/>
      <c r="G91" s="159"/>
      <c r="H91" s="168" t="s">
        <v>34</v>
      </c>
      <c r="I91" s="169"/>
      <c r="J91" s="129"/>
      <c r="K91" s="129"/>
      <c r="L91" s="129"/>
      <c r="M91" s="129"/>
      <c r="N91" s="129"/>
      <c r="O91" s="129"/>
      <c r="P91" s="130"/>
      <c r="Q91" s="128"/>
      <c r="R91" s="128"/>
      <c r="S91" s="128"/>
      <c r="T91" s="131"/>
      <c r="U91" s="32"/>
      <c r="V91" s="132"/>
    </row>
    <row r="92" spans="1:22" ht="15.75" thickBot="1" x14ac:dyDescent="0.3">
      <c r="A92" s="96"/>
      <c r="B92" s="201"/>
      <c r="C92" s="76" t="s">
        <v>35</v>
      </c>
      <c r="D92" s="77"/>
      <c r="E92" s="76"/>
      <c r="F92" s="76"/>
      <c r="G92" s="78"/>
      <c r="H92" s="170" t="s">
        <v>36</v>
      </c>
      <c r="I92" s="171"/>
      <c r="J92" s="134"/>
      <c r="K92" s="134"/>
      <c r="L92" s="134"/>
      <c r="M92" s="134"/>
      <c r="N92" s="134"/>
      <c r="O92" s="134"/>
      <c r="P92" s="135"/>
      <c r="Q92" s="133"/>
      <c r="R92" s="133"/>
      <c r="S92" s="133"/>
      <c r="T92" s="136"/>
      <c r="U92" s="33"/>
      <c r="V92" s="137"/>
    </row>
    <row r="93" spans="1:22" ht="15.75" thickBot="1" x14ac:dyDescent="0.3">
      <c r="A93" s="97"/>
      <c r="B93" s="34"/>
      <c r="C93" s="34" t="s">
        <v>37</v>
      </c>
      <c r="D93" s="62"/>
      <c r="E93" s="34"/>
      <c r="F93" s="34"/>
      <c r="G93" s="50"/>
      <c r="H93" s="172" t="s">
        <v>38</v>
      </c>
      <c r="I93" s="165"/>
      <c r="J93" s="117" t="s">
        <v>30</v>
      </c>
      <c r="K93" s="116"/>
      <c r="L93" s="118"/>
      <c r="M93" s="116"/>
      <c r="N93" s="118"/>
      <c r="O93" s="118"/>
      <c r="P93" s="119"/>
      <c r="Q93" s="120"/>
      <c r="R93" s="116"/>
      <c r="S93" s="120"/>
      <c r="T93" s="121"/>
      <c r="U93" s="29"/>
      <c r="V93" s="122"/>
    </row>
    <row r="94" spans="1:22" ht="15.75" thickBot="1" x14ac:dyDescent="0.3">
      <c r="A94" s="98"/>
      <c r="B94" s="35" t="s">
        <v>39</v>
      </c>
      <c r="C94" s="36"/>
      <c r="D94" s="63"/>
      <c r="E94" s="36"/>
      <c r="F94" s="36"/>
      <c r="G94" s="37"/>
      <c r="H94" s="173"/>
      <c r="I94" s="174"/>
      <c r="J94" s="80" t="s">
        <v>40</v>
      </c>
      <c r="K94" s="104"/>
      <c r="L94" s="103"/>
      <c r="M94" s="104"/>
      <c r="N94" s="103"/>
      <c r="O94" s="103"/>
      <c r="P94" s="138"/>
      <c r="Q94" s="104"/>
      <c r="R94" s="104"/>
      <c r="S94" s="104"/>
      <c r="T94" s="139"/>
      <c r="U94" s="26"/>
      <c r="V94" s="140"/>
    </row>
    <row r="95" spans="1:22" ht="15.75" thickBot="1" x14ac:dyDescent="0.3">
      <c r="A95" s="148"/>
      <c r="B95" s="152" t="s">
        <v>57</v>
      </c>
      <c r="C95" s="149"/>
      <c r="D95" s="150"/>
      <c r="E95" s="149"/>
      <c r="F95" s="149"/>
      <c r="G95" s="151"/>
      <c r="H95" s="173"/>
      <c r="I95" s="174"/>
      <c r="J95" s="80" t="s">
        <v>41</v>
      </c>
      <c r="K95" s="104"/>
      <c r="L95" s="103"/>
      <c r="M95" s="104"/>
      <c r="N95" s="103"/>
      <c r="O95" s="103"/>
      <c r="P95" s="138"/>
      <c r="Q95" s="104"/>
      <c r="R95" s="104"/>
      <c r="S95" s="104"/>
      <c r="T95" s="139"/>
      <c r="U95" s="26"/>
      <c r="V95" s="140"/>
    </row>
    <row r="96" spans="1:22" ht="15.75" thickBot="1" x14ac:dyDescent="0.3">
      <c r="A96" s="290" t="s">
        <v>123</v>
      </c>
      <c r="B96" s="291"/>
      <c r="C96" s="291"/>
      <c r="D96" s="291"/>
      <c r="E96" s="291"/>
      <c r="F96" s="291"/>
      <c r="G96" s="292"/>
      <c r="H96" s="166"/>
      <c r="I96" s="167"/>
      <c r="J96" s="82" t="s">
        <v>42</v>
      </c>
      <c r="K96" s="123"/>
      <c r="L96" s="124"/>
      <c r="M96" s="123"/>
      <c r="N96" s="124"/>
      <c r="O96" s="124"/>
      <c r="P96" s="125"/>
      <c r="Q96" s="123"/>
      <c r="R96" s="123"/>
      <c r="S96" s="123"/>
      <c r="T96" s="126"/>
      <c r="U96" s="31"/>
      <c r="V96" s="127"/>
    </row>
    <row r="97" spans="1:22" x14ac:dyDescent="0.25">
      <c r="A97" s="87"/>
      <c r="C97" s="23"/>
      <c r="D97" s="58"/>
      <c r="E97" s="23"/>
      <c r="F97" s="23"/>
      <c r="G97" s="23"/>
      <c r="H97" s="172" t="s">
        <v>43</v>
      </c>
      <c r="I97" s="165"/>
      <c r="J97" s="117" t="s">
        <v>44</v>
      </c>
      <c r="K97" s="116"/>
      <c r="L97" s="118"/>
      <c r="M97" s="116"/>
      <c r="N97" s="118"/>
      <c r="O97" s="118"/>
      <c r="P97" s="119"/>
      <c r="Q97" s="120"/>
      <c r="R97" s="116"/>
      <c r="S97" s="120"/>
      <c r="T97" s="121"/>
      <c r="U97" s="29"/>
      <c r="V97" s="122"/>
    </row>
    <row r="98" spans="1:22" x14ac:dyDescent="0.25">
      <c r="A98" s="99"/>
      <c r="B98" s="38"/>
      <c r="C98" s="39"/>
      <c r="D98" s="64"/>
      <c r="E98" s="24"/>
      <c r="F98" s="71"/>
      <c r="G98" s="71"/>
      <c r="H98" s="173"/>
      <c r="I98" s="174"/>
      <c r="J98" s="80" t="s">
        <v>45</v>
      </c>
      <c r="K98" s="104"/>
      <c r="L98" s="103"/>
      <c r="M98" s="104"/>
      <c r="N98" s="103"/>
      <c r="O98" s="103"/>
      <c r="P98" s="138"/>
      <c r="Q98" s="104"/>
      <c r="R98" s="104"/>
      <c r="S98" s="104"/>
      <c r="T98" s="139"/>
      <c r="U98" s="26"/>
      <c r="V98" s="140"/>
    </row>
    <row r="99" spans="1:22" x14ac:dyDescent="0.25">
      <c r="A99" s="87"/>
      <c r="C99" s="23"/>
      <c r="D99" s="58"/>
      <c r="E99" s="23"/>
      <c r="F99" s="23"/>
      <c r="G99" s="23"/>
      <c r="H99" s="173"/>
      <c r="I99" s="174"/>
      <c r="J99" s="80" t="s">
        <v>46</v>
      </c>
      <c r="K99" s="104"/>
      <c r="L99" s="103"/>
      <c r="M99" s="104"/>
      <c r="N99" s="103"/>
      <c r="O99" s="103"/>
      <c r="P99" s="138"/>
      <c r="Q99" s="104"/>
      <c r="R99" s="104"/>
      <c r="S99" s="104"/>
      <c r="T99" s="139"/>
      <c r="U99" s="26"/>
      <c r="V99" s="140"/>
    </row>
    <row r="100" spans="1:22" ht="15.75" thickBot="1" x14ac:dyDescent="0.3">
      <c r="A100" s="87"/>
      <c r="C100" s="23"/>
      <c r="D100" s="58"/>
      <c r="E100" s="23"/>
      <c r="F100" s="23"/>
      <c r="G100" s="23"/>
      <c r="H100" s="175"/>
      <c r="I100" s="176"/>
      <c r="J100" s="82" t="s">
        <v>47</v>
      </c>
      <c r="K100" s="123"/>
      <c r="L100" s="124"/>
      <c r="M100" s="123"/>
      <c r="N100" s="124"/>
      <c r="O100" s="124"/>
      <c r="P100" s="125"/>
      <c r="Q100" s="123"/>
      <c r="R100" s="123"/>
      <c r="S100" s="123"/>
      <c r="T100" s="126"/>
      <c r="U100" s="31"/>
      <c r="V100" s="127"/>
    </row>
  </sheetData>
  <mergeCells count="1">
    <mergeCell ref="A96:G96"/>
  </mergeCells>
  <pageMargins left="0.31496062992125984" right="0.31496062992125984" top="0.31496062992125984" bottom="0.31496062992125984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2"/>
  <sheetViews>
    <sheetView topLeftCell="A43" zoomScale="150" zoomScaleNormal="150" workbookViewId="0">
      <selection activeCell="A48" sqref="A48:IV49"/>
    </sheetView>
  </sheetViews>
  <sheetFormatPr baseColWidth="10" defaultRowHeight="15" x14ac:dyDescent="0.25"/>
  <cols>
    <col min="1" max="1" width="3.85546875" customWidth="1"/>
    <col min="2" max="2" width="19.85546875" customWidth="1"/>
    <col min="3" max="3" width="11.140625" customWidth="1"/>
    <col min="4" max="4" width="3.5703125" style="23" customWidth="1"/>
    <col min="5" max="5" width="2.85546875" customWidth="1"/>
    <col min="6" max="7" width="8.85546875" customWidth="1"/>
    <col min="8" max="8" width="9.5703125" customWidth="1"/>
    <col min="9" max="9" width="7.140625" customWidth="1"/>
    <col min="10" max="10" width="3.5703125" customWidth="1"/>
    <col min="11" max="11" width="5.140625" bestFit="1" customWidth="1"/>
    <col min="12" max="12" width="3.140625" customWidth="1"/>
    <col min="13" max="13" width="2.5703125" customWidth="1"/>
    <col min="14" max="14" width="3" bestFit="1" customWidth="1"/>
    <col min="15" max="15" width="2.42578125" customWidth="1"/>
    <col min="16" max="16" width="3" bestFit="1" customWidth="1"/>
    <col min="17" max="18" width="5.85546875" customWidth="1"/>
    <col min="19" max="19" width="5.42578125" customWidth="1"/>
    <col min="20" max="20" width="7" bestFit="1" customWidth="1"/>
    <col min="21" max="21" width="6.42578125" customWidth="1"/>
    <col min="22" max="22" width="6.140625" customWidth="1"/>
  </cols>
  <sheetData>
    <row r="1" spans="1:22" x14ac:dyDescent="0.25">
      <c r="A1" s="87"/>
      <c r="B1" s="81" t="s">
        <v>204</v>
      </c>
      <c r="C1" s="4">
        <v>45716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2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2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2" x14ac:dyDescent="0.25">
      <c r="A4" s="89">
        <v>8</v>
      </c>
      <c r="B4" s="68" t="s">
        <v>77</v>
      </c>
      <c r="C4" s="66">
        <v>381058368283</v>
      </c>
      <c r="D4" s="205">
        <v>189</v>
      </c>
      <c r="E4" s="84" t="s">
        <v>22</v>
      </c>
      <c r="F4" s="141">
        <v>45586</v>
      </c>
      <c r="G4" s="141"/>
      <c r="H4" s="147">
        <v>45697</v>
      </c>
      <c r="I4" s="85"/>
      <c r="J4" s="85"/>
      <c r="K4" s="85"/>
      <c r="L4" s="85"/>
      <c r="M4" s="85"/>
      <c r="N4" s="85"/>
      <c r="O4" s="85"/>
      <c r="P4" s="192">
        <f>L4+M4+N4+O4</f>
        <v>0</v>
      </c>
      <c r="Q4" s="83" t="s">
        <v>92</v>
      </c>
      <c r="R4" s="68"/>
      <c r="S4" s="68"/>
      <c r="T4" s="68"/>
      <c r="U4" s="85"/>
      <c r="V4" s="68"/>
    </row>
    <row r="5" spans="1:22" s="185" customFormat="1" x14ac:dyDescent="0.25">
      <c r="A5" s="193" t="s">
        <v>125</v>
      </c>
      <c r="B5" s="177"/>
      <c r="C5" s="178"/>
      <c r="D5" s="179"/>
      <c r="E5" s="180"/>
      <c r="F5" s="194"/>
      <c r="G5" s="181"/>
      <c r="H5" s="194"/>
      <c r="I5" s="182"/>
      <c r="J5" s="183"/>
      <c r="K5" s="184"/>
      <c r="L5" s="183"/>
      <c r="M5" s="183"/>
      <c r="N5" s="183"/>
      <c r="O5" s="183"/>
      <c r="P5" s="192">
        <f>L5+M5+N5+O5</f>
        <v>0</v>
      </c>
      <c r="Q5" s="182"/>
      <c r="R5" s="182"/>
      <c r="S5" s="182"/>
      <c r="T5" s="182"/>
      <c r="U5" s="182"/>
      <c r="V5" s="182"/>
    </row>
    <row r="6" spans="1:22" x14ac:dyDescent="0.25">
      <c r="A6" s="89">
        <v>8</v>
      </c>
      <c r="B6" s="68" t="s">
        <v>77</v>
      </c>
      <c r="C6" s="66">
        <v>381058368283</v>
      </c>
      <c r="D6" s="205">
        <v>189</v>
      </c>
      <c r="E6" s="84" t="s">
        <v>22</v>
      </c>
      <c r="F6" s="141">
        <v>45698</v>
      </c>
      <c r="G6" s="141"/>
      <c r="H6" s="147">
        <v>45716</v>
      </c>
      <c r="I6" s="85"/>
      <c r="J6" s="85"/>
      <c r="K6" s="85"/>
      <c r="L6" s="85"/>
      <c r="M6" s="85"/>
      <c r="N6" s="85"/>
      <c r="O6" s="85"/>
      <c r="P6" s="192">
        <f>L6+M6+N6+O6</f>
        <v>0</v>
      </c>
      <c r="Q6" s="83" t="s">
        <v>72</v>
      </c>
      <c r="R6" s="68"/>
      <c r="S6" s="68"/>
      <c r="T6" s="68"/>
      <c r="U6" s="85"/>
      <c r="V6" s="68"/>
    </row>
    <row r="7" spans="1:22" s="185" customFormat="1" x14ac:dyDescent="0.25">
      <c r="A7" s="193" t="s">
        <v>125</v>
      </c>
      <c r="B7" s="177"/>
      <c r="C7" s="178"/>
      <c r="D7" s="179"/>
      <c r="E7" s="180"/>
      <c r="F7" s="194"/>
      <c r="G7" s="181"/>
      <c r="H7" s="194"/>
      <c r="I7" s="182"/>
      <c r="J7" s="183"/>
      <c r="K7" s="184"/>
      <c r="L7" s="183"/>
      <c r="M7" s="183"/>
      <c r="N7" s="183"/>
      <c r="O7" s="183"/>
      <c r="P7" s="192">
        <f>L7+M7+N7+O7</f>
        <v>0</v>
      </c>
      <c r="Q7" s="182"/>
      <c r="R7" s="182"/>
      <c r="S7" s="182"/>
      <c r="T7" s="182"/>
      <c r="U7" s="182"/>
      <c r="V7" s="182"/>
    </row>
    <row r="8" spans="1:22" x14ac:dyDescent="0.25">
      <c r="A8" s="89">
        <v>8</v>
      </c>
      <c r="B8" s="68" t="s">
        <v>130</v>
      </c>
      <c r="C8" s="66">
        <v>381055494659</v>
      </c>
      <c r="D8" s="205">
        <v>100</v>
      </c>
      <c r="E8" s="84" t="s">
        <v>22</v>
      </c>
      <c r="F8" s="141">
        <v>45642</v>
      </c>
      <c r="G8" s="141"/>
      <c r="H8" s="147">
        <v>45753</v>
      </c>
      <c r="I8" s="85"/>
      <c r="J8" s="85"/>
      <c r="K8" s="85"/>
      <c r="L8" s="85"/>
      <c r="M8" s="85"/>
      <c r="N8" s="85"/>
      <c r="O8" s="85"/>
      <c r="P8" s="192"/>
      <c r="Q8" s="83" t="s">
        <v>48</v>
      </c>
      <c r="R8" s="68"/>
      <c r="S8" s="68"/>
      <c r="T8" s="68"/>
      <c r="U8" s="85"/>
      <c r="V8" s="68"/>
    </row>
    <row r="9" spans="1:22" x14ac:dyDescent="0.25">
      <c r="A9" s="187">
        <v>8</v>
      </c>
      <c r="B9" s="44" t="s">
        <v>58</v>
      </c>
      <c r="C9" s="65" t="s">
        <v>59</v>
      </c>
      <c r="D9" s="75" t="s">
        <v>52</v>
      </c>
      <c r="E9" s="55" t="s">
        <v>22</v>
      </c>
      <c r="F9" s="191">
        <v>45183</v>
      </c>
      <c r="G9" s="143"/>
      <c r="H9" s="203">
        <v>45715</v>
      </c>
      <c r="I9" s="42">
        <v>2075.7399999999998</v>
      </c>
      <c r="J9" s="1">
        <v>30</v>
      </c>
      <c r="K9" s="2">
        <f>I9/J9</f>
        <v>69.191333333333333</v>
      </c>
      <c r="L9" s="1">
        <v>0</v>
      </c>
      <c r="M9" s="1">
        <v>0</v>
      </c>
      <c r="N9" s="1">
        <v>0</v>
      </c>
      <c r="O9" s="1">
        <v>18</v>
      </c>
      <c r="P9" s="192">
        <f t="shared" ref="P9:P14" si="0">L9+M9+N9+O9</f>
        <v>18</v>
      </c>
      <c r="Q9" s="42">
        <f>K9*50%*L9</f>
        <v>0</v>
      </c>
      <c r="R9" s="42">
        <f>K9*60%*M9</f>
        <v>0</v>
      </c>
      <c r="S9" s="42">
        <f>K9*60%*N9</f>
        <v>0</v>
      </c>
      <c r="T9" s="42">
        <f>K9*75%*O9</f>
        <v>934.08300000000008</v>
      </c>
      <c r="U9" s="42">
        <f>S9+T9</f>
        <v>934.08300000000008</v>
      </c>
      <c r="V9" s="42">
        <f>K9*(M9+O9+L9+N9)*100%</f>
        <v>1245.444</v>
      </c>
    </row>
    <row r="10" spans="1:22" x14ac:dyDescent="0.25">
      <c r="A10" s="195">
        <v>8</v>
      </c>
      <c r="B10" s="9" t="s">
        <v>55</v>
      </c>
      <c r="C10" s="51"/>
      <c r="D10" s="56"/>
      <c r="E10" s="56"/>
      <c r="F10" s="142"/>
      <c r="G10" s="142"/>
      <c r="H10" s="52"/>
      <c r="I10" s="53"/>
      <c r="J10" s="52"/>
      <c r="K10" s="53"/>
      <c r="L10" s="52"/>
      <c r="M10" s="52"/>
      <c r="N10" s="52"/>
      <c r="O10" s="52"/>
      <c r="P10" s="192">
        <f t="shared" si="0"/>
        <v>0</v>
      </c>
      <c r="Q10" s="10"/>
      <c r="R10" s="10"/>
      <c r="S10" s="10"/>
      <c r="T10" s="10"/>
      <c r="U10" s="11">
        <f>SUM(U4:U9)</f>
        <v>934.08300000000008</v>
      </c>
      <c r="V10" s="10"/>
    </row>
    <row r="11" spans="1:22" x14ac:dyDescent="0.25">
      <c r="A11" s="90">
        <v>717</v>
      </c>
      <c r="B11" s="8" t="s">
        <v>76</v>
      </c>
      <c r="C11" s="65" t="s">
        <v>107</v>
      </c>
      <c r="D11" s="75" t="s">
        <v>52</v>
      </c>
      <c r="E11" s="55" t="s">
        <v>22</v>
      </c>
      <c r="F11" s="12">
        <v>45504</v>
      </c>
      <c r="G11" s="143">
        <v>45735</v>
      </c>
      <c r="H11" s="12" t="s">
        <v>269</v>
      </c>
      <c r="I11" s="42">
        <v>1506.38</v>
      </c>
      <c r="J11" s="1">
        <v>30</v>
      </c>
      <c r="K11" s="2">
        <f>I11/J11</f>
        <v>50.212666666666671</v>
      </c>
      <c r="L11" s="1">
        <v>0</v>
      </c>
      <c r="M11" s="1">
        <v>0</v>
      </c>
      <c r="N11" s="1">
        <v>0</v>
      </c>
      <c r="O11" s="1">
        <v>28</v>
      </c>
      <c r="P11" s="192">
        <f t="shared" si="0"/>
        <v>28</v>
      </c>
      <c r="Q11" s="42">
        <f>K11*50%*L11</f>
        <v>0</v>
      </c>
      <c r="R11" s="42">
        <f>K11*60%*M11</f>
        <v>0</v>
      </c>
      <c r="S11" s="42">
        <f>K11*60%*N11</f>
        <v>0</v>
      </c>
      <c r="T11" s="42">
        <f>K11*75%*O11</f>
        <v>1054.4660000000001</v>
      </c>
      <c r="U11" s="42">
        <f>S11+T11</f>
        <v>1054.4660000000001</v>
      </c>
      <c r="V11" s="42">
        <f>K11*(M11+O11+L11+N11)*100%</f>
        <v>1405.9546666666668</v>
      </c>
    </row>
    <row r="12" spans="1:22" s="185" customFormat="1" ht="15" customHeight="1" x14ac:dyDescent="0.25">
      <c r="A12" s="193" t="s">
        <v>108</v>
      </c>
      <c r="B12" s="177"/>
      <c r="C12" s="178"/>
      <c r="D12" s="179"/>
      <c r="E12" s="180"/>
      <c r="F12" s="194"/>
      <c r="G12" s="181"/>
      <c r="H12" s="194"/>
      <c r="I12" s="182"/>
      <c r="J12" s="183"/>
      <c r="K12" s="184"/>
      <c r="L12" s="183"/>
      <c r="M12" s="183"/>
      <c r="N12" s="183"/>
      <c r="O12" s="183"/>
      <c r="P12" s="192">
        <f t="shared" si="0"/>
        <v>0</v>
      </c>
      <c r="Q12" s="182"/>
      <c r="R12" s="182"/>
      <c r="S12" s="182"/>
      <c r="T12" s="182"/>
      <c r="U12" s="182"/>
      <c r="V12" s="182"/>
    </row>
    <row r="13" spans="1:22" x14ac:dyDescent="0.25">
      <c r="A13" s="90">
        <v>717</v>
      </c>
      <c r="B13" s="8" t="s">
        <v>210</v>
      </c>
      <c r="C13" s="65" t="s">
        <v>211</v>
      </c>
      <c r="D13" s="75" t="s">
        <v>52</v>
      </c>
      <c r="E13" s="55" t="s">
        <v>22</v>
      </c>
      <c r="F13" s="12">
        <v>45693</v>
      </c>
      <c r="G13" s="143"/>
      <c r="H13" s="203">
        <v>45695</v>
      </c>
      <c r="I13" s="42">
        <v>1549.81</v>
      </c>
      <c r="J13" s="1">
        <v>30</v>
      </c>
      <c r="K13" s="2">
        <f>I13/J13</f>
        <v>51.660333333333334</v>
      </c>
      <c r="L13" s="1">
        <v>3</v>
      </c>
      <c r="M13" s="1">
        <v>0</v>
      </c>
      <c r="N13" s="1">
        <v>0</v>
      </c>
      <c r="O13" s="1">
        <v>0</v>
      </c>
      <c r="P13" s="192">
        <f t="shared" si="0"/>
        <v>3</v>
      </c>
      <c r="Q13" s="42">
        <f>K13*50%*L13</f>
        <v>77.490499999999997</v>
      </c>
      <c r="R13" s="42">
        <f>K13*60%*M13</f>
        <v>0</v>
      </c>
      <c r="S13" s="42">
        <f>K13*60%*N13</f>
        <v>0</v>
      </c>
      <c r="T13" s="42">
        <f>K13*75%*O13</f>
        <v>0</v>
      </c>
      <c r="U13" s="42">
        <f>S13+T13</f>
        <v>0</v>
      </c>
      <c r="V13" s="42">
        <f>K13*(M13+O13+L13+N13)*100%</f>
        <v>154.98099999999999</v>
      </c>
    </row>
    <row r="14" spans="1:22" x14ac:dyDescent="0.25">
      <c r="A14" s="90">
        <v>717</v>
      </c>
      <c r="B14" s="8" t="s">
        <v>122</v>
      </c>
      <c r="C14" s="65" t="s">
        <v>56</v>
      </c>
      <c r="D14" s="75" t="s">
        <v>52</v>
      </c>
      <c r="E14" s="55" t="s">
        <v>22</v>
      </c>
      <c r="F14" s="12">
        <v>45583</v>
      </c>
      <c r="G14" s="143">
        <v>45730</v>
      </c>
      <c r="H14" s="12" t="s">
        <v>258</v>
      </c>
      <c r="I14" s="42">
        <v>1527.43</v>
      </c>
      <c r="J14" s="1">
        <v>30</v>
      </c>
      <c r="K14" s="2">
        <f>I14/J14</f>
        <v>50.914333333333339</v>
      </c>
      <c r="L14" s="1">
        <v>0</v>
      </c>
      <c r="M14" s="1">
        <v>0</v>
      </c>
      <c r="N14" s="1">
        <v>0</v>
      </c>
      <c r="O14" s="1">
        <v>28</v>
      </c>
      <c r="P14" s="192">
        <f t="shared" si="0"/>
        <v>28</v>
      </c>
      <c r="Q14" s="42">
        <f>K14*50%*L14</f>
        <v>0</v>
      </c>
      <c r="R14" s="42">
        <f>K14*60%*M14</f>
        <v>0</v>
      </c>
      <c r="S14" s="42">
        <f>K14*60%*N14</f>
        <v>0</v>
      </c>
      <c r="T14" s="42">
        <f>K14*75%*O14</f>
        <v>1069.2010000000002</v>
      </c>
      <c r="U14" s="42">
        <f>S14+T14</f>
        <v>1069.2010000000002</v>
      </c>
      <c r="V14" s="42">
        <f>K14*(M14+O14+L14+N14)*100%</f>
        <v>1425.6013333333335</v>
      </c>
    </row>
    <row r="15" spans="1:22" x14ac:dyDescent="0.25">
      <c r="A15" s="89">
        <v>717</v>
      </c>
      <c r="B15" s="68" t="s">
        <v>130</v>
      </c>
      <c r="C15" s="66">
        <v>381055494659</v>
      </c>
      <c r="D15" s="205">
        <v>100</v>
      </c>
      <c r="E15" s="84" t="s">
        <v>22</v>
      </c>
      <c r="F15" s="141">
        <v>45642</v>
      </c>
      <c r="G15" s="141"/>
      <c r="H15" s="147">
        <v>45753</v>
      </c>
      <c r="I15" s="85"/>
      <c r="J15" s="85"/>
      <c r="K15" s="85"/>
      <c r="L15" s="85"/>
      <c r="M15" s="85"/>
      <c r="N15" s="85"/>
      <c r="O15" s="85"/>
      <c r="P15" s="192"/>
      <c r="Q15" s="83" t="s">
        <v>48</v>
      </c>
      <c r="R15" s="68"/>
      <c r="S15" s="68"/>
      <c r="T15" s="68"/>
      <c r="U15" s="85"/>
      <c r="V15" s="68"/>
    </row>
    <row r="16" spans="1:22" x14ac:dyDescent="0.25">
      <c r="A16" s="195">
        <v>717</v>
      </c>
      <c r="B16" s="9" t="s">
        <v>49</v>
      </c>
      <c r="C16" s="51"/>
      <c r="D16" s="56"/>
      <c r="E16" s="56"/>
      <c r="F16" s="142"/>
      <c r="G16" s="142"/>
      <c r="H16" s="52"/>
      <c r="I16" s="53"/>
      <c r="J16" s="52"/>
      <c r="K16" s="53"/>
      <c r="L16" s="52"/>
      <c r="M16" s="52"/>
      <c r="N16" s="52"/>
      <c r="O16" s="52"/>
      <c r="P16" s="192">
        <f>L16+M16+N16+O16</f>
        <v>0</v>
      </c>
      <c r="Q16" s="10"/>
      <c r="R16" s="10"/>
      <c r="S16" s="10"/>
      <c r="T16" s="10"/>
      <c r="U16" s="11">
        <f>SUM(U11:U14)</f>
        <v>2123.6670000000004</v>
      </c>
      <c r="V16" s="10"/>
    </row>
    <row r="17" spans="1:22" ht="14.25" customHeight="1" x14ac:dyDescent="0.25">
      <c r="A17" s="90">
        <v>1378</v>
      </c>
      <c r="B17" s="8" t="s">
        <v>197</v>
      </c>
      <c r="C17" s="65" t="s">
        <v>198</v>
      </c>
      <c r="D17" s="75" t="s">
        <v>52</v>
      </c>
      <c r="E17" s="55" t="s">
        <v>22</v>
      </c>
      <c r="F17" s="12">
        <v>45687</v>
      </c>
      <c r="G17" s="143"/>
      <c r="H17" s="203">
        <v>45690</v>
      </c>
      <c r="I17" s="186">
        <v>1323</v>
      </c>
      <c r="J17" s="1">
        <v>30</v>
      </c>
      <c r="K17" s="2">
        <f>I17/J17</f>
        <v>44.1</v>
      </c>
      <c r="L17" s="1">
        <v>1</v>
      </c>
      <c r="M17" s="1">
        <v>1</v>
      </c>
      <c r="N17" s="1">
        <v>0</v>
      </c>
      <c r="O17" s="1">
        <v>0</v>
      </c>
      <c r="P17" s="192">
        <f>L17+M17+N17+O17</f>
        <v>2</v>
      </c>
      <c r="Q17" s="42">
        <f>K17*50%*L17</f>
        <v>22.05</v>
      </c>
      <c r="R17" s="42">
        <f>K17*60%*M17</f>
        <v>26.46</v>
      </c>
      <c r="S17" s="42">
        <f>K17*60%*N17</f>
        <v>0</v>
      </c>
      <c r="T17" s="42">
        <f>K17*75%*O17</f>
        <v>0</v>
      </c>
      <c r="U17" s="42">
        <f>S17+T17</f>
        <v>0</v>
      </c>
      <c r="V17" s="42">
        <f>K17*(M17+O17+L17+N17)*100%</f>
        <v>88.2</v>
      </c>
    </row>
    <row r="18" spans="1:22" ht="14.25" customHeight="1" x14ac:dyDescent="0.25">
      <c r="A18" s="90">
        <v>1378</v>
      </c>
      <c r="B18" s="8" t="s">
        <v>197</v>
      </c>
      <c r="C18" s="65" t="s">
        <v>198</v>
      </c>
      <c r="D18" s="75" t="s">
        <v>52</v>
      </c>
      <c r="E18" s="55" t="s">
        <v>22</v>
      </c>
      <c r="F18" s="12">
        <v>45698</v>
      </c>
      <c r="G18" s="143"/>
      <c r="H18" s="203">
        <v>45699</v>
      </c>
      <c r="I18" s="208">
        <v>1381.5</v>
      </c>
      <c r="J18" s="1">
        <v>30</v>
      </c>
      <c r="K18" s="2">
        <f>I18/J18</f>
        <v>46.05</v>
      </c>
      <c r="L18" s="1">
        <v>2</v>
      </c>
      <c r="M18" s="1">
        <v>0</v>
      </c>
      <c r="N18" s="1">
        <v>0</v>
      </c>
      <c r="O18" s="1">
        <v>0</v>
      </c>
      <c r="P18" s="192">
        <f>L18+M18+N18+O18</f>
        <v>2</v>
      </c>
      <c r="Q18" s="42">
        <f>K18*50%*L18</f>
        <v>46.05</v>
      </c>
      <c r="R18" s="42">
        <f>K18*60%*M18</f>
        <v>0</v>
      </c>
      <c r="S18" s="42">
        <f>K18*60%*N18</f>
        <v>0</v>
      </c>
      <c r="T18" s="42">
        <f>K18*75%*O18</f>
        <v>0</v>
      </c>
      <c r="U18" s="42">
        <f>S18+T18</f>
        <v>0</v>
      </c>
      <c r="V18" s="42">
        <f>K18*(M18+O18+L18+N18)*100%</f>
        <v>92.1</v>
      </c>
    </row>
    <row r="19" spans="1:22" ht="14.25" customHeight="1" x14ac:dyDescent="0.25">
      <c r="A19" s="90">
        <v>1378</v>
      </c>
      <c r="B19" s="8" t="s">
        <v>179</v>
      </c>
      <c r="C19" s="65" t="s">
        <v>180</v>
      </c>
      <c r="D19" s="75" t="s">
        <v>52</v>
      </c>
      <c r="E19" s="55" t="s">
        <v>22</v>
      </c>
      <c r="F19" s="12">
        <v>45679</v>
      </c>
      <c r="G19" s="143">
        <v>45735</v>
      </c>
      <c r="H19" s="12" t="s">
        <v>270</v>
      </c>
      <c r="I19" s="186">
        <v>1323</v>
      </c>
      <c r="J19" s="1">
        <v>30</v>
      </c>
      <c r="K19" s="2">
        <f>I19/J19</f>
        <v>44.1</v>
      </c>
      <c r="L19" s="1">
        <v>0</v>
      </c>
      <c r="M19" s="1">
        <v>5</v>
      </c>
      <c r="N19" s="1">
        <v>5</v>
      </c>
      <c r="O19" s="1">
        <v>18</v>
      </c>
      <c r="P19" s="192">
        <f>L19+M19+N19+O19</f>
        <v>28</v>
      </c>
      <c r="Q19" s="42">
        <f>K19*50%*L19</f>
        <v>0</v>
      </c>
      <c r="R19" s="42">
        <f>K19*60%*M19</f>
        <v>132.30000000000001</v>
      </c>
      <c r="S19" s="42">
        <f>K19*60%*N19</f>
        <v>132.30000000000001</v>
      </c>
      <c r="T19" s="42">
        <f>K19*75%*O19</f>
        <v>595.35</v>
      </c>
      <c r="U19" s="42">
        <f>S19+T19</f>
        <v>727.65000000000009</v>
      </c>
      <c r="V19" s="42">
        <f>K19*(M19+O19+L19+N19)*100%</f>
        <v>1234.8</v>
      </c>
    </row>
    <row r="20" spans="1:22" ht="14.25" customHeight="1" x14ac:dyDescent="0.25">
      <c r="A20" s="90">
        <v>1378</v>
      </c>
      <c r="B20" s="8" t="s">
        <v>64</v>
      </c>
      <c r="C20" s="65" t="s">
        <v>65</v>
      </c>
      <c r="D20" s="75" t="s">
        <v>52</v>
      </c>
      <c r="E20" s="55" t="s">
        <v>22</v>
      </c>
      <c r="F20" s="12">
        <v>45299</v>
      </c>
      <c r="G20" s="143">
        <v>45663</v>
      </c>
      <c r="H20" s="12" t="s">
        <v>137</v>
      </c>
      <c r="I20" s="186">
        <v>1260</v>
      </c>
      <c r="J20" s="1">
        <v>30</v>
      </c>
      <c r="K20" s="2">
        <f t="shared" ref="K20:K27" si="1">I20/J20</f>
        <v>42</v>
      </c>
      <c r="L20" s="1">
        <v>0</v>
      </c>
      <c r="M20" s="1">
        <v>0</v>
      </c>
      <c r="N20" s="1">
        <v>0</v>
      </c>
      <c r="O20" s="1">
        <v>28</v>
      </c>
      <c r="P20" s="192">
        <f t="shared" ref="P20:P39" si="2">L20+M20+N20+O20</f>
        <v>28</v>
      </c>
      <c r="Q20" s="42">
        <f t="shared" ref="Q20:Q27" si="3">K20*50%*L20</f>
        <v>0</v>
      </c>
      <c r="R20" s="42">
        <f t="shared" ref="R20:R27" si="4">K20*60%*M20</f>
        <v>0</v>
      </c>
      <c r="S20" s="42">
        <f t="shared" ref="S20:S27" si="5">K20*60%*N20</f>
        <v>0</v>
      </c>
      <c r="T20" s="42">
        <f t="shared" ref="T20:T27" si="6">K20*75%*O20</f>
        <v>882</v>
      </c>
      <c r="U20" s="42">
        <f t="shared" ref="U20:U27" si="7">S20+T20</f>
        <v>882</v>
      </c>
      <c r="V20" s="42">
        <f t="shared" ref="V20:V27" si="8">K20*(M20+O20+L20+N20)*100%</f>
        <v>1176</v>
      </c>
    </row>
    <row r="21" spans="1:22" x14ac:dyDescent="0.25">
      <c r="A21" s="90">
        <v>1378</v>
      </c>
      <c r="B21" s="8" t="s">
        <v>154</v>
      </c>
      <c r="C21" s="65" t="s">
        <v>155</v>
      </c>
      <c r="D21" s="75" t="s">
        <v>52</v>
      </c>
      <c r="E21" s="55" t="s">
        <v>22</v>
      </c>
      <c r="F21" s="12">
        <v>45299</v>
      </c>
      <c r="G21" s="143"/>
      <c r="H21" s="203">
        <v>45707</v>
      </c>
      <c r="I21" s="186">
        <v>1323</v>
      </c>
      <c r="J21" s="1">
        <v>30</v>
      </c>
      <c r="K21" s="2">
        <f>I21/J21</f>
        <v>44.1</v>
      </c>
      <c r="L21" s="1">
        <v>0</v>
      </c>
      <c r="M21" s="1">
        <v>0</v>
      </c>
      <c r="N21" s="1">
        <v>0</v>
      </c>
      <c r="O21" s="1">
        <v>19</v>
      </c>
      <c r="P21" s="192">
        <f>L21+M21+N21+O21</f>
        <v>19</v>
      </c>
      <c r="Q21" s="42">
        <f>K21*50%*L21</f>
        <v>0</v>
      </c>
      <c r="R21" s="42">
        <f>K21*60%*M21</f>
        <v>0</v>
      </c>
      <c r="S21" s="42">
        <f>K21*60%*N21</f>
        <v>0</v>
      </c>
      <c r="T21" s="42">
        <f>K21*75%*O21</f>
        <v>628.42500000000007</v>
      </c>
      <c r="U21" s="42">
        <f>S21+T21</f>
        <v>628.42500000000007</v>
      </c>
      <c r="V21" s="42">
        <f>K21*(M21+O21+L21+N21)*100%</f>
        <v>837.9</v>
      </c>
    </row>
    <row r="22" spans="1:22" x14ac:dyDescent="0.25">
      <c r="A22" s="90">
        <v>1378</v>
      </c>
      <c r="B22" s="8" t="s">
        <v>215</v>
      </c>
      <c r="C22" s="65" t="s">
        <v>216</v>
      </c>
      <c r="D22" s="75" t="s">
        <v>52</v>
      </c>
      <c r="E22" s="55" t="s">
        <v>22</v>
      </c>
      <c r="F22" s="12">
        <v>45693</v>
      </c>
      <c r="G22" s="143">
        <v>45707</v>
      </c>
      <c r="H22" s="203">
        <v>45705</v>
      </c>
      <c r="I22" s="208">
        <v>1381.5</v>
      </c>
      <c r="J22" s="1">
        <v>30</v>
      </c>
      <c r="K22" s="2">
        <f>I22/J22</f>
        <v>46.05</v>
      </c>
      <c r="L22" s="1">
        <v>3</v>
      </c>
      <c r="M22" s="1">
        <v>10</v>
      </c>
      <c r="N22" s="1">
        <v>0</v>
      </c>
      <c r="O22" s="1">
        <v>0</v>
      </c>
      <c r="P22" s="192">
        <f>L22+M22+N22+O22</f>
        <v>13</v>
      </c>
      <c r="Q22" s="42">
        <f>K22*50%*L22</f>
        <v>69.074999999999989</v>
      </c>
      <c r="R22" s="42">
        <f>K22*60%*M22</f>
        <v>276.3</v>
      </c>
      <c r="S22" s="42">
        <f>K22*60%*N22</f>
        <v>0</v>
      </c>
      <c r="T22" s="42">
        <f>K22*75%*O22</f>
        <v>0</v>
      </c>
      <c r="U22" s="42">
        <f>S22+T22</f>
        <v>0</v>
      </c>
      <c r="V22" s="42">
        <f>K22*(M22+O22+L22+N22)*100%</f>
        <v>598.65</v>
      </c>
    </row>
    <row r="23" spans="1:22" x14ac:dyDescent="0.25">
      <c r="A23" s="90">
        <v>1378</v>
      </c>
      <c r="B23" s="8" t="s">
        <v>226</v>
      </c>
      <c r="C23" s="65" t="s">
        <v>227</v>
      </c>
      <c r="D23" s="75" t="s">
        <v>52</v>
      </c>
      <c r="E23" s="55" t="s">
        <v>22</v>
      </c>
      <c r="F23" s="12">
        <v>45698</v>
      </c>
      <c r="G23" s="143">
        <v>45719</v>
      </c>
      <c r="H23" s="12" t="s">
        <v>262</v>
      </c>
      <c r="I23" s="208">
        <v>1381.5</v>
      </c>
      <c r="J23" s="1">
        <v>30</v>
      </c>
      <c r="K23" s="2">
        <f>I23/J23</f>
        <v>46.05</v>
      </c>
      <c r="L23" s="1">
        <v>3</v>
      </c>
      <c r="M23" s="1">
        <v>12</v>
      </c>
      <c r="N23" s="1">
        <v>4</v>
      </c>
      <c r="O23" s="1">
        <v>0</v>
      </c>
      <c r="P23" s="192">
        <f>L23+M23+N23+O23</f>
        <v>19</v>
      </c>
      <c r="Q23" s="42">
        <f>K23*50%*L23</f>
        <v>69.074999999999989</v>
      </c>
      <c r="R23" s="42">
        <f>K23*60%*M23</f>
        <v>331.56</v>
      </c>
      <c r="S23" s="42">
        <f>K23*60%*N23</f>
        <v>110.52</v>
      </c>
      <c r="T23" s="42">
        <f>K23*75%*O23</f>
        <v>0</v>
      </c>
      <c r="U23" s="42">
        <f>S23+T23</f>
        <v>110.52</v>
      </c>
      <c r="V23" s="42">
        <f>K23*(M23+O23+L23+N23)*100%</f>
        <v>874.94999999999993</v>
      </c>
    </row>
    <row r="24" spans="1:22" x14ac:dyDescent="0.25">
      <c r="A24" s="90">
        <v>1378</v>
      </c>
      <c r="B24" s="8" t="s">
        <v>69</v>
      </c>
      <c r="C24" s="65" t="s">
        <v>70</v>
      </c>
      <c r="D24" s="75" t="s">
        <v>50</v>
      </c>
      <c r="E24" s="55" t="s">
        <v>22</v>
      </c>
      <c r="F24" s="12">
        <v>45615</v>
      </c>
      <c r="G24" s="143">
        <v>45720</v>
      </c>
      <c r="H24" s="203">
        <v>45716</v>
      </c>
      <c r="I24" s="186">
        <v>1323</v>
      </c>
      <c r="J24" s="1">
        <v>30</v>
      </c>
      <c r="K24" s="2">
        <f t="shared" si="1"/>
        <v>44.1</v>
      </c>
      <c r="L24" s="1">
        <v>0</v>
      </c>
      <c r="M24" s="1">
        <v>0</v>
      </c>
      <c r="N24" s="1">
        <v>0</v>
      </c>
      <c r="O24" s="1">
        <v>28</v>
      </c>
      <c r="P24" s="192">
        <f t="shared" si="2"/>
        <v>28</v>
      </c>
      <c r="Q24" s="42">
        <f t="shared" si="3"/>
        <v>0</v>
      </c>
      <c r="R24" s="42">
        <f t="shared" si="4"/>
        <v>0</v>
      </c>
      <c r="S24" s="42">
        <f t="shared" si="5"/>
        <v>0</v>
      </c>
      <c r="T24" s="42">
        <f t="shared" si="6"/>
        <v>926.10000000000014</v>
      </c>
      <c r="U24" s="42">
        <f t="shared" si="7"/>
        <v>926.10000000000014</v>
      </c>
      <c r="V24" s="42">
        <f t="shared" si="8"/>
        <v>1234.8</v>
      </c>
    </row>
    <row r="25" spans="1:22" x14ac:dyDescent="0.25">
      <c r="A25" s="90">
        <v>1378</v>
      </c>
      <c r="B25" s="8" t="s">
        <v>132</v>
      </c>
      <c r="C25" s="65" t="s">
        <v>133</v>
      </c>
      <c r="D25" s="75" t="s">
        <v>52</v>
      </c>
      <c r="E25" s="55" t="s">
        <v>22</v>
      </c>
      <c r="F25" s="12">
        <v>45646</v>
      </c>
      <c r="G25" s="143">
        <v>45730</v>
      </c>
      <c r="H25" s="12" t="s">
        <v>261</v>
      </c>
      <c r="I25" s="186">
        <v>1323</v>
      </c>
      <c r="J25" s="1">
        <v>30</v>
      </c>
      <c r="K25" s="2">
        <f t="shared" si="1"/>
        <v>44.1</v>
      </c>
      <c r="L25" s="1">
        <v>0</v>
      </c>
      <c r="M25" s="1">
        <v>0</v>
      </c>
      <c r="N25" s="1">
        <v>0</v>
      </c>
      <c r="O25" s="1">
        <v>28</v>
      </c>
      <c r="P25" s="192">
        <f t="shared" si="2"/>
        <v>28</v>
      </c>
      <c r="Q25" s="42">
        <f t="shared" si="3"/>
        <v>0</v>
      </c>
      <c r="R25" s="42">
        <f t="shared" si="4"/>
        <v>0</v>
      </c>
      <c r="S25" s="42">
        <f t="shared" si="5"/>
        <v>0</v>
      </c>
      <c r="T25" s="42">
        <f t="shared" si="6"/>
        <v>926.10000000000014</v>
      </c>
      <c r="U25" s="42">
        <f t="shared" si="7"/>
        <v>926.10000000000014</v>
      </c>
      <c r="V25" s="42">
        <f t="shared" si="8"/>
        <v>1234.8</v>
      </c>
    </row>
    <row r="26" spans="1:22" x14ac:dyDescent="0.25">
      <c r="A26" s="90">
        <v>1378</v>
      </c>
      <c r="B26" s="8" t="s">
        <v>124</v>
      </c>
      <c r="C26" s="65" t="s">
        <v>68</v>
      </c>
      <c r="D26" s="75" t="s">
        <v>50</v>
      </c>
      <c r="E26" s="55" t="s">
        <v>22</v>
      </c>
      <c r="F26" s="12">
        <v>45608</v>
      </c>
      <c r="G26" s="143">
        <v>45734</v>
      </c>
      <c r="H26" s="12" t="s">
        <v>265</v>
      </c>
      <c r="I26" s="186">
        <v>1323</v>
      </c>
      <c r="J26" s="1">
        <v>30</v>
      </c>
      <c r="K26" s="2">
        <f t="shared" si="1"/>
        <v>44.1</v>
      </c>
      <c r="L26" s="1">
        <v>0</v>
      </c>
      <c r="M26" s="1">
        <v>0</v>
      </c>
      <c r="N26" s="1">
        <v>0</v>
      </c>
      <c r="O26" s="1">
        <v>28</v>
      </c>
      <c r="P26" s="192">
        <f t="shared" si="2"/>
        <v>28</v>
      </c>
      <c r="Q26" s="42">
        <f t="shared" si="3"/>
        <v>0</v>
      </c>
      <c r="R26" s="42">
        <f t="shared" si="4"/>
        <v>0</v>
      </c>
      <c r="S26" s="42">
        <f t="shared" si="5"/>
        <v>0</v>
      </c>
      <c r="T26" s="42">
        <f t="shared" si="6"/>
        <v>926.10000000000014</v>
      </c>
      <c r="U26" s="42">
        <f t="shared" si="7"/>
        <v>926.10000000000014</v>
      </c>
      <c r="V26" s="42">
        <f t="shared" si="8"/>
        <v>1234.8</v>
      </c>
    </row>
    <row r="27" spans="1:22" ht="14.25" customHeight="1" x14ac:dyDescent="0.25">
      <c r="A27" s="90">
        <v>1378</v>
      </c>
      <c r="B27" s="8" t="s">
        <v>115</v>
      </c>
      <c r="C27" s="65" t="s">
        <v>116</v>
      </c>
      <c r="D27" s="75" t="s">
        <v>52</v>
      </c>
      <c r="E27" s="55" t="s">
        <v>22</v>
      </c>
      <c r="F27" s="12">
        <v>45618</v>
      </c>
      <c r="G27" s="143">
        <v>45737</v>
      </c>
      <c r="H27" s="12" t="s">
        <v>275</v>
      </c>
      <c r="I27" s="186">
        <v>1323</v>
      </c>
      <c r="J27" s="1">
        <v>30</v>
      </c>
      <c r="K27" s="2">
        <f t="shared" si="1"/>
        <v>44.1</v>
      </c>
      <c r="L27" s="1">
        <v>0</v>
      </c>
      <c r="M27" s="1">
        <v>0</v>
      </c>
      <c r="N27" s="1">
        <v>0</v>
      </c>
      <c r="O27" s="1">
        <v>28</v>
      </c>
      <c r="P27" s="192">
        <f t="shared" si="2"/>
        <v>28</v>
      </c>
      <c r="Q27" s="42">
        <f t="shared" si="3"/>
        <v>0</v>
      </c>
      <c r="R27" s="42">
        <f t="shared" si="4"/>
        <v>0</v>
      </c>
      <c r="S27" s="42">
        <f t="shared" si="5"/>
        <v>0</v>
      </c>
      <c r="T27" s="42">
        <f t="shared" si="6"/>
        <v>926.10000000000014</v>
      </c>
      <c r="U27" s="42">
        <f t="shared" si="7"/>
        <v>926.10000000000014</v>
      </c>
      <c r="V27" s="42">
        <f t="shared" si="8"/>
        <v>1234.8</v>
      </c>
    </row>
    <row r="28" spans="1:22" x14ac:dyDescent="0.25">
      <c r="A28" s="195">
        <v>1378</v>
      </c>
      <c r="B28" s="9" t="s">
        <v>23</v>
      </c>
      <c r="C28" s="51">
        <v>38102537361</v>
      </c>
      <c r="D28" s="56"/>
      <c r="E28" s="56"/>
      <c r="F28" s="142"/>
      <c r="G28" s="142"/>
      <c r="H28" s="52"/>
      <c r="I28" s="53"/>
      <c r="J28" s="52"/>
      <c r="K28" s="53"/>
      <c r="L28" s="52"/>
      <c r="M28" s="52"/>
      <c r="N28" s="52"/>
      <c r="O28" s="52"/>
      <c r="P28" s="192">
        <f t="shared" si="2"/>
        <v>0</v>
      </c>
      <c r="Q28" s="10"/>
      <c r="R28" s="10"/>
      <c r="S28" s="10"/>
      <c r="T28" s="10"/>
      <c r="U28" s="11">
        <f>SUM(U17:U27)</f>
        <v>6052.9950000000017</v>
      </c>
      <c r="V28" s="10"/>
    </row>
    <row r="29" spans="1:22" x14ac:dyDescent="0.25">
      <c r="A29" s="187">
        <v>1628</v>
      </c>
      <c r="B29" s="44" t="s">
        <v>221</v>
      </c>
      <c r="C29" s="65" t="s">
        <v>222</v>
      </c>
      <c r="D29" s="75" t="s">
        <v>52</v>
      </c>
      <c r="E29" s="55" t="s">
        <v>22</v>
      </c>
      <c r="F29" s="12">
        <v>45693</v>
      </c>
      <c r="G29" s="143"/>
      <c r="H29" s="203">
        <v>45695</v>
      </c>
      <c r="I29" s="42">
        <v>2320.1799999999998</v>
      </c>
      <c r="J29" s="1">
        <v>30</v>
      </c>
      <c r="K29" s="2">
        <f>I29/J29</f>
        <v>77.339333333333329</v>
      </c>
      <c r="L29" s="1">
        <v>3</v>
      </c>
      <c r="M29" s="1">
        <v>0</v>
      </c>
      <c r="N29" s="1">
        <v>0</v>
      </c>
      <c r="O29" s="1">
        <v>0</v>
      </c>
      <c r="P29" s="192">
        <f>L29+M29+N29+O29</f>
        <v>3</v>
      </c>
      <c r="Q29" s="42">
        <f>K29*50%*L29</f>
        <v>116.00899999999999</v>
      </c>
      <c r="R29" s="42">
        <f>K29*60%*M29</f>
        <v>0</v>
      </c>
      <c r="S29" s="42">
        <f>K29*60%*N29</f>
        <v>0</v>
      </c>
      <c r="T29" s="42">
        <f>K29*75%*O29</f>
        <v>0</v>
      </c>
      <c r="U29" s="42">
        <f>S29+T29</f>
        <v>0</v>
      </c>
      <c r="V29" s="42">
        <f>K29*(M29+O29+L29+N29)*100%</f>
        <v>232.01799999999997</v>
      </c>
    </row>
    <row r="30" spans="1:22" x14ac:dyDescent="0.25">
      <c r="A30" s="187">
        <v>1628</v>
      </c>
      <c r="B30" s="44" t="s">
        <v>105</v>
      </c>
      <c r="C30" s="65" t="s">
        <v>106</v>
      </c>
      <c r="D30" s="75" t="s">
        <v>52</v>
      </c>
      <c r="E30" s="55" t="s">
        <v>22</v>
      </c>
      <c r="F30" s="12">
        <v>45536</v>
      </c>
      <c r="G30" s="143">
        <v>45733</v>
      </c>
      <c r="H30" s="12" t="s">
        <v>229</v>
      </c>
      <c r="I30" s="42">
        <v>1500</v>
      </c>
      <c r="J30" s="1">
        <v>30</v>
      </c>
      <c r="K30" s="2">
        <f>I30/J30</f>
        <v>50</v>
      </c>
      <c r="L30" s="1">
        <v>0</v>
      </c>
      <c r="M30" s="1">
        <v>0</v>
      </c>
      <c r="N30" s="1">
        <v>0</v>
      </c>
      <c r="O30" s="1">
        <v>28</v>
      </c>
      <c r="P30" s="192">
        <f t="shared" si="2"/>
        <v>28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1050</v>
      </c>
      <c r="U30" s="42">
        <f>S30+T30</f>
        <v>1050</v>
      </c>
      <c r="V30" s="42">
        <f>K30*(M30+O30+L30+N30)*100%</f>
        <v>1400</v>
      </c>
    </row>
    <row r="31" spans="1:22" s="185" customFormat="1" x14ac:dyDescent="0.25">
      <c r="A31" s="193" t="s">
        <v>112</v>
      </c>
      <c r="B31" s="177"/>
      <c r="C31" s="178"/>
      <c r="D31" s="179"/>
      <c r="E31" s="180"/>
      <c r="F31" s="194"/>
      <c r="G31" s="181"/>
      <c r="H31" s="194"/>
      <c r="I31" s="182"/>
      <c r="J31" s="183"/>
      <c r="K31" s="184"/>
      <c r="L31" s="183"/>
      <c r="M31" s="183"/>
      <c r="N31" s="183"/>
      <c r="O31" s="183"/>
      <c r="P31" s="192">
        <f t="shared" si="2"/>
        <v>0</v>
      </c>
      <c r="Q31" s="182"/>
      <c r="R31" s="182"/>
      <c r="S31" s="182"/>
      <c r="T31" s="182"/>
      <c r="U31" s="182"/>
      <c r="V31" s="182"/>
    </row>
    <row r="32" spans="1:22" x14ac:dyDescent="0.25">
      <c r="A32" s="187">
        <v>1628</v>
      </c>
      <c r="B32" s="44" t="s">
        <v>253</v>
      </c>
      <c r="C32" s="65" t="s">
        <v>254</v>
      </c>
      <c r="D32" s="75" t="s">
        <v>52</v>
      </c>
      <c r="E32" s="55" t="s">
        <v>22</v>
      </c>
      <c r="F32" s="12">
        <v>45708</v>
      </c>
      <c r="G32" s="143"/>
      <c r="H32" s="203">
        <v>45709</v>
      </c>
      <c r="I32" s="42">
        <v>1898.52</v>
      </c>
      <c r="J32" s="1">
        <v>30</v>
      </c>
      <c r="K32" s="2">
        <f>I32/J32</f>
        <v>63.283999999999999</v>
      </c>
      <c r="L32" s="1">
        <v>2</v>
      </c>
      <c r="M32" s="1">
        <v>0</v>
      </c>
      <c r="N32" s="1">
        <v>0</v>
      </c>
      <c r="O32" s="1">
        <v>0</v>
      </c>
      <c r="P32" s="192">
        <f>L32+M32+N32+O32</f>
        <v>2</v>
      </c>
      <c r="Q32" s="42">
        <f>K32*50%*L32</f>
        <v>63.283999999999999</v>
      </c>
      <c r="R32" s="42">
        <f>K32*60%*M32</f>
        <v>0</v>
      </c>
      <c r="S32" s="42">
        <f>K32*60%*N32</f>
        <v>0</v>
      </c>
      <c r="T32" s="42">
        <f>K32*75%*O32</f>
        <v>0</v>
      </c>
      <c r="U32" s="42">
        <f>S32+T32</f>
        <v>0</v>
      </c>
      <c r="V32" s="42">
        <f>K32*(M32+O32+L32+N32)*100%</f>
        <v>126.568</v>
      </c>
    </row>
    <row r="33" spans="1:22" ht="14.1" customHeight="1" x14ac:dyDescent="0.25">
      <c r="A33" s="195">
        <v>1628</v>
      </c>
      <c r="B33" s="9" t="s">
        <v>104</v>
      </c>
      <c r="C33" s="51"/>
      <c r="D33" s="56"/>
      <c r="E33" s="56"/>
      <c r="F33" s="142"/>
      <c r="G33" s="142"/>
      <c r="H33" s="52"/>
      <c r="I33" s="53"/>
      <c r="J33" s="52"/>
      <c r="K33" s="53"/>
      <c r="L33" s="52"/>
      <c r="M33" s="52"/>
      <c r="N33" s="52"/>
      <c r="O33" s="52"/>
      <c r="P33" s="192">
        <f t="shared" si="2"/>
        <v>0</v>
      </c>
      <c r="Q33" s="10"/>
      <c r="R33" s="10"/>
      <c r="S33" s="10"/>
      <c r="T33" s="10"/>
      <c r="U33" s="11">
        <f>SUM(U29:U31)</f>
        <v>1050</v>
      </c>
      <c r="V33" s="10"/>
    </row>
    <row r="34" spans="1:22" ht="14.25" customHeight="1" x14ac:dyDescent="0.25">
      <c r="A34" s="90">
        <v>1846</v>
      </c>
      <c r="B34" s="8" t="s">
        <v>256</v>
      </c>
      <c r="C34" s="65" t="s">
        <v>257</v>
      </c>
      <c r="D34" s="75" t="s">
        <v>51</v>
      </c>
      <c r="E34" s="55" t="s">
        <v>22</v>
      </c>
      <c r="F34" s="12">
        <v>45708</v>
      </c>
      <c r="G34" s="143"/>
      <c r="H34" s="203">
        <v>45709</v>
      </c>
      <c r="I34" s="42">
        <v>947.97</v>
      </c>
      <c r="J34" s="1">
        <v>92</v>
      </c>
      <c r="K34" s="2">
        <f>I34/J34</f>
        <v>10.304021739130436</v>
      </c>
      <c r="L34" s="1">
        <v>2</v>
      </c>
      <c r="M34" s="1">
        <v>0</v>
      </c>
      <c r="N34" s="1">
        <v>0</v>
      </c>
      <c r="O34" s="1">
        <v>0</v>
      </c>
      <c r="P34" s="192">
        <f>L34+M34+N34+O34</f>
        <v>2</v>
      </c>
      <c r="Q34" s="42">
        <f>K34*50%*L34</f>
        <v>10.304021739130436</v>
      </c>
      <c r="R34" s="42">
        <f>K34*60%*M34</f>
        <v>0</v>
      </c>
      <c r="S34" s="42">
        <f>K34*60%*N34</f>
        <v>0</v>
      </c>
      <c r="T34" s="42">
        <f>K34*75%*O34</f>
        <v>0</v>
      </c>
      <c r="U34" s="42">
        <f>S34+T34</f>
        <v>0</v>
      </c>
      <c r="V34" s="42">
        <f>K34*(M34+O34+L34+N34)*100%</f>
        <v>20.608043478260871</v>
      </c>
    </row>
    <row r="35" spans="1:22" ht="14.25" customHeight="1" x14ac:dyDescent="0.25">
      <c r="A35" s="90">
        <v>1846</v>
      </c>
      <c r="B35" s="8" t="s">
        <v>139</v>
      </c>
      <c r="C35" s="65" t="s">
        <v>140</v>
      </c>
      <c r="D35" s="75" t="s">
        <v>51</v>
      </c>
      <c r="E35" s="55" t="s">
        <v>22</v>
      </c>
      <c r="F35" s="12">
        <v>45659</v>
      </c>
      <c r="G35" s="143">
        <v>45722</v>
      </c>
      <c r="H35" s="12" t="s">
        <v>255</v>
      </c>
      <c r="I35" s="186">
        <v>2108.3200000000002</v>
      </c>
      <c r="J35" s="1">
        <v>92</v>
      </c>
      <c r="K35" s="2">
        <f>I35/J35</f>
        <v>22.916521739130438</v>
      </c>
      <c r="L35" s="1">
        <v>0</v>
      </c>
      <c r="M35" s="1">
        <v>0</v>
      </c>
      <c r="N35" s="1">
        <v>0</v>
      </c>
      <c r="O35" s="1">
        <v>28</v>
      </c>
      <c r="P35" s="192">
        <f t="shared" si="2"/>
        <v>28</v>
      </c>
      <c r="Q35" s="42">
        <f>K35*50%*L35</f>
        <v>0</v>
      </c>
      <c r="R35" s="42">
        <f>K35*60%*M35</f>
        <v>0</v>
      </c>
      <c r="S35" s="42">
        <f>K35*60%*N35</f>
        <v>0</v>
      </c>
      <c r="T35" s="42">
        <f>K35*75%*O35</f>
        <v>481.24695652173915</v>
      </c>
      <c r="U35" s="42">
        <f>S35+T35</f>
        <v>481.24695652173915</v>
      </c>
      <c r="V35" s="42">
        <f>K35*(M35+O35+L35+N35)*100%</f>
        <v>641.66260869565224</v>
      </c>
    </row>
    <row r="36" spans="1:22" x14ac:dyDescent="0.25">
      <c r="A36" s="195">
        <v>1846</v>
      </c>
      <c r="B36" s="9" t="s">
        <v>138</v>
      </c>
      <c r="C36" s="51">
        <v>38120237336</v>
      </c>
      <c r="D36" s="56"/>
      <c r="E36" s="56"/>
      <c r="F36" s="142"/>
      <c r="G36" s="142"/>
      <c r="H36" s="52"/>
      <c r="I36" s="53"/>
      <c r="J36" s="52"/>
      <c r="K36" s="53"/>
      <c r="L36" s="52"/>
      <c r="M36" s="52"/>
      <c r="N36" s="52"/>
      <c r="O36" s="52"/>
      <c r="P36" s="192">
        <f t="shared" si="2"/>
        <v>0</v>
      </c>
      <c r="Q36" s="10"/>
      <c r="R36" s="10"/>
      <c r="S36" s="10"/>
      <c r="T36" s="10"/>
      <c r="U36" s="11">
        <f>SUM(U35)</f>
        <v>481.24695652173915</v>
      </c>
      <c r="V36" s="10"/>
    </row>
    <row r="37" spans="1:22" x14ac:dyDescent="0.25">
      <c r="A37" s="187">
        <v>1903</v>
      </c>
      <c r="B37" s="44" t="s">
        <v>89</v>
      </c>
      <c r="C37" s="65" t="s">
        <v>90</v>
      </c>
      <c r="D37" s="75" t="s">
        <v>51</v>
      </c>
      <c r="E37" s="55" t="s">
        <v>22</v>
      </c>
      <c r="F37" s="12">
        <v>45418</v>
      </c>
      <c r="G37" s="143">
        <v>45733</v>
      </c>
      <c r="H37" s="12" t="s">
        <v>267</v>
      </c>
      <c r="I37" s="218">
        <v>1809.18</v>
      </c>
      <c r="J37" s="1">
        <v>79</v>
      </c>
      <c r="K37" s="2">
        <f>I37/J37</f>
        <v>22.901012658227849</v>
      </c>
      <c r="L37" s="1">
        <v>0</v>
      </c>
      <c r="M37" s="1">
        <v>0</v>
      </c>
      <c r="N37" s="1">
        <v>0</v>
      </c>
      <c r="O37" s="1">
        <v>28</v>
      </c>
      <c r="P37" s="192">
        <f t="shared" si="2"/>
        <v>28</v>
      </c>
      <c r="Q37" s="42">
        <f>K37*50%*L37</f>
        <v>0</v>
      </c>
      <c r="R37" s="42">
        <f>K37*60%*M37</f>
        <v>0</v>
      </c>
      <c r="S37" s="42">
        <f>K37*60%*N37</f>
        <v>0</v>
      </c>
      <c r="T37" s="42">
        <f>K37*75%*O37</f>
        <v>480.9212658227849</v>
      </c>
      <c r="U37" s="42">
        <f>S37+T37</f>
        <v>480.9212658227849</v>
      </c>
      <c r="V37" s="42">
        <f>K37*(M37+O37+L37+N37)*100%</f>
        <v>641.2283544303798</v>
      </c>
    </row>
    <row r="38" spans="1:22" x14ac:dyDescent="0.25">
      <c r="A38" s="193" t="s">
        <v>242</v>
      </c>
      <c r="B38" s="177"/>
      <c r="C38" s="178"/>
      <c r="D38" s="179"/>
      <c r="E38" s="180"/>
      <c r="F38" s="194"/>
      <c r="G38" s="181"/>
      <c r="H38" s="194"/>
      <c r="I38" s="182"/>
      <c r="J38" s="183"/>
      <c r="K38" s="184"/>
      <c r="L38" s="183"/>
      <c r="M38" s="183"/>
      <c r="N38" s="183"/>
      <c r="O38" s="183"/>
      <c r="P38" s="192">
        <f t="shared" si="2"/>
        <v>0</v>
      </c>
      <c r="Q38" s="182"/>
      <c r="R38" s="182"/>
      <c r="S38" s="182"/>
      <c r="T38" s="182"/>
      <c r="U38" s="182"/>
      <c r="V38" s="182"/>
    </row>
    <row r="39" spans="1:22" x14ac:dyDescent="0.25">
      <c r="A39" s="89">
        <v>1903</v>
      </c>
      <c r="B39" s="68" t="s">
        <v>161</v>
      </c>
      <c r="C39" s="66">
        <v>381066156272</v>
      </c>
      <c r="D39" s="205">
        <v>189</v>
      </c>
      <c r="E39" s="84" t="s">
        <v>22</v>
      </c>
      <c r="F39" s="141">
        <v>45580</v>
      </c>
      <c r="G39" s="141"/>
      <c r="H39" s="147">
        <v>45691</v>
      </c>
      <c r="I39" s="85"/>
      <c r="J39" s="85"/>
      <c r="K39" s="85"/>
      <c r="L39" s="85"/>
      <c r="M39" s="85"/>
      <c r="N39" s="85"/>
      <c r="O39" s="85"/>
      <c r="P39" s="192">
        <f t="shared" si="2"/>
        <v>0</v>
      </c>
      <c r="Q39" s="83" t="s">
        <v>92</v>
      </c>
      <c r="R39" s="68"/>
      <c r="S39" s="68"/>
      <c r="T39" s="68"/>
      <c r="U39" s="85"/>
      <c r="V39" s="68"/>
    </row>
    <row r="40" spans="1:22" x14ac:dyDescent="0.25">
      <c r="A40" s="89">
        <v>1903</v>
      </c>
      <c r="B40" s="68" t="s">
        <v>161</v>
      </c>
      <c r="C40" s="66">
        <v>381066156272</v>
      </c>
      <c r="D40" s="205">
        <v>189</v>
      </c>
      <c r="E40" s="84" t="s">
        <v>22</v>
      </c>
      <c r="F40" s="141">
        <v>45692</v>
      </c>
      <c r="G40" s="141"/>
      <c r="H40" s="147">
        <v>45709</v>
      </c>
      <c r="I40" s="85"/>
      <c r="J40" s="85"/>
      <c r="K40" s="85"/>
      <c r="L40" s="85"/>
      <c r="M40" s="85"/>
      <c r="N40" s="85"/>
      <c r="O40" s="85"/>
      <c r="P40" s="192">
        <v>0</v>
      </c>
      <c r="Q40" s="83" t="s">
        <v>72</v>
      </c>
      <c r="R40" s="68"/>
      <c r="S40" s="68"/>
      <c r="T40" s="68"/>
      <c r="U40" s="85"/>
      <c r="V40" s="68"/>
    </row>
    <row r="41" spans="1:22" x14ac:dyDescent="0.25">
      <c r="A41" s="89">
        <v>1903</v>
      </c>
      <c r="B41" s="68" t="s">
        <v>162</v>
      </c>
      <c r="C41" s="66">
        <v>381022239019</v>
      </c>
      <c r="D41" s="205">
        <v>189</v>
      </c>
      <c r="E41" s="84" t="s">
        <v>22</v>
      </c>
      <c r="F41" s="141">
        <v>45697</v>
      </c>
      <c r="G41" s="141"/>
      <c r="H41" s="141">
        <v>45808</v>
      </c>
      <c r="I41" s="85"/>
      <c r="J41" s="85"/>
      <c r="K41" s="85"/>
      <c r="L41" s="85"/>
      <c r="M41" s="85"/>
      <c r="N41" s="85"/>
      <c r="O41" s="85"/>
      <c r="P41" s="192">
        <f>L41+M41+N41+O41</f>
        <v>0</v>
      </c>
      <c r="Q41" s="83" t="s">
        <v>48</v>
      </c>
      <c r="R41" s="68"/>
      <c r="S41" s="68"/>
      <c r="T41" s="68"/>
      <c r="U41" s="85"/>
      <c r="V41" s="68"/>
    </row>
    <row r="42" spans="1:22" s="190" customFormat="1" ht="14.1" customHeight="1" x14ac:dyDescent="0.25">
      <c r="A42" s="193" t="s">
        <v>243</v>
      </c>
      <c r="B42" s="177"/>
      <c r="C42" s="178"/>
      <c r="D42" s="179"/>
      <c r="E42" s="180"/>
      <c r="F42" s="194"/>
      <c r="G42" s="181"/>
      <c r="H42" s="194"/>
      <c r="I42" s="182"/>
      <c r="J42" s="183"/>
      <c r="K42" s="184"/>
      <c r="L42" s="183"/>
      <c r="M42" s="183"/>
      <c r="N42" s="183"/>
      <c r="O42" s="183"/>
      <c r="P42" s="192">
        <f>L42+M42+N42+O42</f>
        <v>0</v>
      </c>
      <c r="Q42" s="182"/>
      <c r="R42" s="182"/>
      <c r="S42" s="182"/>
      <c r="T42" s="182"/>
      <c r="U42" s="182"/>
      <c r="V42" s="182"/>
    </row>
    <row r="43" spans="1:22" x14ac:dyDescent="0.25">
      <c r="A43" s="89">
        <v>1903</v>
      </c>
      <c r="B43" s="68" t="s">
        <v>162</v>
      </c>
      <c r="C43" s="66">
        <v>381022239019</v>
      </c>
      <c r="D43" s="205">
        <v>189</v>
      </c>
      <c r="E43" s="84" t="s">
        <v>22</v>
      </c>
      <c r="F43" s="141">
        <v>45839</v>
      </c>
      <c r="G43" s="141"/>
      <c r="H43" s="141">
        <v>45857</v>
      </c>
      <c r="I43" s="85"/>
      <c r="J43" s="85"/>
      <c r="K43" s="85"/>
      <c r="L43" s="85"/>
      <c r="M43" s="85"/>
      <c r="N43" s="85"/>
      <c r="O43" s="85"/>
      <c r="P43" s="192">
        <f>L43+M43+N43+O43</f>
        <v>0</v>
      </c>
      <c r="Q43" s="83" t="s">
        <v>72</v>
      </c>
      <c r="R43" s="68"/>
      <c r="S43" s="68" t="s">
        <v>246</v>
      </c>
      <c r="T43" s="68"/>
      <c r="U43" s="85"/>
      <c r="V43" s="68"/>
    </row>
    <row r="44" spans="1:22" x14ac:dyDescent="0.25">
      <c r="A44" s="187">
        <v>1903</v>
      </c>
      <c r="B44" s="44" t="s">
        <v>190</v>
      </c>
      <c r="C44" s="65" t="s">
        <v>191</v>
      </c>
      <c r="D44" s="75" t="s">
        <v>51</v>
      </c>
      <c r="E44" s="55" t="s">
        <v>22</v>
      </c>
      <c r="F44" s="12">
        <v>45685</v>
      </c>
      <c r="G44" s="143">
        <v>45720</v>
      </c>
      <c r="H44" s="203" t="s">
        <v>247</v>
      </c>
      <c r="I44" s="218">
        <v>669.48</v>
      </c>
      <c r="J44" s="1">
        <v>31</v>
      </c>
      <c r="K44" s="2">
        <f>I44/J44</f>
        <v>21.596129032258066</v>
      </c>
      <c r="L44" s="1">
        <v>0</v>
      </c>
      <c r="M44" s="1">
        <v>11</v>
      </c>
      <c r="N44" s="1">
        <v>5</v>
      </c>
      <c r="O44" s="1">
        <v>12</v>
      </c>
      <c r="P44" s="192">
        <f t="shared" ref="P44:P63" si="9">L44+M44+N44+O44</f>
        <v>28</v>
      </c>
      <c r="Q44" s="42">
        <f>K44*50%*L44</f>
        <v>0</v>
      </c>
      <c r="R44" s="42">
        <f>K44*60%*M44</f>
        <v>142.53445161290324</v>
      </c>
      <c r="S44" s="42">
        <f>K44*60%*N44</f>
        <v>64.788387096774201</v>
      </c>
      <c r="T44" s="42">
        <f>K44*75%*O44</f>
        <v>194.36516129032259</v>
      </c>
      <c r="U44" s="42">
        <f>S44+T44</f>
        <v>259.15354838709681</v>
      </c>
      <c r="V44" s="42">
        <f>K44*(M44+O44+L44+N44)*100%</f>
        <v>604.69161290322586</v>
      </c>
    </row>
    <row r="45" spans="1:22" x14ac:dyDescent="0.25">
      <c r="A45" s="195">
        <v>1903</v>
      </c>
      <c r="B45" s="9" t="s">
        <v>143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 t="shared" si="9"/>
        <v>0</v>
      </c>
      <c r="Q45" s="10"/>
      <c r="R45" s="10"/>
      <c r="S45" s="10"/>
      <c r="T45" s="10"/>
      <c r="U45" s="11">
        <f>SUM(U37:U44)</f>
        <v>740.07481420988165</v>
      </c>
      <c r="V45" s="10"/>
    </row>
    <row r="46" spans="1:22" x14ac:dyDescent="0.25">
      <c r="A46" s="187">
        <v>1939</v>
      </c>
      <c r="B46" s="44" t="s">
        <v>121</v>
      </c>
      <c r="C46" s="189">
        <v>38103177654</v>
      </c>
      <c r="D46" s="75" t="s">
        <v>52</v>
      </c>
      <c r="E46" s="55" t="s">
        <v>22</v>
      </c>
      <c r="F46" s="12">
        <v>45581</v>
      </c>
      <c r="G46" s="143">
        <v>45721</v>
      </c>
      <c r="H46" s="12" t="s">
        <v>236</v>
      </c>
      <c r="I46" s="1">
        <v>1916.15</v>
      </c>
      <c r="J46" s="1">
        <v>30</v>
      </c>
      <c r="K46" s="2">
        <f>I46/J46</f>
        <v>63.87166666666667</v>
      </c>
      <c r="L46" s="1">
        <v>0</v>
      </c>
      <c r="M46" s="1">
        <v>0</v>
      </c>
      <c r="N46" s="1">
        <v>0</v>
      </c>
      <c r="O46" s="1">
        <v>28</v>
      </c>
      <c r="P46" s="192">
        <f t="shared" si="9"/>
        <v>28</v>
      </c>
      <c r="Q46" s="42">
        <f>K46*50%*L46</f>
        <v>0</v>
      </c>
      <c r="R46" s="42">
        <f>K46*60%*M46</f>
        <v>0</v>
      </c>
      <c r="S46" s="42">
        <f>K46*60%*N46</f>
        <v>0</v>
      </c>
      <c r="T46" s="42">
        <f>K46*75%*O46</f>
        <v>1341.3050000000001</v>
      </c>
      <c r="U46" s="42">
        <f>S46+T46</f>
        <v>1341.3050000000001</v>
      </c>
      <c r="V46" s="42">
        <f>K46*(M46+O46+L46+N46)*100%</f>
        <v>1788.4066666666668</v>
      </c>
    </row>
    <row r="47" spans="1:22" x14ac:dyDescent="0.25">
      <c r="A47" s="195">
        <v>1939</v>
      </c>
      <c r="B47" s="9" t="s">
        <v>120</v>
      </c>
      <c r="C47" s="51"/>
      <c r="D47" s="56"/>
      <c r="E47" s="56"/>
      <c r="F47" s="142"/>
      <c r="G47" s="142"/>
      <c r="H47" s="52"/>
      <c r="I47" s="53"/>
      <c r="J47" s="52"/>
      <c r="K47" s="53"/>
      <c r="L47" s="52"/>
      <c r="M47" s="52"/>
      <c r="N47" s="52"/>
      <c r="O47" s="52"/>
      <c r="P47" s="192">
        <f t="shared" si="9"/>
        <v>0</v>
      </c>
      <c r="Q47" s="10"/>
      <c r="R47" s="10"/>
      <c r="S47" s="10"/>
      <c r="T47" s="10"/>
      <c r="U47" s="11">
        <f>SUM(U46)</f>
        <v>1341.3050000000001</v>
      </c>
      <c r="V47" s="10"/>
    </row>
    <row r="48" spans="1:22" x14ac:dyDescent="0.25">
      <c r="A48" s="187">
        <v>1983</v>
      </c>
      <c r="B48" s="44" t="s">
        <v>240</v>
      </c>
      <c r="C48" s="207" t="s">
        <v>241</v>
      </c>
      <c r="D48" s="75" t="s">
        <v>51</v>
      </c>
      <c r="E48" s="55" t="s">
        <v>22</v>
      </c>
      <c r="F48" s="12">
        <v>45699</v>
      </c>
      <c r="G48" s="143"/>
      <c r="H48" s="203">
        <v>45702</v>
      </c>
      <c r="I48" s="1">
        <v>1026.3800000000001</v>
      </c>
      <c r="J48" s="1">
        <v>92</v>
      </c>
      <c r="K48" s="2">
        <f>I48/J48</f>
        <v>11.156304347826088</v>
      </c>
      <c r="L48" s="1">
        <v>3</v>
      </c>
      <c r="M48" s="1">
        <v>1</v>
      </c>
      <c r="N48" s="1">
        <v>0</v>
      </c>
      <c r="O48" s="1">
        <v>0</v>
      </c>
      <c r="P48" s="192">
        <f t="shared" ref="P48:P53" si="10">L48+M48+N48+O48</f>
        <v>4</v>
      </c>
      <c r="Q48" s="42">
        <f>K48*50%*L48</f>
        <v>16.734456521739133</v>
      </c>
      <c r="R48" s="42">
        <f>K48*60%*M48</f>
        <v>6.6937826086956527</v>
      </c>
      <c r="S48" s="42">
        <f>K48*60%*N48</f>
        <v>0</v>
      </c>
      <c r="T48" s="42">
        <f>K48*75%*O48</f>
        <v>0</v>
      </c>
      <c r="U48" s="42">
        <f>S48+T48</f>
        <v>0</v>
      </c>
      <c r="V48" s="42">
        <f>K48*(M48+O48+L48+N48)*100%</f>
        <v>44.625217391304353</v>
      </c>
    </row>
    <row r="49" spans="1:22" x14ac:dyDescent="0.25">
      <c r="A49" s="195">
        <v>1983</v>
      </c>
      <c r="B49" s="9" t="s">
        <v>239</v>
      </c>
      <c r="C49" s="51"/>
      <c r="D49" s="56"/>
      <c r="E49" s="56"/>
      <c r="F49" s="142"/>
      <c r="G49" s="142"/>
      <c r="H49" s="52"/>
      <c r="I49" s="53"/>
      <c r="J49" s="52"/>
      <c r="K49" s="53"/>
      <c r="L49" s="52"/>
      <c r="M49" s="52"/>
      <c r="N49" s="52"/>
      <c r="O49" s="52"/>
      <c r="P49" s="192">
        <f t="shared" si="10"/>
        <v>0</v>
      </c>
      <c r="Q49" s="10"/>
      <c r="R49" s="10"/>
      <c r="S49" s="10"/>
      <c r="T49" s="10"/>
      <c r="U49" s="11">
        <f>SUM(U48)</f>
        <v>0</v>
      </c>
      <c r="V49" s="10"/>
    </row>
    <row r="50" spans="1:22" x14ac:dyDescent="0.25">
      <c r="A50" s="187">
        <v>1985</v>
      </c>
      <c r="B50" s="44" t="s">
        <v>213</v>
      </c>
      <c r="C50" s="207" t="s">
        <v>214</v>
      </c>
      <c r="D50" s="75" t="s">
        <v>50</v>
      </c>
      <c r="E50" s="55" t="s">
        <v>22</v>
      </c>
      <c r="F50" s="12">
        <v>45692</v>
      </c>
      <c r="G50" s="143"/>
      <c r="H50" s="203">
        <v>45693</v>
      </c>
      <c r="I50" s="1">
        <v>1381.5</v>
      </c>
      <c r="J50" s="1">
        <v>30</v>
      </c>
      <c r="K50" s="2">
        <f>I50/J50</f>
        <v>46.05</v>
      </c>
      <c r="L50" s="1">
        <v>2</v>
      </c>
      <c r="M50" s="1">
        <v>0</v>
      </c>
      <c r="N50" s="1">
        <v>0</v>
      </c>
      <c r="O50" s="1">
        <v>0</v>
      </c>
      <c r="P50" s="192">
        <f t="shared" si="10"/>
        <v>2</v>
      </c>
      <c r="Q50" s="42">
        <f>K50*50%*L50</f>
        <v>46.05</v>
      </c>
      <c r="R50" s="42">
        <f>K50*60%*M50</f>
        <v>0</v>
      </c>
      <c r="S50" s="42">
        <f>K50*60%*N50</f>
        <v>0</v>
      </c>
      <c r="T50" s="42">
        <f>K50*75%*O50</f>
        <v>0</v>
      </c>
      <c r="U50" s="42">
        <f>S50+T50</f>
        <v>0</v>
      </c>
      <c r="V50" s="42">
        <f>K50*(M50+O50+L50+N50)*100%</f>
        <v>92.1</v>
      </c>
    </row>
    <row r="51" spans="1:22" x14ac:dyDescent="0.25">
      <c r="A51" s="187">
        <v>1985</v>
      </c>
      <c r="B51" s="44" t="s">
        <v>232</v>
      </c>
      <c r="C51" s="207" t="s">
        <v>233</v>
      </c>
      <c r="D51" s="75" t="s">
        <v>220</v>
      </c>
      <c r="E51" s="55" t="s">
        <v>22</v>
      </c>
      <c r="F51" s="12">
        <v>45699</v>
      </c>
      <c r="G51" s="143"/>
      <c r="H51" s="203">
        <v>45702</v>
      </c>
      <c r="I51" s="1">
        <v>534.4</v>
      </c>
      <c r="J51" s="1">
        <v>10</v>
      </c>
      <c r="K51" s="2">
        <f>I51/J51</f>
        <v>53.44</v>
      </c>
      <c r="L51" s="1">
        <v>3</v>
      </c>
      <c r="M51" s="1">
        <v>1</v>
      </c>
      <c r="N51" s="1">
        <v>0</v>
      </c>
      <c r="O51" s="1">
        <v>0</v>
      </c>
      <c r="P51" s="192">
        <f t="shared" si="10"/>
        <v>4</v>
      </c>
      <c r="Q51" s="42">
        <f>K51*50%*L51</f>
        <v>80.16</v>
      </c>
      <c r="R51" s="42">
        <f>K51*60%*M51</f>
        <v>32.064</v>
      </c>
      <c r="S51" s="42">
        <f>K51*60%*N51</f>
        <v>0</v>
      </c>
      <c r="T51" s="42">
        <f>K51*75%*O51</f>
        <v>0</v>
      </c>
      <c r="U51" s="42">
        <f>S51+T51</f>
        <v>0</v>
      </c>
      <c r="V51" s="42">
        <f>K51*(M51+O51+L51+N51)*100%</f>
        <v>213.76</v>
      </c>
    </row>
    <row r="52" spans="1:22" ht="14.1" customHeight="1" x14ac:dyDescent="0.25">
      <c r="A52" s="187">
        <v>1985</v>
      </c>
      <c r="B52" s="44" t="s">
        <v>218</v>
      </c>
      <c r="C52" s="207" t="s">
        <v>219</v>
      </c>
      <c r="D52" s="75" t="s">
        <v>220</v>
      </c>
      <c r="E52" s="55" t="s">
        <v>22</v>
      </c>
      <c r="F52" s="12">
        <v>45694</v>
      </c>
      <c r="G52" s="143">
        <v>45729</v>
      </c>
      <c r="H52" s="12" t="s">
        <v>268</v>
      </c>
      <c r="I52" s="1">
        <v>2725.8</v>
      </c>
      <c r="J52" s="1">
        <v>61</v>
      </c>
      <c r="K52" s="2">
        <f>I52/J52</f>
        <v>44.685245901639348</v>
      </c>
      <c r="L52" s="1">
        <v>3</v>
      </c>
      <c r="M52" s="1">
        <v>12</v>
      </c>
      <c r="N52" s="1">
        <v>5</v>
      </c>
      <c r="O52" s="1">
        <v>3</v>
      </c>
      <c r="P52" s="192">
        <f t="shared" si="10"/>
        <v>23</v>
      </c>
      <c r="Q52" s="42">
        <f>K52*50%*L52</f>
        <v>67.027868852459022</v>
      </c>
      <c r="R52" s="42">
        <f>K52*60%*M52</f>
        <v>321.73377049180328</v>
      </c>
      <c r="S52" s="42">
        <f>K52*60%*N52</f>
        <v>134.05573770491804</v>
      </c>
      <c r="T52" s="42">
        <f>K52*75%*O52</f>
        <v>100.54180327868853</v>
      </c>
      <c r="U52" s="42">
        <f>S52+T52</f>
        <v>234.59754098360656</v>
      </c>
      <c r="V52" s="42">
        <f>K52*(M52+O52+L52+N52)*100%</f>
        <v>1027.7606557377051</v>
      </c>
    </row>
    <row r="53" spans="1:22" x14ac:dyDescent="0.25">
      <c r="A53" s="195">
        <v>1985</v>
      </c>
      <c r="B53" s="9" t="s">
        <v>212</v>
      </c>
      <c r="C53" s="51"/>
      <c r="D53" s="56"/>
      <c r="E53" s="56"/>
      <c r="F53" s="142"/>
      <c r="G53" s="142"/>
      <c r="H53" s="52"/>
      <c r="I53" s="53"/>
      <c r="J53" s="52"/>
      <c r="K53" s="53"/>
      <c r="L53" s="52"/>
      <c r="M53" s="52"/>
      <c r="N53" s="52"/>
      <c r="O53" s="52"/>
      <c r="P53" s="192">
        <f t="shared" si="10"/>
        <v>0</v>
      </c>
      <c r="Q53" s="10"/>
      <c r="R53" s="10"/>
      <c r="S53" s="10"/>
      <c r="T53" s="10"/>
      <c r="U53" s="11">
        <f>SUM(U50:U52)</f>
        <v>234.59754098360656</v>
      </c>
      <c r="V53" s="10"/>
    </row>
    <row r="54" spans="1:22" s="185" customFormat="1" x14ac:dyDescent="0.25">
      <c r="A54" s="89">
        <v>2273</v>
      </c>
      <c r="B54" s="68" t="s">
        <v>85</v>
      </c>
      <c r="C54" s="66" t="s">
        <v>86</v>
      </c>
      <c r="D54" s="205">
        <v>200</v>
      </c>
      <c r="E54" s="84" t="s">
        <v>22</v>
      </c>
      <c r="F54" s="141">
        <v>45679</v>
      </c>
      <c r="G54" s="141"/>
      <c r="H54" s="147">
        <v>45790</v>
      </c>
      <c r="I54" s="85"/>
      <c r="J54" s="85"/>
      <c r="K54" s="85"/>
      <c r="L54" s="85"/>
      <c r="M54" s="85"/>
      <c r="N54" s="85"/>
      <c r="O54" s="85"/>
      <c r="P54" s="192">
        <f t="shared" si="9"/>
        <v>0</v>
      </c>
      <c r="Q54" s="83" t="s">
        <v>92</v>
      </c>
      <c r="R54" s="68"/>
      <c r="S54" s="68"/>
      <c r="T54" s="68"/>
      <c r="U54" s="85"/>
      <c r="V54" s="68"/>
    </row>
    <row r="55" spans="1:22" x14ac:dyDescent="0.25">
      <c r="A55" s="195">
        <v>2273</v>
      </c>
      <c r="B55" s="9" t="s">
        <v>53</v>
      </c>
      <c r="C55" s="51"/>
      <c r="D55" s="56"/>
      <c r="E55" s="56"/>
      <c r="F55" s="142"/>
      <c r="G55" s="142"/>
      <c r="H55" s="52"/>
      <c r="I55" s="53"/>
      <c r="J55" s="52"/>
      <c r="K55" s="53"/>
      <c r="L55" s="52"/>
      <c r="M55" s="52"/>
      <c r="N55" s="52"/>
      <c r="O55" s="52"/>
      <c r="P55" s="192">
        <f t="shared" si="9"/>
        <v>0</v>
      </c>
      <c r="Q55" s="10"/>
      <c r="R55" s="10"/>
      <c r="S55" s="10"/>
      <c r="T55" s="10"/>
      <c r="U55" s="11">
        <f>SUM(U54)</f>
        <v>0</v>
      </c>
      <c r="V55" s="10"/>
    </row>
    <row r="56" spans="1:22" x14ac:dyDescent="0.25">
      <c r="A56" s="196">
        <v>2281</v>
      </c>
      <c r="B56" s="44" t="s">
        <v>79</v>
      </c>
      <c r="C56" s="65" t="s">
        <v>73</v>
      </c>
      <c r="D56" s="55">
        <v>189</v>
      </c>
      <c r="E56" s="55" t="s">
        <v>22</v>
      </c>
      <c r="F56" s="12">
        <v>45363</v>
      </c>
      <c r="G56" s="143">
        <v>45720</v>
      </c>
      <c r="H56" s="12" t="s">
        <v>234</v>
      </c>
      <c r="I56" s="42">
        <v>1901.68</v>
      </c>
      <c r="J56" s="1">
        <v>30</v>
      </c>
      <c r="K56" s="2">
        <f>I56/J56</f>
        <v>63.389333333333333</v>
      </c>
      <c r="L56" s="1">
        <v>0</v>
      </c>
      <c r="M56" s="1">
        <v>0</v>
      </c>
      <c r="N56" s="1">
        <v>0</v>
      </c>
      <c r="O56" s="1">
        <v>28</v>
      </c>
      <c r="P56" s="192">
        <f t="shared" si="9"/>
        <v>28</v>
      </c>
      <c r="Q56" s="42">
        <f>K56*50%*L56</f>
        <v>0</v>
      </c>
      <c r="R56" s="42">
        <f>K56*60%*M56</f>
        <v>0</v>
      </c>
      <c r="S56" s="42">
        <f>K56*60%*N56</f>
        <v>0</v>
      </c>
      <c r="T56" s="42">
        <f>K56*75%*O56</f>
        <v>1331.1759999999999</v>
      </c>
      <c r="U56" s="42">
        <f>S56+T56</f>
        <v>1331.1759999999999</v>
      </c>
      <c r="V56" s="42">
        <f>K56*(M56+O56+L56+N56)*100%</f>
        <v>1774.9013333333332</v>
      </c>
    </row>
    <row r="57" spans="1:22" x14ac:dyDescent="0.25">
      <c r="A57" s="196">
        <v>2281</v>
      </c>
      <c r="B57" s="44" t="s">
        <v>172</v>
      </c>
      <c r="C57" s="65" t="s">
        <v>173</v>
      </c>
      <c r="D57" s="55">
        <v>189</v>
      </c>
      <c r="E57" s="55" t="s">
        <v>22</v>
      </c>
      <c r="F57" s="12">
        <v>45679</v>
      </c>
      <c r="G57" s="143">
        <v>45727</v>
      </c>
      <c r="H57" s="12" t="s">
        <v>266</v>
      </c>
      <c r="I57" s="42">
        <v>1543.99</v>
      </c>
      <c r="J57" s="1">
        <v>30</v>
      </c>
      <c r="K57" s="2">
        <f>I57/J57</f>
        <v>51.466333333333331</v>
      </c>
      <c r="L57" s="1">
        <v>0</v>
      </c>
      <c r="M57" s="1">
        <v>5</v>
      </c>
      <c r="N57" s="1">
        <v>5</v>
      </c>
      <c r="O57" s="1">
        <v>18</v>
      </c>
      <c r="P57" s="192">
        <f t="shared" si="9"/>
        <v>28</v>
      </c>
      <c r="Q57" s="42">
        <f>K57*50%*L57</f>
        <v>0</v>
      </c>
      <c r="R57" s="42">
        <f>K57*60%*M57</f>
        <v>154.39899999999997</v>
      </c>
      <c r="S57" s="42">
        <f>K57*60%*N57</f>
        <v>154.39899999999997</v>
      </c>
      <c r="T57" s="42">
        <f>K57*75%*O57</f>
        <v>694.79549999999995</v>
      </c>
      <c r="U57" s="42">
        <f>S57+T57</f>
        <v>849.19449999999995</v>
      </c>
      <c r="V57" s="42">
        <f>K57*(M57+O57+L57+N57)*100%</f>
        <v>1441.0573333333332</v>
      </c>
    </row>
    <row r="58" spans="1:22" x14ac:dyDescent="0.25">
      <c r="A58" s="209">
        <v>2281</v>
      </c>
      <c r="B58" s="210" t="s">
        <v>192</v>
      </c>
      <c r="C58" s="211" t="s">
        <v>193</v>
      </c>
      <c r="D58" s="212">
        <v>189</v>
      </c>
      <c r="E58" s="212" t="s">
        <v>22</v>
      </c>
      <c r="F58" s="213">
        <v>45686</v>
      </c>
      <c r="G58" s="143">
        <v>45735</v>
      </c>
      <c r="H58" s="219">
        <v>45716</v>
      </c>
      <c r="I58" s="214">
        <v>1382</v>
      </c>
      <c r="J58" s="215">
        <v>30</v>
      </c>
      <c r="K58" s="216">
        <f>I58/J58</f>
        <v>46.06666666666667</v>
      </c>
      <c r="L58" s="215">
        <v>0</v>
      </c>
      <c r="M58" s="215">
        <v>0</v>
      </c>
      <c r="N58" s="215">
        <v>0</v>
      </c>
      <c r="O58" s="215">
        <v>28</v>
      </c>
      <c r="P58" s="192">
        <f t="shared" si="9"/>
        <v>28</v>
      </c>
      <c r="Q58" s="214">
        <f>K58*50%*L58</f>
        <v>0</v>
      </c>
      <c r="R58" s="214">
        <f>K58*60%*M58</f>
        <v>0</v>
      </c>
      <c r="S58" s="214">
        <f>K58*60%*N58</f>
        <v>0</v>
      </c>
      <c r="T58" s="214">
        <f>K58*75%*O58</f>
        <v>967.40000000000009</v>
      </c>
      <c r="U58" s="214">
        <f>S58+T58</f>
        <v>967.40000000000009</v>
      </c>
      <c r="V58" s="214">
        <f>K58*(M58+O58+L58+N58)*100%</f>
        <v>1289.8666666666668</v>
      </c>
    </row>
    <row r="59" spans="1:22" s="185" customFormat="1" ht="14.1" customHeight="1" x14ac:dyDescent="0.25">
      <c r="A59" s="196">
        <v>2281</v>
      </c>
      <c r="B59" s="44" t="s">
        <v>248</v>
      </c>
      <c r="C59" s="65" t="s">
        <v>249</v>
      </c>
      <c r="D59" s="55">
        <v>100</v>
      </c>
      <c r="E59" s="55" t="s">
        <v>22</v>
      </c>
      <c r="F59" s="12">
        <v>45706</v>
      </c>
      <c r="G59" s="143"/>
      <c r="H59" s="203">
        <v>45707</v>
      </c>
      <c r="I59" s="42">
        <v>1773.47</v>
      </c>
      <c r="J59" s="1">
        <v>30</v>
      </c>
      <c r="K59" s="2">
        <f>I59/J59</f>
        <v>59.115666666666669</v>
      </c>
      <c r="L59" s="1">
        <v>2</v>
      </c>
      <c r="M59" s="1">
        <v>0</v>
      </c>
      <c r="N59" s="1">
        <v>0</v>
      </c>
      <c r="O59" s="1">
        <v>0</v>
      </c>
      <c r="P59" s="192">
        <f>L59+M59+N59+O59</f>
        <v>2</v>
      </c>
      <c r="Q59" s="42">
        <f>K59*50%*L59</f>
        <v>59.115666666666669</v>
      </c>
      <c r="R59" s="42">
        <f>K59*60%*M59</f>
        <v>0</v>
      </c>
      <c r="S59" s="42">
        <f>K59*60%*N59</f>
        <v>0</v>
      </c>
      <c r="T59" s="42">
        <f>K59*75%*O59</f>
        <v>0</v>
      </c>
      <c r="U59" s="42">
        <f>S59+T59</f>
        <v>0</v>
      </c>
      <c r="V59" s="42">
        <f>K59*(M59+O59+L59+N59)*100%</f>
        <v>118.23133333333334</v>
      </c>
    </row>
    <row r="60" spans="1:22" s="185" customFormat="1" ht="14.1" customHeight="1" x14ac:dyDescent="0.25">
      <c r="A60" s="196">
        <v>2281</v>
      </c>
      <c r="B60" s="44" t="s">
        <v>95</v>
      </c>
      <c r="C60" s="65" t="s">
        <v>96</v>
      </c>
      <c r="D60" s="55">
        <v>100</v>
      </c>
      <c r="E60" s="55" t="s">
        <v>22</v>
      </c>
      <c r="F60" s="12">
        <v>45448</v>
      </c>
      <c r="G60" s="143">
        <v>45721</v>
      </c>
      <c r="H60" s="12" t="s">
        <v>237</v>
      </c>
      <c r="I60" s="42">
        <v>1813.28</v>
      </c>
      <c r="J60" s="1">
        <v>30</v>
      </c>
      <c r="K60" s="2">
        <f>I60/J60</f>
        <v>60.442666666666668</v>
      </c>
      <c r="L60" s="1">
        <v>0</v>
      </c>
      <c r="M60" s="1">
        <v>0</v>
      </c>
      <c r="N60" s="1">
        <v>0</v>
      </c>
      <c r="O60" s="1">
        <v>28</v>
      </c>
      <c r="P60" s="192">
        <f t="shared" si="9"/>
        <v>28</v>
      </c>
      <c r="Q60" s="42">
        <f>K60*50%*L60</f>
        <v>0</v>
      </c>
      <c r="R60" s="42">
        <f>K60*60%*M60</f>
        <v>0</v>
      </c>
      <c r="S60" s="42">
        <f>K60*60%*N60</f>
        <v>0</v>
      </c>
      <c r="T60" s="42">
        <f>K60*75%*O60</f>
        <v>1269.296</v>
      </c>
      <c r="U60" s="42">
        <f>S60+T60</f>
        <v>1269.296</v>
      </c>
      <c r="V60" s="42">
        <f>K60*(M60+O60+L60+N60)*100%</f>
        <v>1692.3946666666666</v>
      </c>
    </row>
    <row r="61" spans="1:22" s="185" customFormat="1" ht="13.5" customHeight="1" x14ac:dyDescent="0.25">
      <c r="A61" s="193" t="s">
        <v>103</v>
      </c>
      <c r="B61" s="177"/>
      <c r="C61" s="178"/>
      <c r="D61" s="179"/>
      <c r="E61" s="180"/>
      <c r="F61" s="194"/>
      <c r="G61" s="181"/>
      <c r="H61" s="194"/>
      <c r="I61" s="182"/>
      <c r="J61" s="183"/>
      <c r="K61" s="184"/>
      <c r="L61" s="183"/>
      <c r="M61" s="183"/>
      <c r="N61" s="183"/>
      <c r="O61" s="183"/>
      <c r="P61" s="192">
        <f t="shared" si="9"/>
        <v>0</v>
      </c>
      <c r="Q61" s="182"/>
      <c r="R61" s="182"/>
      <c r="S61" s="182"/>
      <c r="T61" s="182"/>
      <c r="U61" s="182"/>
      <c r="V61" s="182"/>
    </row>
    <row r="62" spans="1:22" s="185" customFormat="1" ht="15" customHeight="1" x14ac:dyDescent="0.25">
      <c r="A62" s="195">
        <v>2281</v>
      </c>
      <c r="B62" s="9" t="s">
        <v>60</v>
      </c>
      <c r="C62" s="51"/>
      <c r="D62" s="56"/>
      <c r="E62" s="56"/>
      <c r="F62" s="142"/>
      <c r="G62" s="142"/>
      <c r="H62" s="52"/>
      <c r="I62" s="53"/>
      <c r="J62" s="52"/>
      <c r="K62" s="53"/>
      <c r="L62" s="52"/>
      <c r="M62" s="52"/>
      <c r="N62" s="52"/>
      <c r="O62" s="52"/>
      <c r="P62" s="192">
        <f t="shared" si="9"/>
        <v>0</v>
      </c>
      <c r="Q62" s="10"/>
      <c r="R62" s="10"/>
      <c r="S62" s="10"/>
      <c r="T62" s="10"/>
      <c r="U62" s="11">
        <f>SUM(U56:U61)</f>
        <v>4417.0664999999999</v>
      </c>
      <c r="V62" s="10"/>
    </row>
    <row r="63" spans="1:22" x14ac:dyDescent="0.25">
      <c r="A63" s="196">
        <v>2290</v>
      </c>
      <c r="B63" s="44" t="s">
        <v>74</v>
      </c>
      <c r="C63" s="65" t="s">
        <v>75</v>
      </c>
      <c r="D63" s="55">
        <v>100</v>
      </c>
      <c r="E63" s="55" t="s">
        <v>22</v>
      </c>
      <c r="F63" s="12">
        <v>45347</v>
      </c>
      <c r="G63" s="143">
        <v>45711</v>
      </c>
      <c r="H63" s="12" t="s">
        <v>228</v>
      </c>
      <c r="I63" s="42">
        <v>744.29</v>
      </c>
      <c r="J63" s="1">
        <v>16</v>
      </c>
      <c r="K63" s="2">
        <f>I63/J63</f>
        <v>46.518124999999998</v>
      </c>
      <c r="L63" s="1">
        <v>0</v>
      </c>
      <c r="M63" s="1">
        <v>0</v>
      </c>
      <c r="N63" s="1">
        <v>0</v>
      </c>
      <c r="O63" s="1">
        <v>28</v>
      </c>
      <c r="P63" s="192">
        <f t="shared" si="9"/>
        <v>28</v>
      </c>
      <c r="Q63" s="42">
        <f>K63*50%*L63</f>
        <v>0</v>
      </c>
      <c r="R63" s="42">
        <f>K63*60%*M63</f>
        <v>0</v>
      </c>
      <c r="S63" s="42">
        <f>K63*60%*N63</f>
        <v>0</v>
      </c>
      <c r="T63" s="42">
        <f>K63*75%*O63</f>
        <v>976.88062500000001</v>
      </c>
      <c r="U63" s="42">
        <f>S63+T63</f>
        <v>976.88062500000001</v>
      </c>
      <c r="V63" s="42">
        <f>K63*(M63+O63+L63+N63)*100%</f>
        <v>1302.5074999999999</v>
      </c>
    </row>
    <row r="64" spans="1:22" s="185" customFormat="1" ht="14.25" customHeight="1" x14ac:dyDescent="0.25">
      <c r="A64" s="193" t="s">
        <v>176</v>
      </c>
      <c r="B64" s="177"/>
      <c r="C64" s="178"/>
      <c r="D64" s="179"/>
      <c r="E64" s="180"/>
      <c r="F64" s="194"/>
      <c r="G64" s="181"/>
      <c r="H64" s="194"/>
      <c r="I64" s="182"/>
      <c r="J64" s="183"/>
      <c r="K64" s="184"/>
      <c r="L64" s="183"/>
      <c r="M64" s="183"/>
      <c r="N64" s="183"/>
      <c r="O64" s="183"/>
      <c r="P64" s="192"/>
      <c r="Q64" s="182"/>
      <c r="R64" s="182"/>
      <c r="S64" s="182"/>
      <c r="T64" s="182"/>
      <c r="U64" s="182"/>
      <c r="V64" s="182"/>
    </row>
    <row r="65" spans="1:23" x14ac:dyDescent="0.25">
      <c r="A65" s="196">
        <v>2290</v>
      </c>
      <c r="B65" s="44" t="s">
        <v>259</v>
      </c>
      <c r="C65" s="65" t="s">
        <v>260</v>
      </c>
      <c r="D65" s="55">
        <v>100</v>
      </c>
      <c r="E65" s="55" t="s">
        <v>22</v>
      </c>
      <c r="F65" s="12">
        <v>45709</v>
      </c>
      <c r="G65" s="143">
        <v>45730</v>
      </c>
      <c r="H65" s="12" t="s">
        <v>274</v>
      </c>
      <c r="I65" s="42">
        <v>1477.48</v>
      </c>
      <c r="J65" s="1">
        <v>30</v>
      </c>
      <c r="K65" s="2">
        <f>I65/J65</f>
        <v>49.249333333333333</v>
      </c>
      <c r="L65" s="1">
        <v>3</v>
      </c>
      <c r="M65" s="1">
        <v>5</v>
      </c>
      <c r="N65" s="1">
        <v>0</v>
      </c>
      <c r="O65" s="1">
        <v>0</v>
      </c>
      <c r="P65" s="192">
        <f>L65+M65+N65+O65</f>
        <v>8</v>
      </c>
      <c r="Q65" s="42">
        <f>K65*50%*L65</f>
        <v>73.873999999999995</v>
      </c>
      <c r="R65" s="42">
        <f>K65*60%*M65</f>
        <v>147.74799999999999</v>
      </c>
      <c r="S65" s="42">
        <f>K65*60%*N65</f>
        <v>0</v>
      </c>
      <c r="T65" s="42">
        <f>K65*75%*O65</f>
        <v>0</v>
      </c>
      <c r="U65" s="42">
        <f>S65+T65</f>
        <v>0</v>
      </c>
      <c r="V65" s="42">
        <f>K65*(M65+O65+L65+N65)*100%</f>
        <v>393.99466666666666</v>
      </c>
    </row>
    <row r="66" spans="1:23" x14ac:dyDescent="0.25">
      <c r="A66" s="196">
        <v>2290</v>
      </c>
      <c r="B66" s="44" t="s">
        <v>158</v>
      </c>
      <c r="C66" s="65" t="s">
        <v>159</v>
      </c>
      <c r="D66" s="55">
        <v>100</v>
      </c>
      <c r="E66" s="55" t="s">
        <v>22</v>
      </c>
      <c r="F66" s="12">
        <v>45672</v>
      </c>
      <c r="G66" s="143">
        <v>45707</v>
      </c>
      <c r="H66" s="203" t="s">
        <v>244</v>
      </c>
      <c r="I66" s="42">
        <v>1487.51</v>
      </c>
      <c r="J66" s="1">
        <v>30</v>
      </c>
      <c r="K66" s="2">
        <f>I66/J66</f>
        <v>49.583666666666666</v>
      </c>
      <c r="L66" s="1">
        <v>0</v>
      </c>
      <c r="M66" s="1">
        <v>0</v>
      </c>
      <c r="N66" s="1">
        <v>3</v>
      </c>
      <c r="O66" s="1">
        <v>11</v>
      </c>
      <c r="P66" s="192">
        <f>L66+M66+N66+O66</f>
        <v>14</v>
      </c>
      <c r="Q66" s="42">
        <f>K66*50%*L66</f>
        <v>0</v>
      </c>
      <c r="R66" s="42">
        <f>K66*60%*M66</f>
        <v>0</v>
      </c>
      <c r="S66" s="42">
        <f>K66*60%*N66</f>
        <v>89.250599999999991</v>
      </c>
      <c r="T66" s="42">
        <f>K66*75%*O66</f>
        <v>409.06524999999999</v>
      </c>
      <c r="U66" s="42">
        <f>S66+T66</f>
        <v>498.31584999999995</v>
      </c>
      <c r="V66" s="42">
        <f>K66*(M66+O66+L66+N66)*100%</f>
        <v>694.17133333333334</v>
      </c>
    </row>
    <row r="67" spans="1:23" s="185" customFormat="1" ht="14.1" customHeight="1" x14ac:dyDescent="0.25">
      <c r="A67" s="193" t="s">
        <v>209</v>
      </c>
      <c r="B67" s="177"/>
      <c r="C67" s="178"/>
      <c r="D67" s="179"/>
      <c r="E67" s="180"/>
      <c r="F67" s="194"/>
      <c r="G67" s="181"/>
      <c r="H67" s="194"/>
      <c r="I67" s="182"/>
      <c r="J67" s="182"/>
      <c r="K67" s="182"/>
      <c r="L67" s="182"/>
      <c r="M67" s="182"/>
      <c r="N67" s="182"/>
      <c r="O67" s="182"/>
      <c r="P67" s="192"/>
      <c r="Q67" s="182"/>
      <c r="R67" s="182"/>
      <c r="S67" s="182"/>
      <c r="T67" s="182"/>
      <c r="U67" s="182"/>
      <c r="V67" s="182"/>
    </row>
    <row r="68" spans="1:23" x14ac:dyDescent="0.25">
      <c r="A68" s="196">
        <v>2290</v>
      </c>
      <c r="B68" s="44" t="s">
        <v>98</v>
      </c>
      <c r="C68" s="65" t="s">
        <v>99</v>
      </c>
      <c r="D68" s="55">
        <v>100</v>
      </c>
      <c r="E68" s="55" t="s">
        <v>22</v>
      </c>
      <c r="F68" s="12">
        <v>45607</v>
      </c>
      <c r="G68" s="143">
        <v>45726</v>
      </c>
      <c r="H68" s="12" t="s">
        <v>245</v>
      </c>
      <c r="I68" s="42">
        <v>1500.04</v>
      </c>
      <c r="J68" s="1">
        <v>30</v>
      </c>
      <c r="K68" s="2">
        <f>I68/J68</f>
        <v>50.001333333333335</v>
      </c>
      <c r="L68" s="1">
        <v>0</v>
      </c>
      <c r="M68" s="1">
        <v>0</v>
      </c>
      <c r="N68" s="1">
        <v>0</v>
      </c>
      <c r="O68" s="1">
        <v>28</v>
      </c>
      <c r="P68" s="192">
        <f>L68+M68+N68+O68</f>
        <v>28</v>
      </c>
      <c r="Q68" s="42">
        <f>K68*50%*L68</f>
        <v>0</v>
      </c>
      <c r="R68" s="42">
        <f>K68*60%*M68</f>
        <v>0</v>
      </c>
      <c r="S68" s="42">
        <f>K68*60%*N68</f>
        <v>0</v>
      </c>
      <c r="T68" s="42">
        <f>K68*75%*O68</f>
        <v>1050.0280000000002</v>
      </c>
      <c r="U68" s="42">
        <f>S68+T68</f>
        <v>1050.0280000000002</v>
      </c>
      <c r="V68" s="42">
        <f>K68*(M68+O68+L68+N68)*100%</f>
        <v>1400.0373333333334</v>
      </c>
    </row>
    <row r="69" spans="1:23" x14ac:dyDescent="0.25">
      <c r="A69" s="193" t="s">
        <v>251</v>
      </c>
      <c r="B69" s="177"/>
      <c r="C69" s="178"/>
      <c r="D69" s="179"/>
      <c r="E69" s="180"/>
      <c r="F69" s="194"/>
      <c r="G69" s="181"/>
      <c r="H69" s="194"/>
      <c r="I69" s="182"/>
      <c r="J69" s="183"/>
      <c r="K69" s="184"/>
      <c r="L69" s="183"/>
      <c r="M69" s="183"/>
      <c r="N69" s="183"/>
      <c r="O69" s="183"/>
      <c r="P69" s="192"/>
      <c r="Q69" s="182"/>
      <c r="R69" s="182"/>
      <c r="S69" s="182"/>
      <c r="T69" s="182"/>
      <c r="U69" s="182"/>
      <c r="V69" s="182"/>
    </row>
    <row r="70" spans="1:23" s="185" customFormat="1" ht="14.25" customHeight="1" x14ac:dyDescent="0.25">
      <c r="A70" s="196">
        <v>2290</v>
      </c>
      <c r="B70" s="44" t="s">
        <v>230</v>
      </c>
      <c r="C70" s="65" t="s">
        <v>231</v>
      </c>
      <c r="D70" s="55">
        <v>100</v>
      </c>
      <c r="E70" s="55" t="s">
        <v>22</v>
      </c>
      <c r="F70" s="12">
        <v>45694</v>
      </c>
      <c r="G70" s="143">
        <v>45722</v>
      </c>
      <c r="H70" s="12" t="s">
        <v>271</v>
      </c>
      <c r="I70" s="42">
        <v>1771.25</v>
      </c>
      <c r="J70" s="1">
        <v>74</v>
      </c>
      <c r="K70" s="2">
        <f>I70/J70</f>
        <v>23.935810810810811</v>
      </c>
      <c r="L70" s="1">
        <v>3</v>
      </c>
      <c r="M70" s="1">
        <v>12</v>
      </c>
      <c r="N70" s="1">
        <v>5</v>
      </c>
      <c r="O70" s="1">
        <v>3</v>
      </c>
      <c r="P70" s="192">
        <f>L70+M70+N70+O70</f>
        <v>23</v>
      </c>
      <c r="Q70" s="42">
        <f>K70*50%*L70</f>
        <v>35.903716216216218</v>
      </c>
      <c r="R70" s="42">
        <f>K70*60%*M70</f>
        <v>172.33783783783784</v>
      </c>
      <c r="S70" s="42">
        <f>K70*60%*N70</f>
        <v>71.807432432432435</v>
      </c>
      <c r="T70" s="42">
        <f>K70*75%*O70</f>
        <v>53.855574324324323</v>
      </c>
      <c r="U70" s="42">
        <f>S70+T70</f>
        <v>125.66300675675676</v>
      </c>
      <c r="V70" s="42">
        <f>K70*(M70+O70+L70+N70)*100%</f>
        <v>550.52364864864865</v>
      </c>
    </row>
    <row r="71" spans="1:23" s="185" customFormat="1" ht="15" customHeight="1" x14ac:dyDescent="0.25">
      <c r="A71" s="193" t="s">
        <v>252</v>
      </c>
      <c r="B71" s="177"/>
      <c r="C71" s="178"/>
      <c r="D71" s="179"/>
      <c r="E71" s="180"/>
      <c r="F71" s="194"/>
      <c r="G71" s="181"/>
      <c r="H71" s="194"/>
      <c r="I71" s="182"/>
      <c r="J71" s="183"/>
      <c r="K71" s="184"/>
      <c r="L71" s="183"/>
      <c r="M71" s="183"/>
      <c r="N71" s="183"/>
      <c r="O71" s="183"/>
      <c r="P71" s="192"/>
      <c r="Q71" s="182"/>
      <c r="R71" s="182"/>
      <c r="S71" s="182"/>
      <c r="T71" s="182"/>
      <c r="U71" s="182"/>
      <c r="V71" s="182"/>
    </row>
    <row r="72" spans="1:23" x14ac:dyDescent="0.25">
      <c r="A72" s="196">
        <v>2290</v>
      </c>
      <c r="B72" s="44" t="s">
        <v>263</v>
      </c>
      <c r="C72" s="65" t="s">
        <v>264</v>
      </c>
      <c r="D72" s="55">
        <v>100</v>
      </c>
      <c r="E72" s="55" t="s">
        <v>22</v>
      </c>
      <c r="F72" s="12">
        <v>45712</v>
      </c>
      <c r="G72" s="143"/>
      <c r="H72" s="203">
        <v>45712</v>
      </c>
      <c r="I72" s="42">
        <v>1570.04</v>
      </c>
      <c r="J72" s="1">
        <v>30</v>
      </c>
      <c r="K72" s="2">
        <f>I72/J72</f>
        <v>52.334666666666664</v>
      </c>
      <c r="L72" s="1">
        <v>1</v>
      </c>
      <c r="M72" s="1">
        <v>0</v>
      </c>
      <c r="N72" s="1">
        <v>0</v>
      </c>
      <c r="O72" s="1">
        <v>0</v>
      </c>
      <c r="P72" s="192">
        <f>L72+M72+N72+O72</f>
        <v>1</v>
      </c>
      <c r="Q72" s="42">
        <f>K72*50%*L72</f>
        <v>26.167333333333332</v>
      </c>
      <c r="R72" s="42">
        <f>K72*60%*M72</f>
        <v>0</v>
      </c>
      <c r="S72" s="42">
        <f>K72*60%*N72</f>
        <v>0</v>
      </c>
      <c r="T72" s="42">
        <f>K72*75%*O72</f>
        <v>0</v>
      </c>
      <c r="U72" s="42">
        <f>S72+T72</f>
        <v>0</v>
      </c>
      <c r="V72" s="42">
        <f>K72*(M72+O72+L72+N72)*100%</f>
        <v>52.334666666666664</v>
      </c>
    </row>
    <row r="73" spans="1:23" x14ac:dyDescent="0.25">
      <c r="A73" s="196">
        <v>2290</v>
      </c>
      <c r="B73" s="44" t="s">
        <v>97</v>
      </c>
      <c r="C73" s="65" t="s">
        <v>100</v>
      </c>
      <c r="D73" s="55">
        <v>100</v>
      </c>
      <c r="E73" s="55" t="s">
        <v>22</v>
      </c>
      <c r="F73" s="12">
        <v>45561</v>
      </c>
      <c r="G73" s="143">
        <v>45727</v>
      </c>
      <c r="H73" s="12" t="s">
        <v>250</v>
      </c>
      <c r="I73" s="42">
        <v>1512.48</v>
      </c>
      <c r="J73" s="1">
        <v>30</v>
      </c>
      <c r="K73" s="2">
        <f>I73/J73</f>
        <v>50.416000000000004</v>
      </c>
      <c r="L73" s="1">
        <v>0</v>
      </c>
      <c r="M73" s="1">
        <v>0</v>
      </c>
      <c r="N73" s="1">
        <v>0</v>
      </c>
      <c r="O73" s="1">
        <v>28</v>
      </c>
      <c r="P73" s="192">
        <f>L73+M73+N73+O73</f>
        <v>28</v>
      </c>
      <c r="Q73" s="42">
        <f>K73*50%*L73</f>
        <v>0</v>
      </c>
      <c r="R73" s="42">
        <f>K73*60%*M73</f>
        <v>0</v>
      </c>
      <c r="S73" s="42">
        <f>K73*60%*N73</f>
        <v>0</v>
      </c>
      <c r="T73" s="42">
        <f>K73*75%*O73</f>
        <v>1058.7360000000001</v>
      </c>
      <c r="U73" s="42">
        <f>S73+T73</f>
        <v>1058.7360000000001</v>
      </c>
      <c r="V73" s="42">
        <f>K73*(M73+O73+L73+N73)*100%</f>
        <v>1411.6480000000001</v>
      </c>
    </row>
    <row r="74" spans="1:23" s="185" customFormat="1" ht="15" customHeight="1" x14ac:dyDescent="0.25">
      <c r="A74" s="193" t="s">
        <v>117</v>
      </c>
      <c r="B74" s="177"/>
      <c r="C74" s="178"/>
      <c r="D74" s="179"/>
      <c r="E74" s="180"/>
      <c r="F74" s="194"/>
      <c r="G74" s="181"/>
      <c r="H74" s="194"/>
      <c r="I74" s="182"/>
      <c r="J74" s="183"/>
      <c r="K74" s="184"/>
      <c r="L74" s="183"/>
      <c r="M74" s="183"/>
      <c r="N74" s="183"/>
      <c r="O74" s="183"/>
      <c r="P74" s="192"/>
      <c r="Q74" s="182"/>
      <c r="R74" s="182"/>
      <c r="S74" s="182"/>
      <c r="T74" s="182"/>
      <c r="U74" s="182"/>
      <c r="V74" s="182"/>
    </row>
    <row r="75" spans="1:23" x14ac:dyDescent="0.25">
      <c r="A75" s="89">
        <v>2290</v>
      </c>
      <c r="B75" s="68" t="s">
        <v>113</v>
      </c>
      <c r="C75" s="66" t="s">
        <v>114</v>
      </c>
      <c r="D75" s="205">
        <v>100</v>
      </c>
      <c r="E75" s="84" t="s">
        <v>22</v>
      </c>
      <c r="F75" s="141">
        <v>45566</v>
      </c>
      <c r="G75" s="141"/>
      <c r="H75" s="147">
        <v>45696</v>
      </c>
      <c r="I75" s="85"/>
      <c r="J75" s="85"/>
      <c r="K75" s="85"/>
      <c r="L75" s="199"/>
      <c r="M75" s="199"/>
      <c r="N75" s="199"/>
      <c r="O75" s="85"/>
      <c r="P75" s="83"/>
      <c r="Q75" s="83" t="s">
        <v>88</v>
      </c>
      <c r="R75" s="68"/>
      <c r="S75" s="68"/>
      <c r="T75" s="68"/>
      <c r="U75" s="85"/>
      <c r="V75" s="68"/>
    </row>
    <row r="76" spans="1:23" x14ac:dyDescent="0.25">
      <c r="A76" s="89">
        <v>2290</v>
      </c>
      <c r="B76" s="68" t="s">
        <v>113</v>
      </c>
      <c r="C76" s="66" t="s">
        <v>114</v>
      </c>
      <c r="D76" s="205">
        <v>100</v>
      </c>
      <c r="E76" s="84" t="s">
        <v>22</v>
      </c>
      <c r="F76" s="141">
        <v>45697</v>
      </c>
      <c r="G76" s="141"/>
      <c r="H76" s="147">
        <v>45808</v>
      </c>
      <c r="I76" s="85"/>
      <c r="J76" s="85"/>
      <c r="K76" s="85"/>
      <c r="L76" s="199"/>
      <c r="M76" s="199"/>
      <c r="N76" s="199"/>
      <c r="O76" s="85"/>
      <c r="P76" s="83"/>
      <c r="Q76" s="83" t="s">
        <v>92</v>
      </c>
      <c r="R76" s="68"/>
      <c r="S76" s="68"/>
      <c r="T76" s="68"/>
      <c r="U76" s="85"/>
      <c r="V76" s="68"/>
    </row>
    <row r="77" spans="1:23" x14ac:dyDescent="0.25">
      <c r="A77" s="193" t="s">
        <v>238</v>
      </c>
      <c r="B77" s="177"/>
      <c r="C77" s="178"/>
      <c r="D77" s="179"/>
      <c r="E77" s="180"/>
      <c r="F77" s="194"/>
      <c r="G77" s="181"/>
      <c r="H77" s="194"/>
      <c r="I77" s="182"/>
      <c r="J77" s="183"/>
      <c r="K77" s="184"/>
      <c r="L77" s="183"/>
      <c r="M77" s="183"/>
      <c r="N77" s="183"/>
      <c r="O77" s="183"/>
      <c r="P77" s="192"/>
      <c r="Q77" s="182"/>
      <c r="R77" s="182"/>
      <c r="S77" s="182"/>
      <c r="T77" s="182"/>
      <c r="U77" s="182"/>
      <c r="V77" s="182"/>
      <c r="W77" s="202"/>
    </row>
    <row r="78" spans="1:23" x14ac:dyDescent="0.25">
      <c r="A78" s="197">
        <v>2290</v>
      </c>
      <c r="B78" s="9" t="s">
        <v>54</v>
      </c>
      <c r="C78" s="51"/>
      <c r="D78" s="56"/>
      <c r="E78" s="56"/>
      <c r="F78" s="142"/>
      <c r="G78" s="142"/>
      <c r="H78" s="52"/>
      <c r="I78" s="53"/>
      <c r="J78" s="52"/>
      <c r="K78" s="53"/>
      <c r="L78" s="52"/>
      <c r="M78" s="52"/>
      <c r="N78" s="52"/>
      <c r="O78" s="52"/>
      <c r="P78" s="192">
        <f t="shared" ref="P78:P84" si="11">L78+M78+N78+O78</f>
        <v>0</v>
      </c>
      <c r="Q78" s="10"/>
      <c r="R78" s="10"/>
      <c r="S78" s="10"/>
      <c r="T78" s="10"/>
      <c r="U78" s="11">
        <f>SUM(U63:U75)</f>
        <v>3709.6234817567565</v>
      </c>
      <c r="V78" s="10"/>
    </row>
    <row r="79" spans="1:23" x14ac:dyDescent="0.25">
      <c r="A79" s="196">
        <v>2350</v>
      </c>
      <c r="B79" s="44" t="s">
        <v>127</v>
      </c>
      <c r="C79" s="65" t="s">
        <v>128</v>
      </c>
      <c r="D79" s="55">
        <v>100</v>
      </c>
      <c r="E79" s="55" t="s">
        <v>22</v>
      </c>
      <c r="F79" s="12">
        <v>45617</v>
      </c>
      <c r="G79" s="143">
        <v>45702</v>
      </c>
      <c r="H79" s="203">
        <v>45702</v>
      </c>
      <c r="I79" s="186">
        <v>1323</v>
      </c>
      <c r="J79" s="1">
        <v>30</v>
      </c>
      <c r="K79" s="2">
        <f>I79/J79</f>
        <v>44.1</v>
      </c>
      <c r="L79" s="1">
        <v>0</v>
      </c>
      <c r="M79" s="1">
        <v>0</v>
      </c>
      <c r="N79" s="1">
        <v>0</v>
      </c>
      <c r="O79" s="1">
        <v>14</v>
      </c>
      <c r="P79" s="192">
        <f t="shared" si="11"/>
        <v>14</v>
      </c>
      <c r="Q79" s="42">
        <f>K79*50%*L79</f>
        <v>0</v>
      </c>
      <c r="R79" s="42">
        <f>K79*60%*M79</f>
        <v>0</v>
      </c>
      <c r="S79" s="42">
        <f>K79*60%*N79</f>
        <v>0</v>
      </c>
      <c r="T79" s="42">
        <f>K79*75%*O79</f>
        <v>463.05000000000007</v>
      </c>
      <c r="U79" s="42">
        <f>S79+T79</f>
        <v>463.05000000000007</v>
      </c>
      <c r="V79" s="42">
        <f>K79*(M79+O79+L79+N79)*100%</f>
        <v>617.4</v>
      </c>
    </row>
    <row r="80" spans="1:23" s="185" customFormat="1" x14ac:dyDescent="0.25">
      <c r="A80" s="196">
        <v>2350</v>
      </c>
      <c r="B80" s="44" t="s">
        <v>93</v>
      </c>
      <c r="C80" s="65" t="s">
        <v>94</v>
      </c>
      <c r="D80" s="55">
        <v>100</v>
      </c>
      <c r="E80" s="55" t="s">
        <v>22</v>
      </c>
      <c r="F80" s="12">
        <v>45443</v>
      </c>
      <c r="G80" s="143">
        <v>45737</v>
      </c>
      <c r="H80" s="12" t="s">
        <v>276</v>
      </c>
      <c r="I80" s="186">
        <v>1323</v>
      </c>
      <c r="J80" s="1">
        <v>30</v>
      </c>
      <c r="K80" s="2">
        <f>I80/J80</f>
        <v>44.1</v>
      </c>
      <c r="L80" s="1">
        <v>0</v>
      </c>
      <c r="M80" s="1">
        <v>0</v>
      </c>
      <c r="N80" s="1">
        <v>0</v>
      </c>
      <c r="O80" s="1">
        <v>28</v>
      </c>
      <c r="P80" s="192">
        <f t="shared" si="11"/>
        <v>28</v>
      </c>
      <c r="Q80" s="42">
        <f>K80*50%*L80</f>
        <v>0</v>
      </c>
      <c r="R80" s="42">
        <f>K80*60%*M80</f>
        <v>0</v>
      </c>
      <c r="S80" s="42">
        <f>K80*60%*N80</f>
        <v>0</v>
      </c>
      <c r="T80" s="42">
        <f>K80*75%*O80</f>
        <v>926.10000000000014</v>
      </c>
      <c r="U80" s="42">
        <f>S80+T80</f>
        <v>926.10000000000014</v>
      </c>
      <c r="V80" s="42">
        <f>K80*(M80+O80+L80+N80)*100%</f>
        <v>1234.8</v>
      </c>
    </row>
    <row r="81" spans="1:22" x14ac:dyDescent="0.25">
      <c r="A81" s="69">
        <v>2350</v>
      </c>
      <c r="B81" s="44" t="s">
        <v>80</v>
      </c>
      <c r="C81" s="65" t="s">
        <v>81</v>
      </c>
      <c r="D81" s="55">
        <v>100</v>
      </c>
      <c r="E81" s="55" t="s">
        <v>22</v>
      </c>
      <c r="F81" s="40">
        <v>45639</v>
      </c>
      <c r="G81" s="143">
        <v>45716</v>
      </c>
      <c r="H81" s="203" t="s">
        <v>273</v>
      </c>
      <c r="I81" s="217">
        <v>1323</v>
      </c>
      <c r="J81" s="20">
        <v>30</v>
      </c>
      <c r="K81" s="2">
        <f>I81/J81</f>
        <v>44.1</v>
      </c>
      <c r="L81" s="20">
        <v>0</v>
      </c>
      <c r="M81" s="20">
        <v>0</v>
      </c>
      <c r="N81" s="20">
        <v>0</v>
      </c>
      <c r="O81" s="20">
        <v>27</v>
      </c>
      <c r="P81" s="192">
        <f t="shared" si="11"/>
        <v>27</v>
      </c>
      <c r="Q81" s="42">
        <f>K81*50%*L81</f>
        <v>0</v>
      </c>
      <c r="R81" s="42">
        <f>K81*60%*M81</f>
        <v>0</v>
      </c>
      <c r="S81" s="42">
        <f>K81*60%*N81</f>
        <v>0</v>
      </c>
      <c r="T81" s="42">
        <f>K81*75%*O81</f>
        <v>893.02500000000009</v>
      </c>
      <c r="U81" s="42">
        <f>S81+T81</f>
        <v>893.02500000000009</v>
      </c>
      <c r="V81" s="42">
        <f>K81*(M81+O81+L81+N81)*100%</f>
        <v>1190.7</v>
      </c>
    </row>
    <row r="82" spans="1:22" x14ac:dyDescent="0.25">
      <c r="A82" s="197">
        <v>2350</v>
      </c>
      <c r="B82" s="9" t="s">
        <v>78</v>
      </c>
      <c r="C82" s="51"/>
      <c r="D82" s="56"/>
      <c r="E82" s="56"/>
      <c r="F82" s="142"/>
      <c r="G82" s="142"/>
      <c r="H82" s="52"/>
      <c r="I82" s="53"/>
      <c r="J82" s="52"/>
      <c r="K82" s="53"/>
      <c r="L82" s="52"/>
      <c r="M82" s="52"/>
      <c r="N82" s="52"/>
      <c r="O82" s="52"/>
      <c r="P82" s="192">
        <f t="shared" si="11"/>
        <v>0</v>
      </c>
      <c r="Q82" s="10"/>
      <c r="R82" s="10"/>
      <c r="S82" s="10"/>
      <c r="T82" s="10"/>
      <c r="U82" s="11">
        <f>SUM(U79:U81)</f>
        <v>2282.1750000000002</v>
      </c>
      <c r="V82" s="10"/>
    </row>
    <row r="83" spans="1:22" x14ac:dyDescent="0.25">
      <c r="A83" s="196">
        <v>2357</v>
      </c>
      <c r="B83" s="44" t="s">
        <v>200</v>
      </c>
      <c r="C83" s="65" t="s">
        <v>201</v>
      </c>
      <c r="D83" s="55">
        <v>200</v>
      </c>
      <c r="E83" s="55" t="s">
        <v>22</v>
      </c>
      <c r="F83" s="12">
        <v>45671</v>
      </c>
      <c r="G83" s="143">
        <v>45727</v>
      </c>
      <c r="H83" s="12" t="s">
        <v>266</v>
      </c>
      <c r="I83" s="42">
        <v>4804.24</v>
      </c>
      <c r="J83" s="1">
        <v>92</v>
      </c>
      <c r="K83" s="2">
        <f>I83/J83</f>
        <v>52.22</v>
      </c>
      <c r="L83" s="1">
        <v>0</v>
      </c>
      <c r="M83" s="1">
        <v>0</v>
      </c>
      <c r="N83" s="1">
        <v>2</v>
      </c>
      <c r="O83" s="1">
        <v>26</v>
      </c>
      <c r="P83" s="192">
        <f t="shared" si="11"/>
        <v>28</v>
      </c>
      <c r="Q83" s="42">
        <f>K83*50%*L83</f>
        <v>0</v>
      </c>
      <c r="R83" s="42">
        <f>K83*60%*M83</f>
        <v>0</v>
      </c>
      <c r="S83" s="42">
        <f>K83*60%*N83</f>
        <v>62.663999999999994</v>
      </c>
      <c r="T83" s="42">
        <f>K83*75%*O83</f>
        <v>1018.29</v>
      </c>
      <c r="U83" s="42">
        <f>S83+T83</f>
        <v>1080.954</v>
      </c>
      <c r="V83" s="42">
        <f>K83*(M83+O83+L83+N83)*100%</f>
        <v>1462.1599999999999</v>
      </c>
    </row>
    <row r="84" spans="1:22" x14ac:dyDescent="0.25">
      <c r="A84" s="195">
        <v>2357</v>
      </c>
      <c r="B84" s="9" t="s">
        <v>199</v>
      </c>
      <c r="C84" s="51"/>
      <c r="D84" s="56"/>
      <c r="E84" s="56"/>
      <c r="F84" s="142"/>
      <c r="G84" s="142"/>
      <c r="H84" s="52"/>
      <c r="I84" s="53"/>
      <c r="J84" s="52"/>
      <c r="K84" s="53"/>
      <c r="L84" s="52"/>
      <c r="M84" s="52"/>
      <c r="N84" s="52"/>
      <c r="O84" s="52"/>
      <c r="P84" s="192">
        <f t="shared" si="11"/>
        <v>0</v>
      </c>
      <c r="Q84" s="10"/>
      <c r="R84" s="10"/>
      <c r="S84" s="10"/>
      <c r="T84" s="10"/>
      <c r="U84" s="11">
        <f>SUM(U83)</f>
        <v>1080.954</v>
      </c>
      <c r="V84" s="10"/>
    </row>
    <row r="85" spans="1:22" x14ac:dyDescent="0.25">
      <c r="A85" s="91"/>
      <c r="B85" s="14" t="s">
        <v>24</v>
      </c>
      <c r="C85" s="15"/>
      <c r="D85" s="57"/>
      <c r="E85" s="57"/>
      <c r="F85" s="145"/>
      <c r="G85" s="145"/>
      <c r="H85" s="67"/>
      <c r="I85" s="16"/>
      <c r="J85" s="17"/>
      <c r="K85" s="17"/>
      <c r="L85" s="17"/>
      <c r="M85" s="17"/>
      <c r="N85" s="17"/>
      <c r="O85" s="17"/>
      <c r="P85" s="18"/>
      <c r="Q85" s="16"/>
      <c r="R85" s="43"/>
      <c r="S85" s="43"/>
      <c r="T85" s="43"/>
      <c r="U85" s="43"/>
      <c r="V85" s="43"/>
    </row>
    <row r="86" spans="1:22" x14ac:dyDescent="0.25">
      <c r="A86" s="90">
        <v>2442</v>
      </c>
      <c r="B86" s="8" t="s">
        <v>82</v>
      </c>
      <c r="C86" s="65" t="s">
        <v>83</v>
      </c>
      <c r="D86" s="55"/>
      <c r="E86" s="55" t="s">
        <v>71</v>
      </c>
      <c r="F86" s="12">
        <v>45385</v>
      </c>
      <c r="G86" s="144">
        <v>45720</v>
      </c>
      <c r="H86" s="146" t="s">
        <v>217</v>
      </c>
      <c r="I86" s="19"/>
      <c r="J86" s="20"/>
      <c r="K86" s="20"/>
      <c r="L86" s="100" t="s">
        <v>91</v>
      </c>
      <c r="M86" s="86"/>
      <c r="N86" s="86"/>
      <c r="O86" s="86"/>
      <c r="P86" s="73"/>
      <c r="Q86" s="73"/>
      <c r="R86" s="73"/>
      <c r="S86" s="73"/>
      <c r="T86" s="73"/>
      <c r="U86" s="86"/>
      <c r="V86" s="74"/>
    </row>
    <row r="87" spans="1:22" x14ac:dyDescent="0.25">
      <c r="A87" s="92">
        <v>2442</v>
      </c>
      <c r="B87" s="21" t="s">
        <v>84</v>
      </c>
      <c r="C87" s="22"/>
      <c r="D87" s="13"/>
      <c r="E87" s="13"/>
      <c r="F87" s="70"/>
      <c r="G87" s="70"/>
      <c r="H87" s="13"/>
      <c r="I87" s="41"/>
      <c r="J87" s="13"/>
      <c r="K87" s="13"/>
      <c r="L87" s="13"/>
      <c r="M87" s="13"/>
      <c r="N87" s="13"/>
      <c r="O87" s="13"/>
      <c r="P87" s="13"/>
      <c r="Q87" s="198"/>
      <c r="R87" s="198"/>
      <c r="S87" s="198"/>
      <c r="T87" s="198"/>
      <c r="U87" s="198">
        <v>0</v>
      </c>
      <c r="V87" s="198"/>
    </row>
    <row r="88" spans="1:22" ht="15.75" thickBot="1" x14ac:dyDescent="0.3">
      <c r="A88" s="87"/>
      <c r="C88" s="23"/>
      <c r="D88" s="58"/>
      <c r="F88" s="23"/>
      <c r="G88" s="23"/>
      <c r="H88" s="23"/>
      <c r="I88" s="72"/>
      <c r="J88" s="23"/>
      <c r="K88" s="23"/>
      <c r="L88" s="23"/>
      <c r="M88" s="23"/>
      <c r="N88" s="23"/>
      <c r="O88" s="23"/>
      <c r="P88" s="23"/>
      <c r="Q88" s="72"/>
      <c r="R88" s="72"/>
      <c r="S88" s="72"/>
      <c r="T88" s="72"/>
      <c r="U88" s="72"/>
      <c r="V88" s="72"/>
    </row>
    <row r="89" spans="1:22" ht="15.75" thickBot="1" x14ac:dyDescent="0.3">
      <c r="A89" s="87"/>
      <c r="C89" s="23"/>
      <c r="D89" s="58"/>
      <c r="E89" s="23"/>
      <c r="F89" s="23"/>
      <c r="G89" s="23"/>
      <c r="H89" s="160" t="s">
        <v>25</v>
      </c>
      <c r="I89" s="161"/>
      <c r="J89" s="101"/>
      <c r="K89" s="102"/>
      <c r="L89" s="103"/>
      <c r="M89" s="104"/>
      <c r="N89" s="38"/>
      <c r="O89" s="38"/>
      <c r="P89" s="105"/>
      <c r="Q89" s="106"/>
      <c r="R89" s="107"/>
      <c r="S89" s="108"/>
      <c r="T89" s="108"/>
      <c r="U89" s="25"/>
      <c r="V89" s="109"/>
    </row>
    <row r="90" spans="1:22" x14ac:dyDescent="0.25">
      <c r="A90" s="93"/>
      <c r="B90" s="46"/>
      <c r="C90" s="46" t="s">
        <v>26</v>
      </c>
      <c r="D90" s="59"/>
      <c r="E90" s="46"/>
      <c r="F90" s="46"/>
      <c r="G90" s="47"/>
      <c r="H90" s="162"/>
      <c r="I90" s="163"/>
      <c r="J90" s="79" t="s">
        <v>27</v>
      </c>
      <c r="K90" s="110"/>
      <c r="L90" s="111"/>
      <c r="M90" s="110"/>
      <c r="N90" s="111"/>
      <c r="O90" s="111"/>
      <c r="P90" s="112"/>
      <c r="Q90" s="113"/>
      <c r="R90" s="110"/>
      <c r="S90" s="113"/>
      <c r="T90" s="114"/>
      <c r="U90" s="45"/>
      <c r="V90" s="115"/>
    </row>
    <row r="91" spans="1:22" x14ac:dyDescent="0.25">
      <c r="A91" s="94"/>
      <c r="B91" s="27"/>
      <c r="C91" s="27" t="s">
        <v>28</v>
      </c>
      <c r="D91" s="60"/>
      <c r="E91" s="28"/>
      <c r="F91" s="27"/>
      <c r="G91" s="48"/>
      <c r="H91" s="164" t="s">
        <v>29</v>
      </c>
      <c r="I91" s="165"/>
      <c r="J91" s="117" t="s">
        <v>30</v>
      </c>
      <c r="K91" s="116"/>
      <c r="L91" s="118"/>
      <c r="M91" s="116"/>
      <c r="N91" s="118"/>
      <c r="O91" s="118"/>
      <c r="P91" s="119"/>
      <c r="Q91" s="120"/>
      <c r="R91" s="116"/>
      <c r="S91" s="120"/>
      <c r="T91" s="121"/>
      <c r="U91" s="29"/>
      <c r="V91" s="122"/>
    </row>
    <row r="92" spans="1:22" ht="15.75" thickBot="1" x14ac:dyDescent="0.3">
      <c r="A92" s="95"/>
      <c r="B92" s="30"/>
      <c r="C92" s="30" t="s">
        <v>31</v>
      </c>
      <c r="D92" s="61"/>
      <c r="E92" s="30"/>
      <c r="F92" s="30"/>
      <c r="G92" s="49"/>
      <c r="H92" s="166"/>
      <c r="I92" s="167"/>
      <c r="J92" s="82" t="s">
        <v>32</v>
      </c>
      <c r="K92" s="123"/>
      <c r="L92" s="124"/>
      <c r="M92" s="123"/>
      <c r="N92" s="124"/>
      <c r="O92" s="124"/>
      <c r="P92" s="125"/>
      <c r="Q92" s="123"/>
      <c r="R92" s="123"/>
      <c r="S92" s="123"/>
      <c r="T92" s="126"/>
      <c r="U92" s="31"/>
      <c r="V92" s="127"/>
    </row>
    <row r="93" spans="1:22" x14ac:dyDescent="0.25">
      <c r="A93" s="156"/>
      <c r="B93" s="157"/>
      <c r="C93" s="157" t="s">
        <v>33</v>
      </c>
      <c r="D93" s="158"/>
      <c r="E93" s="157"/>
      <c r="F93" s="157"/>
      <c r="G93" s="159"/>
      <c r="H93" s="168" t="s">
        <v>34</v>
      </c>
      <c r="I93" s="169"/>
      <c r="J93" s="129"/>
      <c r="K93" s="129"/>
      <c r="L93" s="129"/>
      <c r="M93" s="129"/>
      <c r="N93" s="129"/>
      <c r="O93" s="129"/>
      <c r="P93" s="130"/>
      <c r="Q93" s="128"/>
      <c r="R93" s="128"/>
      <c r="S93" s="128"/>
      <c r="T93" s="131"/>
      <c r="U93" s="32"/>
      <c r="V93" s="132"/>
    </row>
    <row r="94" spans="1:22" ht="15.75" thickBot="1" x14ac:dyDescent="0.3">
      <c r="A94" s="96"/>
      <c r="B94" s="201"/>
      <c r="C94" s="76" t="s">
        <v>35</v>
      </c>
      <c r="D94" s="77"/>
      <c r="E94" s="76"/>
      <c r="F94" s="76"/>
      <c r="G94" s="78"/>
      <c r="H94" s="170" t="s">
        <v>36</v>
      </c>
      <c r="I94" s="171"/>
      <c r="J94" s="134"/>
      <c r="K94" s="134"/>
      <c r="L94" s="134"/>
      <c r="M94" s="134"/>
      <c r="N94" s="134"/>
      <c r="O94" s="134"/>
      <c r="P94" s="135"/>
      <c r="Q94" s="133"/>
      <c r="R94" s="133"/>
      <c r="S94" s="133"/>
      <c r="T94" s="136"/>
      <c r="U94" s="33"/>
      <c r="V94" s="137"/>
    </row>
    <row r="95" spans="1:22" ht="15.75" thickBot="1" x14ac:dyDescent="0.3">
      <c r="A95" s="97"/>
      <c r="B95" s="34"/>
      <c r="C95" s="34" t="s">
        <v>37</v>
      </c>
      <c r="D95" s="62"/>
      <c r="E95" s="34"/>
      <c r="F95" s="34"/>
      <c r="G95" s="50"/>
      <c r="H95" s="172" t="s">
        <v>38</v>
      </c>
      <c r="I95" s="165"/>
      <c r="J95" s="117" t="s">
        <v>30</v>
      </c>
      <c r="K95" s="116"/>
      <c r="L95" s="118"/>
      <c r="M95" s="116"/>
      <c r="N95" s="118"/>
      <c r="O95" s="118"/>
      <c r="P95" s="119"/>
      <c r="Q95" s="120"/>
      <c r="R95" s="116"/>
      <c r="S95" s="120"/>
      <c r="T95" s="121"/>
      <c r="U95" s="29"/>
      <c r="V95" s="122"/>
    </row>
    <row r="96" spans="1:22" ht="15.75" thickBot="1" x14ac:dyDescent="0.3">
      <c r="A96" s="98"/>
      <c r="B96" s="35" t="s">
        <v>39</v>
      </c>
      <c r="C96" s="36"/>
      <c r="D96" s="63"/>
      <c r="E96" s="36"/>
      <c r="F96" s="36"/>
      <c r="G96" s="37"/>
      <c r="H96" s="173"/>
      <c r="I96" s="174"/>
      <c r="J96" s="80" t="s">
        <v>40</v>
      </c>
      <c r="K96" s="104"/>
      <c r="L96" s="103"/>
      <c r="M96" s="104"/>
      <c r="N96" s="103"/>
      <c r="O96" s="103"/>
      <c r="P96" s="138"/>
      <c r="Q96" s="104"/>
      <c r="R96" s="104"/>
      <c r="S96" s="104"/>
      <c r="T96" s="139"/>
      <c r="U96" s="26"/>
      <c r="V96" s="140"/>
    </row>
    <row r="97" spans="1:22" ht="15.75" thickBot="1" x14ac:dyDescent="0.3">
      <c r="A97" s="148"/>
      <c r="B97" s="152" t="s">
        <v>57</v>
      </c>
      <c r="C97" s="149"/>
      <c r="D97" s="150"/>
      <c r="E97" s="149"/>
      <c r="F97" s="149"/>
      <c r="G97" s="151"/>
      <c r="H97" s="173"/>
      <c r="I97" s="174"/>
      <c r="J97" s="80" t="s">
        <v>41</v>
      </c>
      <c r="K97" s="104"/>
      <c r="L97" s="103"/>
      <c r="M97" s="104"/>
      <c r="N97" s="103"/>
      <c r="O97" s="103"/>
      <c r="P97" s="138"/>
      <c r="Q97" s="104"/>
      <c r="R97" s="104"/>
      <c r="S97" s="104"/>
      <c r="T97" s="139"/>
      <c r="U97" s="26"/>
      <c r="V97" s="140"/>
    </row>
    <row r="98" spans="1:22" ht="15.75" thickBot="1" x14ac:dyDescent="0.3">
      <c r="A98" s="290" t="s">
        <v>123</v>
      </c>
      <c r="B98" s="291"/>
      <c r="C98" s="291"/>
      <c r="D98" s="291"/>
      <c r="E98" s="291"/>
      <c r="F98" s="291"/>
      <c r="G98" s="292"/>
      <c r="H98" s="166"/>
      <c r="I98" s="167"/>
      <c r="J98" s="82" t="s">
        <v>42</v>
      </c>
      <c r="K98" s="123"/>
      <c r="L98" s="124"/>
      <c r="M98" s="123"/>
      <c r="N98" s="124"/>
      <c r="O98" s="124"/>
      <c r="P98" s="125"/>
      <c r="Q98" s="123"/>
      <c r="R98" s="123"/>
      <c r="S98" s="123"/>
      <c r="T98" s="126"/>
      <c r="U98" s="31"/>
      <c r="V98" s="127"/>
    </row>
    <row r="99" spans="1:22" x14ac:dyDescent="0.25">
      <c r="A99" s="87"/>
      <c r="C99" s="23"/>
      <c r="D99" s="58"/>
      <c r="E99" s="23"/>
      <c r="F99" s="23"/>
      <c r="G99" s="23"/>
      <c r="H99" s="172" t="s">
        <v>43</v>
      </c>
      <c r="I99" s="165"/>
      <c r="J99" s="117" t="s">
        <v>44</v>
      </c>
      <c r="K99" s="116"/>
      <c r="L99" s="118"/>
      <c r="M99" s="116"/>
      <c r="N99" s="118"/>
      <c r="O99" s="118"/>
      <c r="P99" s="119"/>
      <c r="Q99" s="120"/>
      <c r="R99" s="116"/>
      <c r="S99" s="120"/>
      <c r="T99" s="121"/>
      <c r="U99" s="29"/>
      <c r="V99" s="122"/>
    </row>
    <row r="100" spans="1:22" x14ac:dyDescent="0.25">
      <c r="A100" s="99"/>
      <c r="B100" s="38"/>
      <c r="C100" s="39"/>
      <c r="D100" s="64"/>
      <c r="E100" s="24"/>
      <c r="F100" s="71"/>
      <c r="G100" s="71"/>
      <c r="H100" s="173"/>
      <c r="I100" s="174"/>
      <c r="J100" s="80" t="s">
        <v>45</v>
      </c>
      <c r="K100" s="104"/>
      <c r="L100" s="103"/>
      <c r="M100" s="104"/>
      <c r="N100" s="103"/>
      <c r="O100" s="103"/>
      <c r="P100" s="138"/>
      <c r="Q100" s="104"/>
      <c r="R100" s="104"/>
      <c r="S100" s="104"/>
      <c r="T100" s="139"/>
      <c r="U100" s="26"/>
      <c r="V100" s="140"/>
    </row>
    <row r="101" spans="1:22" x14ac:dyDescent="0.25">
      <c r="A101" s="87"/>
      <c r="C101" s="23"/>
      <c r="D101" s="58"/>
      <c r="E101" s="23"/>
      <c r="F101" s="23"/>
      <c r="G101" s="23"/>
      <c r="H101" s="173"/>
      <c r="I101" s="174"/>
      <c r="J101" s="80" t="s">
        <v>46</v>
      </c>
      <c r="K101" s="104"/>
      <c r="L101" s="103"/>
      <c r="M101" s="104"/>
      <c r="N101" s="103"/>
      <c r="O101" s="103"/>
      <c r="P101" s="138"/>
      <c r="Q101" s="104"/>
      <c r="R101" s="104"/>
      <c r="S101" s="104"/>
      <c r="T101" s="139"/>
      <c r="U101" s="26"/>
      <c r="V101" s="140"/>
    </row>
    <row r="102" spans="1:22" ht="15.75" thickBot="1" x14ac:dyDescent="0.3">
      <c r="A102" s="87"/>
      <c r="C102" s="23"/>
      <c r="D102" s="58"/>
      <c r="E102" s="23"/>
      <c r="F102" s="23"/>
      <c r="G102" s="23"/>
      <c r="H102" s="175"/>
      <c r="I102" s="176"/>
      <c r="J102" s="82" t="s">
        <v>47</v>
      </c>
      <c r="K102" s="123"/>
      <c r="L102" s="124"/>
      <c r="M102" s="123"/>
      <c r="N102" s="124"/>
      <c r="O102" s="124"/>
      <c r="P102" s="125"/>
      <c r="Q102" s="123"/>
      <c r="R102" s="123"/>
      <c r="S102" s="123"/>
      <c r="T102" s="126"/>
      <c r="U102" s="31"/>
      <c r="V102" s="127"/>
    </row>
  </sheetData>
  <mergeCells count="1">
    <mergeCell ref="A98:G98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"/>
  <sheetViews>
    <sheetView topLeftCell="A40" zoomScaleNormal="100" workbookViewId="0">
      <selection activeCell="C68" sqref="C68"/>
    </sheetView>
  </sheetViews>
  <sheetFormatPr baseColWidth="10" defaultRowHeight="15" x14ac:dyDescent="0.25"/>
  <cols>
    <col min="1" max="1" width="5.5703125" customWidth="1"/>
    <col min="2" max="2" width="21.5703125" customWidth="1"/>
    <col min="3" max="3" width="11.42578125" customWidth="1"/>
    <col min="4" max="4" width="3.5703125" style="23" customWidth="1"/>
    <col min="5" max="5" width="2.85546875" customWidth="1"/>
    <col min="6" max="7" width="8.85546875" customWidth="1"/>
    <col min="8" max="8" width="10.42578125" customWidth="1"/>
    <col min="9" max="9" width="7.14062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2" width="7.85546875" customWidth="1"/>
  </cols>
  <sheetData>
    <row r="1" spans="1:23" x14ac:dyDescent="0.25">
      <c r="A1" s="87"/>
      <c r="B1" s="81" t="s">
        <v>272</v>
      </c>
      <c r="C1" s="4">
        <v>45742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3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3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3" x14ac:dyDescent="0.25">
      <c r="A4" s="89">
        <v>8</v>
      </c>
      <c r="B4" s="68" t="s">
        <v>130</v>
      </c>
      <c r="C4" s="66">
        <v>381055494659</v>
      </c>
      <c r="D4" s="205">
        <v>100</v>
      </c>
      <c r="E4" s="84" t="s">
        <v>22</v>
      </c>
      <c r="F4" s="141">
        <v>45642</v>
      </c>
      <c r="G4" s="141"/>
      <c r="H4" s="147">
        <v>45753</v>
      </c>
      <c r="I4" s="85"/>
      <c r="J4" s="85"/>
      <c r="K4" s="85"/>
      <c r="L4" s="85"/>
      <c r="M4" s="85"/>
      <c r="N4" s="85"/>
      <c r="O4" s="85"/>
      <c r="P4" s="192"/>
      <c r="Q4" s="83" t="s">
        <v>48</v>
      </c>
      <c r="R4" s="68"/>
      <c r="S4" s="68"/>
      <c r="T4" s="68"/>
      <c r="U4" s="85"/>
      <c r="V4" s="68"/>
    </row>
    <row r="5" spans="1:23" x14ac:dyDescent="0.25">
      <c r="A5" s="195">
        <v>8</v>
      </c>
      <c r="B5" s="9" t="s">
        <v>55</v>
      </c>
      <c r="C5" s="51"/>
      <c r="D5" s="56"/>
      <c r="E5" s="56"/>
      <c r="F5" s="142"/>
      <c r="G5" s="142"/>
      <c r="H5" s="52"/>
      <c r="I5" s="53"/>
      <c r="J5" s="52"/>
      <c r="K5" s="53"/>
      <c r="L5" s="52"/>
      <c r="M5" s="52"/>
      <c r="N5" s="52"/>
      <c r="O5" s="52"/>
      <c r="P5" s="192">
        <f>L5+M5+N5+O5</f>
        <v>0</v>
      </c>
      <c r="Q5" s="10"/>
      <c r="R5" s="10"/>
      <c r="S5" s="10"/>
      <c r="T5" s="10"/>
      <c r="U5" s="11">
        <f>SUM(U4:U4)</f>
        <v>0</v>
      </c>
      <c r="V5" s="10"/>
    </row>
    <row r="6" spans="1:23" x14ac:dyDescent="0.25">
      <c r="A6" s="90">
        <v>717</v>
      </c>
      <c r="B6" s="8" t="s">
        <v>76</v>
      </c>
      <c r="C6" s="65" t="s">
        <v>107</v>
      </c>
      <c r="D6" s="75" t="s">
        <v>52</v>
      </c>
      <c r="E6" s="55" t="s">
        <v>22</v>
      </c>
      <c r="F6" s="12">
        <v>45504</v>
      </c>
      <c r="G6" s="143">
        <v>45756</v>
      </c>
      <c r="H6" s="12" t="s">
        <v>302</v>
      </c>
      <c r="I6" s="42">
        <v>1506.38</v>
      </c>
      <c r="J6" s="1">
        <v>30</v>
      </c>
      <c r="K6" s="2">
        <f>I6/J6</f>
        <v>50.212666666666671</v>
      </c>
      <c r="L6" s="1">
        <v>0</v>
      </c>
      <c r="M6" s="1">
        <v>0</v>
      </c>
      <c r="N6" s="1">
        <v>0</v>
      </c>
      <c r="O6" s="1">
        <v>31</v>
      </c>
      <c r="P6" s="192">
        <f>L6+M6+N6+O6</f>
        <v>31</v>
      </c>
      <c r="Q6" s="42">
        <f>K6*50%*L6</f>
        <v>0</v>
      </c>
      <c r="R6" s="42">
        <f>K6*60%*M6</f>
        <v>0</v>
      </c>
      <c r="S6" s="42">
        <f>K6*60%*N6</f>
        <v>0</v>
      </c>
      <c r="T6" s="42">
        <f>K6*75%*O6</f>
        <v>1167.4445000000001</v>
      </c>
      <c r="U6" s="42">
        <f>S6+T6</f>
        <v>1167.4445000000001</v>
      </c>
      <c r="V6" s="42">
        <f>K6*(M6+O6+L6+N6)*100%</f>
        <v>1556.5926666666669</v>
      </c>
    </row>
    <row r="7" spans="1:23" s="185" customFormat="1" ht="15" customHeight="1" x14ac:dyDescent="0.25">
      <c r="A7" s="193" t="s">
        <v>108</v>
      </c>
      <c r="B7" s="177"/>
      <c r="C7" s="178"/>
      <c r="D7" s="179"/>
      <c r="E7" s="180"/>
      <c r="F7" s="194"/>
      <c r="G7" s="181"/>
      <c r="H7" s="194"/>
      <c r="I7" s="182"/>
      <c r="J7" s="183"/>
      <c r="K7" s="184"/>
      <c r="L7" s="183"/>
      <c r="M7" s="183"/>
      <c r="N7" s="183"/>
      <c r="O7" s="183"/>
      <c r="P7" s="192">
        <f>L7+M7+N7+O7</f>
        <v>0</v>
      </c>
      <c r="Q7" s="182"/>
      <c r="R7" s="182"/>
      <c r="S7" s="182"/>
      <c r="T7" s="182"/>
      <c r="U7" s="182"/>
      <c r="V7" s="182"/>
    </row>
    <row r="8" spans="1:23" ht="14.1" customHeight="1" x14ac:dyDescent="0.25">
      <c r="A8" s="90">
        <v>717</v>
      </c>
      <c r="B8" s="8" t="s">
        <v>122</v>
      </c>
      <c r="C8" s="65" t="s">
        <v>56</v>
      </c>
      <c r="D8" s="75" t="s">
        <v>52</v>
      </c>
      <c r="E8" s="55" t="s">
        <v>22</v>
      </c>
      <c r="F8" s="12">
        <v>45583</v>
      </c>
      <c r="G8" s="143">
        <v>45751</v>
      </c>
      <c r="H8" s="12" t="s">
        <v>290</v>
      </c>
      <c r="I8" s="42">
        <v>1527.43</v>
      </c>
      <c r="J8" s="1">
        <v>30</v>
      </c>
      <c r="K8" s="2">
        <f>I8/J8</f>
        <v>50.914333333333339</v>
      </c>
      <c r="L8" s="1">
        <v>0</v>
      </c>
      <c r="M8" s="1">
        <v>0</v>
      </c>
      <c r="N8" s="1">
        <v>0</v>
      </c>
      <c r="O8" s="1">
        <v>31</v>
      </c>
      <c r="P8" s="192">
        <f>L8+M8+N8+O8</f>
        <v>31</v>
      </c>
      <c r="Q8" s="42">
        <f>K8*50%*L8</f>
        <v>0</v>
      </c>
      <c r="R8" s="42">
        <f>K8*60%*M8</f>
        <v>0</v>
      </c>
      <c r="S8" s="42">
        <f>K8*60%*N8</f>
        <v>0</v>
      </c>
      <c r="T8" s="42">
        <f>K8*75%*O8</f>
        <v>1183.7582500000001</v>
      </c>
      <c r="U8" s="42">
        <f>S8+T8</f>
        <v>1183.7582500000001</v>
      </c>
      <c r="V8" s="42">
        <f>K8*(M8+O8+L8+N8)*100%</f>
        <v>1578.3443333333335</v>
      </c>
    </row>
    <row r="9" spans="1:23" x14ac:dyDescent="0.25">
      <c r="A9" s="89">
        <v>717</v>
      </c>
      <c r="B9" s="68" t="s">
        <v>130</v>
      </c>
      <c r="C9" s="66">
        <v>381055494659</v>
      </c>
      <c r="D9" s="205">
        <v>100</v>
      </c>
      <c r="E9" s="84" t="s">
        <v>22</v>
      </c>
      <c r="F9" s="141">
        <v>45642</v>
      </c>
      <c r="G9" s="141"/>
      <c r="H9" s="147">
        <v>45753</v>
      </c>
      <c r="I9" s="85"/>
      <c r="J9" s="85"/>
      <c r="K9" s="85"/>
      <c r="L9" s="85"/>
      <c r="M9" s="85"/>
      <c r="N9" s="85"/>
      <c r="O9" s="85"/>
      <c r="P9" s="192"/>
      <c r="Q9" s="83" t="s">
        <v>48</v>
      </c>
      <c r="R9" s="68"/>
      <c r="S9" s="68"/>
      <c r="T9" s="68"/>
      <c r="U9" s="85"/>
      <c r="V9" s="68"/>
    </row>
    <row r="10" spans="1:23" ht="14.1" customHeight="1" x14ac:dyDescent="0.25">
      <c r="A10" s="90">
        <v>717</v>
      </c>
      <c r="B10" s="8" t="s">
        <v>286</v>
      </c>
      <c r="C10" s="65" t="s">
        <v>287</v>
      </c>
      <c r="D10" s="75" t="s">
        <v>50</v>
      </c>
      <c r="E10" s="55" t="s">
        <v>22</v>
      </c>
      <c r="F10" s="12">
        <v>45729</v>
      </c>
      <c r="G10" s="143"/>
      <c r="H10" s="203">
        <v>45743</v>
      </c>
      <c r="I10" s="42">
        <v>1535.72</v>
      </c>
      <c r="J10" s="1">
        <v>30</v>
      </c>
      <c r="K10" s="2">
        <f>I10/J10</f>
        <v>51.190666666666665</v>
      </c>
      <c r="L10" s="1">
        <v>3</v>
      </c>
      <c r="M10" s="1">
        <v>12</v>
      </c>
      <c r="N10" s="1">
        <v>0</v>
      </c>
      <c r="O10" s="1">
        <v>0</v>
      </c>
      <c r="P10" s="192">
        <f>L10+M10+N10+O10</f>
        <v>15</v>
      </c>
      <c r="Q10" s="42">
        <f>K10*50%*L10</f>
        <v>76.786000000000001</v>
      </c>
      <c r="R10" s="42">
        <f>K10*60%*M10</f>
        <v>368.57279999999997</v>
      </c>
      <c r="S10" s="42">
        <f>K10*60%*N10</f>
        <v>0</v>
      </c>
      <c r="T10" s="42">
        <f>K10*75%*O10</f>
        <v>0</v>
      </c>
      <c r="U10" s="42">
        <f>S10+T10</f>
        <v>0</v>
      </c>
      <c r="V10" s="42">
        <f>K10*(M10+O10+L10+N10)*100%</f>
        <v>767.86</v>
      </c>
    </row>
    <row r="11" spans="1:23" x14ac:dyDescent="0.25">
      <c r="A11" s="195">
        <v>717</v>
      </c>
      <c r="B11" s="9" t="s">
        <v>49</v>
      </c>
      <c r="C11" s="51"/>
      <c r="D11" s="56"/>
      <c r="E11" s="56"/>
      <c r="F11" s="142"/>
      <c r="G11" s="142"/>
      <c r="H11" s="52"/>
      <c r="I11" s="53"/>
      <c r="J11" s="52"/>
      <c r="K11" s="53"/>
      <c r="L11" s="52"/>
      <c r="M11" s="52"/>
      <c r="N11" s="52"/>
      <c r="O11" s="52"/>
      <c r="P11" s="192">
        <f>L11+M11+N11+O11</f>
        <v>0</v>
      </c>
      <c r="Q11" s="10"/>
      <c r="R11" s="10"/>
      <c r="S11" s="10"/>
      <c r="T11" s="10"/>
      <c r="U11" s="11">
        <f>SUM(U6:U10)</f>
        <v>2351.2027500000004</v>
      </c>
      <c r="V11" s="10"/>
    </row>
    <row r="12" spans="1:23" ht="14.25" customHeight="1" x14ac:dyDescent="0.25">
      <c r="A12" s="90">
        <v>1378</v>
      </c>
      <c r="B12" s="8" t="s">
        <v>179</v>
      </c>
      <c r="C12" s="65" t="s">
        <v>180</v>
      </c>
      <c r="D12" s="75" t="s">
        <v>52</v>
      </c>
      <c r="E12" s="55" t="s">
        <v>22</v>
      </c>
      <c r="F12" s="12">
        <v>45679</v>
      </c>
      <c r="G12" s="143"/>
      <c r="H12" s="203">
        <v>45735</v>
      </c>
      <c r="I12" s="186">
        <v>1323</v>
      </c>
      <c r="J12" s="1">
        <v>30</v>
      </c>
      <c r="K12" s="2">
        <f t="shared" ref="K12:K22" si="0">I12/J12</f>
        <v>44.1</v>
      </c>
      <c r="L12" s="1">
        <v>0</v>
      </c>
      <c r="M12" s="1">
        <v>0</v>
      </c>
      <c r="N12" s="1">
        <v>0</v>
      </c>
      <c r="O12" s="1">
        <v>19</v>
      </c>
      <c r="P12" s="192">
        <f>L12+M12+N12+O12</f>
        <v>19</v>
      </c>
      <c r="Q12" s="42">
        <f t="shared" ref="Q12:Q22" si="1">K12*50%*L12</f>
        <v>0</v>
      </c>
      <c r="R12" s="42">
        <f t="shared" ref="R12:R22" si="2">K12*60%*M12</f>
        <v>0</v>
      </c>
      <c r="S12" s="42">
        <f t="shared" ref="S12:S22" si="3">K12*60%*N12</f>
        <v>0</v>
      </c>
      <c r="T12" s="42">
        <f t="shared" ref="T12:T22" si="4">K12*75%*O12</f>
        <v>628.42500000000007</v>
      </c>
      <c r="U12" s="42">
        <f t="shared" ref="U12:U22" si="5">S12+T12</f>
        <v>628.42500000000007</v>
      </c>
      <c r="V12" s="42">
        <f t="shared" ref="V12:V22" si="6">K12*(M12+O12+L12+N12)*100%</f>
        <v>837.9</v>
      </c>
      <c r="W12" s="204"/>
    </row>
    <row r="13" spans="1:23" ht="14.25" customHeight="1" x14ac:dyDescent="0.25">
      <c r="A13" s="90">
        <v>1378</v>
      </c>
      <c r="B13" s="8" t="s">
        <v>338</v>
      </c>
      <c r="C13" s="65" t="s">
        <v>339</v>
      </c>
      <c r="D13" s="75" t="s">
        <v>52</v>
      </c>
      <c r="E13" s="55" t="s">
        <v>22</v>
      </c>
      <c r="F13" s="12">
        <v>45746</v>
      </c>
      <c r="G13" s="143">
        <v>45753</v>
      </c>
      <c r="H13" s="12"/>
      <c r="I13" s="186">
        <v>1381.5</v>
      </c>
      <c r="J13" s="1">
        <v>30</v>
      </c>
      <c r="K13" s="2">
        <f>I13/J13</f>
        <v>46.05</v>
      </c>
      <c r="L13" s="1">
        <v>2</v>
      </c>
      <c r="M13" s="1">
        <v>0</v>
      </c>
      <c r="N13" s="1">
        <v>0</v>
      </c>
      <c r="O13" s="1">
        <v>0</v>
      </c>
      <c r="P13" s="192">
        <f>L13+M13+N13+O13</f>
        <v>2</v>
      </c>
      <c r="Q13" s="42">
        <f>K13*50%*L13</f>
        <v>46.05</v>
      </c>
      <c r="R13" s="42">
        <f>K13*60%*M13</f>
        <v>0</v>
      </c>
      <c r="S13" s="42">
        <f>K13*60%*N13</f>
        <v>0</v>
      </c>
      <c r="T13" s="42">
        <f>K13*75%*O13</f>
        <v>0</v>
      </c>
      <c r="U13" s="42">
        <f>S13+T13</f>
        <v>0</v>
      </c>
      <c r="V13" s="42">
        <f>K13*(M13+O13+L13+N13)*100%</f>
        <v>92.1</v>
      </c>
    </row>
    <row r="14" spans="1:23" ht="14.25" customHeight="1" x14ac:dyDescent="0.25">
      <c r="A14" s="90">
        <v>1378</v>
      </c>
      <c r="B14" s="8" t="s">
        <v>64</v>
      </c>
      <c r="C14" s="65" t="s">
        <v>65</v>
      </c>
      <c r="D14" s="75" t="s">
        <v>52</v>
      </c>
      <c r="E14" s="55" t="s">
        <v>22</v>
      </c>
      <c r="F14" s="12">
        <v>45299</v>
      </c>
      <c r="G14" s="143">
        <v>45663</v>
      </c>
      <c r="H14" s="12" t="s">
        <v>137</v>
      </c>
      <c r="I14" s="186">
        <v>1260</v>
      </c>
      <c r="J14" s="1">
        <v>30</v>
      </c>
      <c r="K14" s="2">
        <f t="shared" si="0"/>
        <v>42</v>
      </c>
      <c r="L14" s="1">
        <v>0</v>
      </c>
      <c r="M14" s="1">
        <v>0</v>
      </c>
      <c r="N14" s="1">
        <v>0</v>
      </c>
      <c r="O14" s="1">
        <v>31</v>
      </c>
      <c r="P14" s="192">
        <f t="shared" ref="P14:P30" si="7">L14+M14+N14+O14</f>
        <v>31</v>
      </c>
      <c r="Q14" s="42">
        <f t="shared" si="1"/>
        <v>0</v>
      </c>
      <c r="R14" s="42">
        <f t="shared" si="2"/>
        <v>0</v>
      </c>
      <c r="S14" s="42">
        <f t="shared" si="3"/>
        <v>0</v>
      </c>
      <c r="T14" s="42">
        <f t="shared" si="4"/>
        <v>976.5</v>
      </c>
      <c r="U14" s="42">
        <f t="shared" si="5"/>
        <v>976.5</v>
      </c>
      <c r="V14" s="42">
        <f t="shared" si="6"/>
        <v>1302</v>
      </c>
    </row>
    <row r="15" spans="1:23" x14ac:dyDescent="0.25">
      <c r="A15" s="90">
        <v>1378</v>
      </c>
      <c r="B15" s="8" t="s">
        <v>226</v>
      </c>
      <c r="C15" s="65" t="s">
        <v>227</v>
      </c>
      <c r="D15" s="75" t="s">
        <v>52</v>
      </c>
      <c r="E15" s="55" t="s">
        <v>22</v>
      </c>
      <c r="F15" s="12">
        <v>45698</v>
      </c>
      <c r="G15" s="143">
        <v>45747</v>
      </c>
      <c r="H15" s="12" t="s">
        <v>303</v>
      </c>
      <c r="I15" s="208">
        <v>1381.5</v>
      </c>
      <c r="J15" s="1">
        <v>30</v>
      </c>
      <c r="K15" s="2">
        <f t="shared" si="0"/>
        <v>46.05</v>
      </c>
      <c r="L15" s="1">
        <v>0</v>
      </c>
      <c r="M15" s="1">
        <v>0</v>
      </c>
      <c r="N15" s="1">
        <v>1</v>
      </c>
      <c r="O15" s="1">
        <v>30</v>
      </c>
      <c r="P15" s="192">
        <f>L15+M15+N15+O15</f>
        <v>31</v>
      </c>
      <c r="Q15" s="42">
        <f t="shared" si="1"/>
        <v>0</v>
      </c>
      <c r="R15" s="42">
        <f t="shared" si="2"/>
        <v>0</v>
      </c>
      <c r="S15" s="42">
        <f t="shared" si="3"/>
        <v>27.63</v>
      </c>
      <c r="T15" s="42">
        <f t="shared" si="4"/>
        <v>1036.1249999999998</v>
      </c>
      <c r="U15" s="42">
        <f t="shared" si="5"/>
        <v>1063.7549999999999</v>
      </c>
      <c r="V15" s="42">
        <f t="shared" si="6"/>
        <v>1427.55</v>
      </c>
    </row>
    <row r="16" spans="1:23" x14ac:dyDescent="0.25">
      <c r="A16" s="90">
        <v>1378</v>
      </c>
      <c r="B16" s="8" t="s">
        <v>311</v>
      </c>
      <c r="C16" s="65" t="s">
        <v>312</v>
      </c>
      <c r="D16" s="75" t="s">
        <v>50</v>
      </c>
      <c r="E16" s="55" t="s">
        <v>22</v>
      </c>
      <c r="F16" s="12">
        <v>45740</v>
      </c>
      <c r="G16" s="143"/>
      <c r="H16" s="203">
        <v>45742</v>
      </c>
      <c r="I16" s="208">
        <v>1381.5</v>
      </c>
      <c r="J16" s="1">
        <v>30</v>
      </c>
      <c r="K16" s="2">
        <f>I16/J16</f>
        <v>46.05</v>
      </c>
      <c r="L16" s="1">
        <v>3</v>
      </c>
      <c r="M16" s="1">
        <v>0</v>
      </c>
      <c r="N16" s="1">
        <v>0</v>
      </c>
      <c r="O16" s="1">
        <v>0</v>
      </c>
      <c r="P16" s="192">
        <f>L16+M16+N16+O16</f>
        <v>3</v>
      </c>
      <c r="Q16" s="42">
        <f>K16*50%*L16</f>
        <v>69.074999999999989</v>
      </c>
      <c r="R16" s="42">
        <f>K16*60%*M16</f>
        <v>0</v>
      </c>
      <c r="S16" s="42">
        <f>K16*60%*N16</f>
        <v>0</v>
      </c>
      <c r="T16" s="42">
        <f>K16*75%*O16</f>
        <v>0</v>
      </c>
      <c r="U16" s="42">
        <f>S16+T16</f>
        <v>0</v>
      </c>
      <c r="V16" s="42">
        <f>K16*(M16+O16+L16+N16)*100%</f>
        <v>138.14999999999998</v>
      </c>
    </row>
    <row r="17" spans="1:24" x14ac:dyDescent="0.25">
      <c r="A17" s="90">
        <v>1378</v>
      </c>
      <c r="B17" s="8" t="s">
        <v>69</v>
      </c>
      <c r="C17" s="65" t="s">
        <v>70</v>
      </c>
      <c r="D17" s="75" t="s">
        <v>50</v>
      </c>
      <c r="E17" s="55" t="s">
        <v>22</v>
      </c>
      <c r="F17" s="12">
        <v>45741</v>
      </c>
      <c r="G17" s="143"/>
      <c r="H17" s="203">
        <v>45744</v>
      </c>
      <c r="I17" s="208">
        <v>1381.5</v>
      </c>
      <c r="J17" s="1">
        <v>30</v>
      </c>
      <c r="K17" s="2">
        <f>I17/J17</f>
        <v>46.05</v>
      </c>
      <c r="L17" s="1">
        <v>3</v>
      </c>
      <c r="M17" s="1">
        <v>1</v>
      </c>
      <c r="N17" s="1">
        <v>0</v>
      </c>
      <c r="O17" s="1">
        <v>0</v>
      </c>
      <c r="P17" s="192">
        <f>L17+M17+N17+O17</f>
        <v>4</v>
      </c>
      <c r="Q17" s="42">
        <f>K17*50%*L17</f>
        <v>69.074999999999989</v>
      </c>
      <c r="R17" s="42">
        <f>K17*60%*M17</f>
        <v>27.63</v>
      </c>
      <c r="S17" s="42">
        <f>K17*60%*N17</f>
        <v>0</v>
      </c>
      <c r="T17" s="42">
        <f>K17*75%*O17</f>
        <v>0</v>
      </c>
      <c r="U17" s="42">
        <f>S17+T17</f>
        <v>0</v>
      </c>
      <c r="V17" s="42">
        <f>K17*(M17+O17+L17+N17)*100%</f>
        <v>184.2</v>
      </c>
    </row>
    <row r="18" spans="1:24" x14ac:dyDescent="0.25">
      <c r="A18" s="90">
        <v>1378</v>
      </c>
      <c r="B18" s="8" t="s">
        <v>321</v>
      </c>
      <c r="C18" s="65" t="s">
        <v>322</v>
      </c>
      <c r="D18" s="75" t="s">
        <v>50</v>
      </c>
      <c r="E18" s="55" t="s">
        <v>22</v>
      </c>
      <c r="F18" s="12">
        <v>45743</v>
      </c>
      <c r="G18" s="143"/>
      <c r="H18" s="12"/>
      <c r="I18" s="208">
        <v>1381.5</v>
      </c>
      <c r="J18" s="1">
        <v>30</v>
      </c>
      <c r="K18" s="2">
        <f>I18/J18</f>
        <v>46.05</v>
      </c>
      <c r="L18" s="1">
        <v>3</v>
      </c>
      <c r="M18" s="1">
        <v>2</v>
      </c>
      <c r="N18" s="1">
        <v>0</v>
      </c>
      <c r="O18" s="1">
        <v>0</v>
      </c>
      <c r="P18" s="192">
        <f>L18+M18+N18+O18</f>
        <v>5</v>
      </c>
      <c r="Q18" s="42">
        <f>K18*50%*L18</f>
        <v>69.074999999999989</v>
      </c>
      <c r="R18" s="42">
        <f>K18*60%*M18</f>
        <v>55.26</v>
      </c>
      <c r="S18" s="42">
        <f>K18*60%*N18</f>
        <v>0</v>
      </c>
      <c r="T18" s="42">
        <f>K18*75%*O18</f>
        <v>0</v>
      </c>
      <c r="U18" s="42">
        <f>S18+T18</f>
        <v>0</v>
      </c>
      <c r="V18" s="42">
        <f>K18*(M18+O18+L18+N18)*100%</f>
        <v>230.25</v>
      </c>
    </row>
    <row r="19" spans="1:24" x14ac:dyDescent="0.25">
      <c r="A19" s="90">
        <v>1378</v>
      </c>
      <c r="B19" s="8" t="s">
        <v>132</v>
      </c>
      <c r="C19" s="65" t="s">
        <v>133</v>
      </c>
      <c r="D19" s="75" t="s">
        <v>52</v>
      </c>
      <c r="E19" s="55" t="s">
        <v>22</v>
      </c>
      <c r="F19" s="12">
        <v>45646</v>
      </c>
      <c r="G19" s="143" t="s">
        <v>292</v>
      </c>
      <c r="H19" s="12" t="s">
        <v>293</v>
      </c>
      <c r="I19" s="186">
        <v>1323</v>
      </c>
      <c r="J19" s="1">
        <v>30</v>
      </c>
      <c r="K19" s="2">
        <f t="shared" si="0"/>
        <v>44.1</v>
      </c>
      <c r="L19" s="1">
        <v>0</v>
      </c>
      <c r="M19" s="1">
        <v>0</v>
      </c>
      <c r="N19" s="1">
        <v>0</v>
      </c>
      <c r="O19" s="1">
        <v>31</v>
      </c>
      <c r="P19" s="192">
        <f t="shared" si="7"/>
        <v>31</v>
      </c>
      <c r="Q19" s="42">
        <f t="shared" si="1"/>
        <v>0</v>
      </c>
      <c r="R19" s="42">
        <f t="shared" si="2"/>
        <v>0</v>
      </c>
      <c r="S19" s="42">
        <f t="shared" si="3"/>
        <v>0</v>
      </c>
      <c r="T19" s="42">
        <f t="shared" si="4"/>
        <v>1025.325</v>
      </c>
      <c r="U19" s="42">
        <f t="shared" si="5"/>
        <v>1025.325</v>
      </c>
      <c r="V19" s="42">
        <f t="shared" si="6"/>
        <v>1367.1000000000001</v>
      </c>
    </row>
    <row r="20" spans="1:24" x14ac:dyDescent="0.25">
      <c r="A20" s="90">
        <v>1378</v>
      </c>
      <c r="B20" s="8" t="s">
        <v>124</v>
      </c>
      <c r="C20" s="65" t="s">
        <v>68</v>
      </c>
      <c r="D20" s="75" t="s">
        <v>50</v>
      </c>
      <c r="E20" s="55" t="s">
        <v>22</v>
      </c>
      <c r="F20" s="12">
        <v>45608</v>
      </c>
      <c r="G20" s="143">
        <v>45755</v>
      </c>
      <c r="H20" s="12" t="s">
        <v>298</v>
      </c>
      <c r="I20" s="186">
        <v>1323</v>
      </c>
      <c r="J20" s="1">
        <v>30</v>
      </c>
      <c r="K20" s="2">
        <f t="shared" si="0"/>
        <v>44.1</v>
      </c>
      <c r="L20" s="1">
        <v>0</v>
      </c>
      <c r="M20" s="1">
        <v>0</v>
      </c>
      <c r="N20" s="1">
        <v>0</v>
      </c>
      <c r="O20" s="1">
        <v>31</v>
      </c>
      <c r="P20" s="192">
        <f t="shared" si="7"/>
        <v>31</v>
      </c>
      <c r="Q20" s="42">
        <f t="shared" si="1"/>
        <v>0</v>
      </c>
      <c r="R20" s="42">
        <f t="shared" si="2"/>
        <v>0</v>
      </c>
      <c r="S20" s="42">
        <f t="shared" si="3"/>
        <v>0</v>
      </c>
      <c r="T20" s="42">
        <f t="shared" si="4"/>
        <v>1025.325</v>
      </c>
      <c r="U20" s="42">
        <f t="shared" si="5"/>
        <v>1025.325</v>
      </c>
      <c r="V20" s="42">
        <f t="shared" si="6"/>
        <v>1367.1000000000001</v>
      </c>
    </row>
    <row r="21" spans="1:24" ht="14.25" customHeight="1" x14ac:dyDescent="0.25">
      <c r="A21" s="90">
        <v>1378</v>
      </c>
      <c r="B21" s="8" t="s">
        <v>294</v>
      </c>
      <c r="C21" s="65" t="s">
        <v>295</v>
      </c>
      <c r="D21" s="75" t="s">
        <v>50</v>
      </c>
      <c r="E21" s="55" t="s">
        <v>22</v>
      </c>
      <c r="F21" s="12">
        <v>45733</v>
      </c>
      <c r="G21" s="143">
        <v>45750</v>
      </c>
      <c r="H21" s="12" t="s">
        <v>310</v>
      </c>
      <c r="I21" s="208">
        <v>1381.5</v>
      </c>
      <c r="J21" s="1">
        <v>30</v>
      </c>
      <c r="K21" s="2">
        <f>I21/J21</f>
        <v>46.05</v>
      </c>
      <c r="L21" s="1">
        <v>3</v>
      </c>
      <c r="M21" s="1">
        <v>12</v>
      </c>
      <c r="N21" s="1">
        <v>0</v>
      </c>
      <c r="O21" s="1">
        <v>0</v>
      </c>
      <c r="P21" s="192">
        <f>L21+M21+N21+O21</f>
        <v>15</v>
      </c>
      <c r="Q21" s="42">
        <f>K21*50%*L21</f>
        <v>69.074999999999989</v>
      </c>
      <c r="R21" s="42">
        <f>K21*60%*M21</f>
        <v>331.56</v>
      </c>
      <c r="S21" s="42">
        <f>K21*60%*N21</f>
        <v>0</v>
      </c>
      <c r="T21" s="42">
        <f>K21*75%*O21</f>
        <v>0</v>
      </c>
      <c r="U21" s="42">
        <f>S21+T21</f>
        <v>0</v>
      </c>
      <c r="V21" s="42">
        <f>K21*(M21+O21+L21+N21)*100%</f>
        <v>690.75</v>
      </c>
    </row>
    <row r="22" spans="1:24" ht="14.25" customHeight="1" x14ac:dyDescent="0.25">
      <c r="A22" s="90">
        <v>1378</v>
      </c>
      <c r="B22" s="8" t="s">
        <v>115</v>
      </c>
      <c r="C22" s="65" t="s">
        <v>116</v>
      </c>
      <c r="D22" s="75" t="s">
        <v>52</v>
      </c>
      <c r="E22" s="55" t="s">
        <v>22</v>
      </c>
      <c r="F22" s="12">
        <v>45618</v>
      </c>
      <c r="G22" s="143">
        <v>45758</v>
      </c>
      <c r="H22" s="12" t="s">
        <v>307</v>
      </c>
      <c r="I22" s="186">
        <v>1323</v>
      </c>
      <c r="J22" s="1">
        <v>30</v>
      </c>
      <c r="K22" s="2">
        <f t="shared" si="0"/>
        <v>44.1</v>
      </c>
      <c r="L22" s="1">
        <v>0</v>
      </c>
      <c r="M22" s="1">
        <v>0</v>
      </c>
      <c r="N22" s="1">
        <v>0</v>
      </c>
      <c r="O22" s="1">
        <v>31</v>
      </c>
      <c r="P22" s="192">
        <f t="shared" si="7"/>
        <v>31</v>
      </c>
      <c r="Q22" s="42">
        <f t="shared" si="1"/>
        <v>0</v>
      </c>
      <c r="R22" s="42">
        <f t="shared" si="2"/>
        <v>0</v>
      </c>
      <c r="S22" s="42">
        <f t="shared" si="3"/>
        <v>0</v>
      </c>
      <c r="T22" s="42">
        <f t="shared" si="4"/>
        <v>1025.325</v>
      </c>
      <c r="U22" s="42">
        <f t="shared" si="5"/>
        <v>1025.325</v>
      </c>
      <c r="V22" s="42">
        <f t="shared" si="6"/>
        <v>1367.1000000000001</v>
      </c>
    </row>
    <row r="23" spans="1:24" x14ac:dyDescent="0.25">
      <c r="A23" s="195">
        <v>1378</v>
      </c>
      <c r="B23" s="9" t="s">
        <v>23</v>
      </c>
      <c r="C23" s="51">
        <v>38102537361</v>
      </c>
      <c r="D23" s="56"/>
      <c r="E23" s="56"/>
      <c r="F23" s="142"/>
      <c r="G23" s="142"/>
      <c r="H23" s="52"/>
      <c r="I23" s="53"/>
      <c r="J23" s="52"/>
      <c r="K23" s="53"/>
      <c r="L23" s="52"/>
      <c r="M23" s="52"/>
      <c r="N23" s="52"/>
      <c r="O23" s="52"/>
      <c r="P23" s="192">
        <f t="shared" si="7"/>
        <v>0</v>
      </c>
      <c r="Q23" s="10"/>
      <c r="R23" s="10"/>
      <c r="S23" s="10"/>
      <c r="T23" s="10"/>
      <c r="U23" s="11">
        <f>SUM(U12:U22)</f>
        <v>5744.6549999999997</v>
      </c>
      <c r="V23" s="10"/>
    </row>
    <row r="24" spans="1:24" x14ac:dyDescent="0.25">
      <c r="A24" s="187">
        <v>1628</v>
      </c>
      <c r="B24" s="44" t="s">
        <v>284</v>
      </c>
      <c r="C24" s="65" t="s">
        <v>285</v>
      </c>
      <c r="D24" s="75" t="s">
        <v>52</v>
      </c>
      <c r="E24" s="55" t="s">
        <v>22</v>
      </c>
      <c r="F24" s="12">
        <v>45728</v>
      </c>
      <c r="G24" s="143">
        <v>45763</v>
      </c>
      <c r="H24" s="12" t="s">
        <v>306</v>
      </c>
      <c r="I24" s="42">
        <v>1909.38</v>
      </c>
      <c r="J24" s="1">
        <v>30</v>
      </c>
      <c r="K24" s="2">
        <f>I24/J24</f>
        <v>63.646000000000001</v>
      </c>
      <c r="L24" s="1">
        <v>3</v>
      </c>
      <c r="M24" s="1">
        <v>12</v>
      </c>
      <c r="N24" s="1">
        <v>5</v>
      </c>
      <c r="O24" s="1">
        <v>0</v>
      </c>
      <c r="P24" s="192">
        <f>L24+M24+N24+O24</f>
        <v>20</v>
      </c>
      <c r="Q24" s="42">
        <f>K24*50%*L24</f>
        <v>95.468999999999994</v>
      </c>
      <c r="R24" s="42">
        <f>K24*60%*M24</f>
        <v>458.25119999999993</v>
      </c>
      <c r="S24" s="42">
        <f>K24*60%*N24</f>
        <v>190.93799999999999</v>
      </c>
      <c r="T24" s="42">
        <f>K24*75%*O24</f>
        <v>0</v>
      </c>
      <c r="U24" s="42">
        <f>S24+T24</f>
        <v>190.93799999999999</v>
      </c>
      <c r="V24" s="42">
        <f>K24*(M24+O24+L24+N24)*100%</f>
        <v>1272.92</v>
      </c>
      <c r="W24" s="200"/>
      <c r="X24" s="200"/>
    </row>
    <row r="25" spans="1:24" x14ac:dyDescent="0.25">
      <c r="A25" s="187">
        <v>1628</v>
      </c>
      <c r="B25" s="44" t="s">
        <v>105</v>
      </c>
      <c r="C25" s="65" t="s">
        <v>106</v>
      </c>
      <c r="D25" s="75" t="s">
        <v>52</v>
      </c>
      <c r="E25" s="55" t="s">
        <v>22</v>
      </c>
      <c r="F25" s="12">
        <v>45536</v>
      </c>
      <c r="G25" s="143">
        <v>45768</v>
      </c>
      <c r="H25" s="12" t="s">
        <v>291</v>
      </c>
      <c r="I25" s="42">
        <v>1500</v>
      </c>
      <c r="J25" s="1">
        <v>30</v>
      </c>
      <c r="K25" s="2">
        <f>I25/J25</f>
        <v>50</v>
      </c>
      <c r="L25" s="1">
        <v>0</v>
      </c>
      <c r="M25" s="1">
        <v>0</v>
      </c>
      <c r="N25" s="1">
        <v>0</v>
      </c>
      <c r="O25" s="1">
        <v>31</v>
      </c>
      <c r="P25" s="192">
        <f t="shared" si="7"/>
        <v>31</v>
      </c>
      <c r="Q25" s="42">
        <f>K25*50%*L25</f>
        <v>0</v>
      </c>
      <c r="R25" s="42">
        <f>K25*60%*M25</f>
        <v>0</v>
      </c>
      <c r="S25" s="42">
        <f>K25*60%*N25</f>
        <v>0</v>
      </c>
      <c r="T25" s="42">
        <f>K25*75%*O25</f>
        <v>1162.5</v>
      </c>
      <c r="U25" s="42">
        <f>S25+T25</f>
        <v>1162.5</v>
      </c>
      <c r="V25" s="42">
        <f>K25*(M25+O25+L25+N25)*100%</f>
        <v>1550</v>
      </c>
      <c r="W25" s="200"/>
      <c r="X25" s="200"/>
    </row>
    <row r="26" spans="1:24" s="185" customFormat="1" x14ac:dyDescent="0.25">
      <c r="A26" s="193" t="s">
        <v>112</v>
      </c>
      <c r="B26" s="177"/>
      <c r="C26" s="178"/>
      <c r="D26" s="179"/>
      <c r="E26" s="180"/>
      <c r="F26" s="194"/>
      <c r="G26" s="181"/>
      <c r="H26" s="194"/>
      <c r="I26" s="182"/>
      <c r="J26" s="183"/>
      <c r="K26" s="184"/>
      <c r="L26" s="183"/>
      <c r="M26" s="183"/>
      <c r="N26" s="183"/>
      <c r="O26" s="183"/>
      <c r="P26" s="192">
        <f t="shared" si="7"/>
        <v>0</v>
      </c>
      <c r="Q26" s="182"/>
      <c r="R26" s="182"/>
      <c r="S26" s="182"/>
      <c r="T26" s="182"/>
      <c r="U26" s="182"/>
      <c r="V26" s="182"/>
    </row>
    <row r="27" spans="1:24" ht="14.1" customHeight="1" x14ac:dyDescent="0.25">
      <c r="A27" s="195">
        <v>1628</v>
      </c>
      <c r="B27" s="9" t="s">
        <v>104</v>
      </c>
      <c r="C27" s="51"/>
      <c r="D27" s="56"/>
      <c r="E27" s="56"/>
      <c r="F27" s="142"/>
      <c r="G27" s="142"/>
      <c r="H27" s="52"/>
      <c r="I27" s="53"/>
      <c r="J27" s="52"/>
      <c r="K27" s="53"/>
      <c r="L27" s="52"/>
      <c r="M27" s="52"/>
      <c r="N27" s="52"/>
      <c r="O27" s="52"/>
      <c r="P27" s="192">
        <f t="shared" si="7"/>
        <v>0</v>
      </c>
      <c r="Q27" s="10"/>
      <c r="R27" s="10"/>
      <c r="S27" s="10"/>
      <c r="T27" s="10"/>
      <c r="U27" s="11">
        <f>SUM(U24:U26)</f>
        <v>1353.4380000000001</v>
      </c>
      <c r="V27" s="10"/>
    </row>
    <row r="28" spans="1:24" ht="14.25" customHeight="1" x14ac:dyDescent="0.25">
      <c r="A28" s="90">
        <v>1846</v>
      </c>
      <c r="B28" s="8" t="s">
        <v>139</v>
      </c>
      <c r="C28" s="65" t="s">
        <v>140</v>
      </c>
      <c r="D28" s="75" t="s">
        <v>51</v>
      </c>
      <c r="E28" s="55" t="s">
        <v>22</v>
      </c>
      <c r="F28" s="12">
        <v>45659</v>
      </c>
      <c r="G28" s="143">
        <v>45764</v>
      </c>
      <c r="H28" s="12" t="s">
        <v>326</v>
      </c>
      <c r="I28" s="186">
        <v>2108.3200000000002</v>
      </c>
      <c r="J28" s="1">
        <v>92</v>
      </c>
      <c r="K28" s="2">
        <f>I28/J28</f>
        <v>22.916521739130438</v>
      </c>
      <c r="L28" s="1">
        <v>0</v>
      </c>
      <c r="M28" s="1">
        <v>0</v>
      </c>
      <c r="N28" s="1">
        <v>0</v>
      </c>
      <c r="O28" s="1">
        <v>31</v>
      </c>
      <c r="P28" s="192">
        <f t="shared" si="7"/>
        <v>31</v>
      </c>
      <c r="Q28" s="42">
        <f>K28*50%*L28</f>
        <v>0</v>
      </c>
      <c r="R28" s="42">
        <f>K28*60%*M28</f>
        <v>0</v>
      </c>
      <c r="S28" s="42">
        <f>K28*60%*N28</f>
        <v>0</v>
      </c>
      <c r="T28" s="42">
        <f>K28*75%*O28</f>
        <v>532.80913043478267</v>
      </c>
      <c r="U28" s="42">
        <f>S28+T28</f>
        <v>532.80913043478267</v>
      </c>
      <c r="V28" s="42">
        <f>K28*(M28+O28+L28+N28)*100%</f>
        <v>710.4121739130436</v>
      </c>
    </row>
    <row r="29" spans="1:24" ht="14.1" customHeight="1" x14ac:dyDescent="0.25">
      <c r="A29" s="195">
        <v>1846</v>
      </c>
      <c r="B29" s="9" t="s">
        <v>138</v>
      </c>
      <c r="C29" s="51">
        <v>38120237336</v>
      </c>
      <c r="D29" s="56"/>
      <c r="E29" s="56"/>
      <c r="F29" s="142"/>
      <c r="G29" s="142"/>
      <c r="H29" s="52"/>
      <c r="I29" s="53"/>
      <c r="J29" s="52"/>
      <c r="K29" s="53"/>
      <c r="L29" s="52"/>
      <c r="M29" s="52"/>
      <c r="N29" s="52"/>
      <c r="O29" s="52"/>
      <c r="P29" s="192">
        <f t="shared" si="7"/>
        <v>0</v>
      </c>
      <c r="Q29" s="10"/>
      <c r="R29" s="10"/>
      <c r="S29" s="10"/>
      <c r="T29" s="10"/>
      <c r="U29" s="11">
        <f>SUM(U28)</f>
        <v>532.80913043478267</v>
      </c>
      <c r="V29" s="10"/>
    </row>
    <row r="30" spans="1:24" x14ac:dyDescent="0.25">
      <c r="A30" s="187">
        <v>1903</v>
      </c>
      <c r="B30" s="44" t="s">
        <v>89</v>
      </c>
      <c r="C30" s="65" t="s">
        <v>90</v>
      </c>
      <c r="D30" s="75" t="s">
        <v>51</v>
      </c>
      <c r="E30" s="55" t="s">
        <v>22</v>
      </c>
      <c r="F30" s="12">
        <v>45418</v>
      </c>
      <c r="G30" s="143">
        <v>45754</v>
      </c>
      <c r="H30" s="12" t="s">
        <v>299</v>
      </c>
      <c r="I30" s="218">
        <v>1809.18</v>
      </c>
      <c r="J30" s="1">
        <v>79</v>
      </c>
      <c r="K30" s="2">
        <f>I30/J30</f>
        <v>22.901012658227849</v>
      </c>
      <c r="L30" s="1">
        <v>0</v>
      </c>
      <c r="M30" s="1">
        <v>0</v>
      </c>
      <c r="N30" s="1">
        <v>0</v>
      </c>
      <c r="O30" s="1">
        <v>31</v>
      </c>
      <c r="P30" s="192">
        <f t="shared" si="7"/>
        <v>31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532.44854430379758</v>
      </c>
      <c r="U30" s="42">
        <f>S30+T30</f>
        <v>532.44854430379758</v>
      </c>
      <c r="V30" s="42">
        <f>K30*(M30+O30+L30+N30)*100%</f>
        <v>709.93139240506332</v>
      </c>
      <c r="W30" s="190"/>
    </row>
    <row r="31" spans="1:24" x14ac:dyDescent="0.25">
      <c r="A31" s="193" t="s">
        <v>300</v>
      </c>
      <c r="B31" s="177"/>
      <c r="C31" s="178"/>
      <c r="D31" s="179"/>
      <c r="E31" s="180"/>
      <c r="F31" s="194"/>
      <c r="G31" s="181"/>
      <c r="H31" s="194"/>
      <c r="I31" s="182"/>
      <c r="J31" s="183"/>
      <c r="K31" s="184"/>
      <c r="L31" s="183"/>
      <c r="M31" s="183"/>
      <c r="N31" s="183"/>
      <c r="O31" s="183"/>
      <c r="P31" s="192"/>
      <c r="Q31" s="182"/>
      <c r="R31" s="182"/>
      <c r="S31" s="182"/>
      <c r="T31" s="182"/>
      <c r="U31" s="182"/>
      <c r="V31" s="182"/>
    </row>
    <row r="32" spans="1:24" x14ac:dyDescent="0.25">
      <c r="A32" s="187">
        <v>1903</v>
      </c>
      <c r="B32" s="44" t="s">
        <v>288</v>
      </c>
      <c r="C32" s="65" t="s">
        <v>289</v>
      </c>
      <c r="D32" s="75" t="s">
        <v>51</v>
      </c>
      <c r="E32" s="55" t="s">
        <v>22</v>
      </c>
      <c r="F32" s="12">
        <v>45730</v>
      </c>
      <c r="G32" s="143"/>
      <c r="H32" s="203">
        <v>45732</v>
      </c>
      <c r="I32" s="42">
        <v>2504.06</v>
      </c>
      <c r="J32" s="1">
        <v>90</v>
      </c>
      <c r="K32" s="2">
        <f>I32/J32</f>
        <v>27.822888888888887</v>
      </c>
      <c r="L32" s="1">
        <v>3</v>
      </c>
      <c r="M32" s="1">
        <v>0</v>
      </c>
      <c r="N32" s="1">
        <v>0</v>
      </c>
      <c r="O32" s="1">
        <v>0</v>
      </c>
      <c r="P32" s="192">
        <f>L32+M32+N32+O32</f>
        <v>3</v>
      </c>
      <c r="Q32" s="42">
        <f>K32*50%*L32</f>
        <v>41.734333333333332</v>
      </c>
      <c r="R32" s="42">
        <f>K32*60%*M32</f>
        <v>0</v>
      </c>
      <c r="S32" s="42">
        <f>K32*60%*N32</f>
        <v>0</v>
      </c>
      <c r="T32" s="42">
        <f>K32*75%*O32</f>
        <v>0</v>
      </c>
      <c r="U32" s="42">
        <f>S32+T32</f>
        <v>0</v>
      </c>
      <c r="V32" s="42">
        <f>K32*(M32+O32+L32+N32)*100%</f>
        <v>83.468666666666664</v>
      </c>
      <c r="W32" s="190"/>
    </row>
    <row r="33" spans="1:22" x14ac:dyDescent="0.25">
      <c r="A33" s="89">
        <v>1903</v>
      </c>
      <c r="B33" s="68" t="s">
        <v>162</v>
      </c>
      <c r="C33" s="66">
        <v>381022239019</v>
      </c>
      <c r="D33" s="205">
        <v>189</v>
      </c>
      <c r="E33" s="84" t="s">
        <v>22</v>
      </c>
      <c r="F33" s="141">
        <v>45697</v>
      </c>
      <c r="G33" s="141"/>
      <c r="H33" s="141">
        <v>45808</v>
      </c>
      <c r="I33" s="85"/>
      <c r="J33" s="85"/>
      <c r="K33" s="85"/>
      <c r="L33" s="85"/>
      <c r="M33" s="85"/>
      <c r="N33" s="85"/>
      <c r="O33" s="85"/>
      <c r="P33" s="192">
        <f>L33+M33+N33+O33</f>
        <v>0</v>
      </c>
      <c r="Q33" s="83" t="s">
        <v>48</v>
      </c>
      <c r="R33" s="68"/>
      <c r="S33" s="68"/>
      <c r="T33" s="68"/>
      <c r="U33" s="85"/>
      <c r="V33" s="68"/>
    </row>
    <row r="34" spans="1:22" s="190" customFormat="1" ht="14.1" customHeight="1" x14ac:dyDescent="0.25">
      <c r="A34" s="193" t="s">
        <v>243</v>
      </c>
      <c r="B34" s="177"/>
      <c r="C34" s="178"/>
      <c r="D34" s="179"/>
      <c r="E34" s="180"/>
      <c r="F34" s="194"/>
      <c r="G34" s="181"/>
      <c r="H34" s="194"/>
      <c r="I34" s="182"/>
      <c r="J34" s="183"/>
      <c r="K34" s="184"/>
      <c r="L34" s="183"/>
      <c r="M34" s="183"/>
      <c r="N34" s="183"/>
      <c r="O34" s="183"/>
      <c r="P34" s="192">
        <f>L34+M34+N34+O34</f>
        <v>0</v>
      </c>
      <c r="Q34" s="182"/>
      <c r="R34" s="182"/>
      <c r="S34" s="182"/>
      <c r="T34" s="182"/>
      <c r="U34" s="182"/>
      <c r="V34" s="182"/>
    </row>
    <row r="35" spans="1:22" x14ac:dyDescent="0.25">
      <c r="A35" s="89">
        <v>1903</v>
      </c>
      <c r="B35" s="68" t="s">
        <v>162</v>
      </c>
      <c r="C35" s="66">
        <v>381022239019</v>
      </c>
      <c r="D35" s="205">
        <v>189</v>
      </c>
      <c r="E35" s="84" t="s">
        <v>22</v>
      </c>
      <c r="F35" s="141">
        <v>45839</v>
      </c>
      <c r="G35" s="141"/>
      <c r="H35" s="141">
        <v>45857</v>
      </c>
      <c r="I35" s="85"/>
      <c r="J35" s="85"/>
      <c r="K35" s="85"/>
      <c r="L35" s="85"/>
      <c r="M35" s="85"/>
      <c r="N35" s="85"/>
      <c r="O35" s="85"/>
      <c r="P35" s="192">
        <f>L35+M35+N35+O35</f>
        <v>0</v>
      </c>
      <c r="Q35" s="83" t="s">
        <v>72</v>
      </c>
      <c r="R35" s="68"/>
      <c r="S35" s="68" t="s">
        <v>246</v>
      </c>
      <c r="T35" s="68"/>
      <c r="U35" s="85"/>
      <c r="V35" s="68"/>
    </row>
    <row r="36" spans="1:22" x14ac:dyDescent="0.25">
      <c r="A36" s="187">
        <v>1903</v>
      </c>
      <c r="B36" s="44" t="s">
        <v>190</v>
      </c>
      <c r="C36" s="65" t="s">
        <v>191</v>
      </c>
      <c r="D36" s="75" t="s">
        <v>51</v>
      </c>
      <c r="E36" s="55" t="s">
        <v>22</v>
      </c>
      <c r="F36" s="12">
        <v>45685</v>
      </c>
      <c r="G36" s="143">
        <v>45768</v>
      </c>
      <c r="H36" s="12" t="s">
        <v>309</v>
      </c>
      <c r="I36" s="218">
        <v>669.48</v>
      </c>
      <c r="J36" s="1">
        <v>31</v>
      </c>
      <c r="K36" s="2">
        <f>I36/J36</f>
        <v>21.596129032258066</v>
      </c>
      <c r="L36" s="1">
        <v>0</v>
      </c>
      <c r="M36" s="1">
        <v>0</v>
      </c>
      <c r="N36" s="1">
        <v>0</v>
      </c>
      <c r="O36" s="1">
        <v>31</v>
      </c>
      <c r="P36" s="192">
        <f t="shared" ref="P36:P56" si="8">L36+M36+N36+O36</f>
        <v>31</v>
      </c>
      <c r="Q36" s="42">
        <f>K36*50%*L36</f>
        <v>0</v>
      </c>
      <c r="R36" s="42">
        <f>K36*60%*M36</f>
        <v>0</v>
      </c>
      <c r="S36" s="42">
        <f>K36*60%*N36</f>
        <v>0</v>
      </c>
      <c r="T36" s="42">
        <f>K36*75%*O36</f>
        <v>502.11000000000007</v>
      </c>
      <c r="U36" s="42">
        <f>S36+T36</f>
        <v>502.11000000000007</v>
      </c>
      <c r="V36" s="42">
        <f>K36*(M36+O36+L36+N36)*100%</f>
        <v>669.48</v>
      </c>
    </row>
    <row r="37" spans="1:22" x14ac:dyDescent="0.25">
      <c r="A37" s="195">
        <v>1903</v>
      </c>
      <c r="B37" s="9" t="s">
        <v>143</v>
      </c>
      <c r="C37" s="51"/>
      <c r="D37" s="56"/>
      <c r="E37" s="56"/>
      <c r="F37" s="142"/>
      <c r="G37" s="142"/>
      <c r="H37" s="52"/>
      <c r="I37" s="53"/>
      <c r="J37" s="52"/>
      <c r="K37" s="53"/>
      <c r="L37" s="52"/>
      <c r="M37" s="52"/>
      <c r="N37" s="52"/>
      <c r="O37" s="52"/>
      <c r="P37" s="192">
        <f t="shared" si="8"/>
        <v>0</v>
      </c>
      <c r="Q37" s="10"/>
      <c r="R37" s="10"/>
      <c r="S37" s="10"/>
      <c r="T37" s="10"/>
      <c r="U37" s="11">
        <f>SUM(U30:U36)</f>
        <v>1034.5585443037976</v>
      </c>
      <c r="V37" s="10"/>
    </row>
    <row r="38" spans="1:22" x14ac:dyDescent="0.25">
      <c r="A38" s="187">
        <v>1939</v>
      </c>
      <c r="B38" s="44" t="s">
        <v>121</v>
      </c>
      <c r="C38" s="189">
        <v>38103177654</v>
      </c>
      <c r="D38" s="75" t="s">
        <v>52</v>
      </c>
      <c r="E38" s="55" t="s">
        <v>22</v>
      </c>
      <c r="F38" s="12">
        <v>45581</v>
      </c>
      <c r="G38" s="143"/>
      <c r="H38" s="203">
        <v>45721</v>
      </c>
      <c r="I38" s="1">
        <v>1916.15</v>
      </c>
      <c r="J38" s="1">
        <v>30</v>
      </c>
      <c r="K38" s="2">
        <f>I38/J38</f>
        <v>63.87166666666667</v>
      </c>
      <c r="L38" s="1">
        <v>0</v>
      </c>
      <c r="M38" s="1">
        <v>0</v>
      </c>
      <c r="N38" s="1">
        <v>0</v>
      </c>
      <c r="O38" s="1">
        <v>5</v>
      </c>
      <c r="P38" s="192">
        <f t="shared" si="8"/>
        <v>5</v>
      </c>
      <c r="Q38" s="42">
        <f>K38*50%*L38</f>
        <v>0</v>
      </c>
      <c r="R38" s="42">
        <f>K38*60%*M38</f>
        <v>0</v>
      </c>
      <c r="S38" s="42">
        <f>K38*60%*N38</f>
        <v>0</v>
      </c>
      <c r="T38" s="42">
        <f>K38*75%*O38</f>
        <v>239.51875000000001</v>
      </c>
      <c r="U38" s="42">
        <f>S38+T38</f>
        <v>239.51875000000001</v>
      </c>
      <c r="V38" s="42">
        <f>K38*(M38+O38+L38+N38)*100%</f>
        <v>319.35833333333335</v>
      </c>
    </row>
    <row r="39" spans="1:22" x14ac:dyDescent="0.25">
      <c r="A39" s="195">
        <v>1939</v>
      </c>
      <c r="B39" s="9" t="s">
        <v>120</v>
      </c>
      <c r="C39" s="51"/>
      <c r="D39" s="56"/>
      <c r="E39" s="56"/>
      <c r="F39" s="142"/>
      <c r="G39" s="142"/>
      <c r="H39" s="52"/>
      <c r="I39" s="53"/>
      <c r="J39" s="52"/>
      <c r="K39" s="53"/>
      <c r="L39" s="52"/>
      <c r="M39" s="52"/>
      <c r="N39" s="52"/>
      <c r="O39" s="52"/>
      <c r="P39" s="192">
        <f t="shared" si="8"/>
        <v>0</v>
      </c>
      <c r="Q39" s="10"/>
      <c r="R39" s="10"/>
      <c r="S39" s="10"/>
      <c r="T39" s="10"/>
      <c r="U39" s="11">
        <f>SUM(U38)</f>
        <v>239.51875000000001</v>
      </c>
      <c r="V39" s="10"/>
    </row>
    <row r="40" spans="1:22" ht="14.1" customHeight="1" x14ac:dyDescent="0.25">
      <c r="A40" s="187">
        <v>1985</v>
      </c>
      <c r="B40" s="44" t="s">
        <v>218</v>
      </c>
      <c r="C40" s="207" t="s">
        <v>219</v>
      </c>
      <c r="D40" s="75" t="s">
        <v>220</v>
      </c>
      <c r="E40" s="55" t="s">
        <v>22</v>
      </c>
      <c r="F40" s="12">
        <v>45694</v>
      </c>
      <c r="G40" s="143">
        <v>45729</v>
      </c>
      <c r="H40" s="203" t="s">
        <v>277</v>
      </c>
      <c r="I40" s="1">
        <v>2725.8</v>
      </c>
      <c r="J40" s="1">
        <v>61</v>
      </c>
      <c r="K40" s="2">
        <f>I40/J40</f>
        <v>44.685245901639348</v>
      </c>
      <c r="L40" s="1">
        <v>0</v>
      </c>
      <c r="M40" s="1">
        <v>0</v>
      </c>
      <c r="N40" s="1">
        <v>0</v>
      </c>
      <c r="O40" s="1">
        <v>9</v>
      </c>
      <c r="P40" s="192">
        <f t="shared" si="8"/>
        <v>9</v>
      </c>
      <c r="Q40" s="42">
        <f>K40*50%*L40</f>
        <v>0</v>
      </c>
      <c r="R40" s="42">
        <f>K40*60%*M40</f>
        <v>0</v>
      </c>
      <c r="S40" s="42">
        <f>K40*60%*N40</f>
        <v>0</v>
      </c>
      <c r="T40" s="42">
        <f>K40*75%*O40</f>
        <v>301.62540983606561</v>
      </c>
      <c r="U40" s="42">
        <f>S40+T40</f>
        <v>301.62540983606561</v>
      </c>
      <c r="V40" s="42">
        <f>K40*(M40+O40+L40+N40)*100%</f>
        <v>402.16721311475413</v>
      </c>
    </row>
    <row r="41" spans="1:22" x14ac:dyDescent="0.25">
      <c r="A41" s="195">
        <v>1985</v>
      </c>
      <c r="B41" s="9" t="s">
        <v>212</v>
      </c>
      <c r="C41" s="51"/>
      <c r="D41" s="56"/>
      <c r="E41" s="56"/>
      <c r="F41" s="142"/>
      <c r="G41" s="142"/>
      <c r="H41" s="52"/>
      <c r="I41" s="53"/>
      <c r="J41" s="52"/>
      <c r="K41" s="53"/>
      <c r="L41" s="52"/>
      <c r="M41" s="52"/>
      <c r="N41" s="52"/>
      <c r="O41" s="52"/>
      <c r="P41" s="192">
        <f t="shared" si="8"/>
        <v>0</v>
      </c>
      <c r="Q41" s="10"/>
      <c r="R41" s="10"/>
      <c r="S41" s="10"/>
      <c r="T41" s="10"/>
      <c r="U41" s="11">
        <f>SUM(U40:U40)</f>
        <v>301.62540983606561</v>
      </c>
      <c r="V41" s="10"/>
    </row>
    <row r="42" spans="1:22" x14ac:dyDescent="0.25">
      <c r="A42" s="187">
        <v>2149</v>
      </c>
      <c r="B42" s="44" t="s">
        <v>324</v>
      </c>
      <c r="C42" s="207" t="s">
        <v>325</v>
      </c>
      <c r="D42" s="75" t="s">
        <v>52</v>
      </c>
      <c r="E42" s="55" t="s">
        <v>22</v>
      </c>
      <c r="F42" s="12">
        <v>45742</v>
      </c>
      <c r="G42" s="143"/>
      <c r="H42" s="203">
        <v>45747</v>
      </c>
      <c r="I42" s="1">
        <v>1593.72</v>
      </c>
      <c r="J42" s="1">
        <v>30</v>
      </c>
      <c r="K42" s="2">
        <f>I42/J42</f>
        <v>53.124000000000002</v>
      </c>
      <c r="L42" s="1">
        <v>3</v>
      </c>
      <c r="M42" s="1">
        <v>3</v>
      </c>
      <c r="N42" s="1">
        <v>0</v>
      </c>
      <c r="O42" s="1">
        <v>0</v>
      </c>
      <c r="P42" s="192">
        <f>L42+M42+N42+O42</f>
        <v>6</v>
      </c>
      <c r="Q42" s="42">
        <f>K42*50%*L42</f>
        <v>79.686000000000007</v>
      </c>
      <c r="R42" s="42">
        <f>K42*60%*M42</f>
        <v>95.623199999999997</v>
      </c>
      <c r="S42" s="42">
        <f>K42*60%*N42</f>
        <v>0</v>
      </c>
      <c r="T42" s="42">
        <f>K42*75%*O42</f>
        <v>0</v>
      </c>
      <c r="U42" s="42">
        <f>S42+T42</f>
        <v>0</v>
      </c>
      <c r="V42" s="42">
        <f>K42*(M42+O42+L42+N42)*100%</f>
        <v>318.74400000000003</v>
      </c>
    </row>
    <row r="43" spans="1:22" x14ac:dyDescent="0.25">
      <c r="A43" s="195">
        <v>2149</v>
      </c>
      <c r="B43" s="9" t="s">
        <v>323</v>
      </c>
      <c r="C43" s="51"/>
      <c r="D43" s="56"/>
      <c r="E43" s="56"/>
      <c r="F43" s="142"/>
      <c r="G43" s="142"/>
      <c r="H43" s="52"/>
      <c r="I43" s="53"/>
      <c r="J43" s="52"/>
      <c r="K43" s="53"/>
      <c r="L43" s="52"/>
      <c r="M43" s="52"/>
      <c r="N43" s="52"/>
      <c r="O43" s="52"/>
      <c r="P43" s="192">
        <f>L43+M43+N43+O43</f>
        <v>0</v>
      </c>
      <c r="Q43" s="10"/>
      <c r="R43" s="10"/>
      <c r="S43" s="10"/>
      <c r="T43" s="10"/>
      <c r="U43" s="11">
        <f>SUM(U42)</f>
        <v>0</v>
      </c>
      <c r="V43" s="10"/>
    </row>
    <row r="44" spans="1:22" s="185" customFormat="1" x14ac:dyDescent="0.25">
      <c r="A44" s="89">
        <v>2201</v>
      </c>
      <c r="B44" s="68" t="s">
        <v>301</v>
      </c>
      <c r="C44" s="66" t="s">
        <v>86</v>
      </c>
      <c r="D44" s="205">
        <v>200</v>
      </c>
      <c r="E44" s="84"/>
      <c r="F44" s="141">
        <v>45734</v>
      </c>
      <c r="G44" s="141"/>
      <c r="H44" s="147">
        <v>45775</v>
      </c>
      <c r="I44" s="85"/>
      <c r="J44" s="85"/>
      <c r="K44" s="85"/>
      <c r="L44" s="85"/>
      <c r="M44" s="85"/>
      <c r="N44" s="85"/>
      <c r="O44" s="85"/>
      <c r="P44" s="192">
        <f>L44+M44+N44+O44</f>
        <v>0</v>
      </c>
      <c r="Q44" s="83" t="s">
        <v>48</v>
      </c>
      <c r="R44" s="68"/>
      <c r="S44" s="68"/>
      <c r="T44" s="68"/>
      <c r="U44" s="85"/>
      <c r="V44" s="68"/>
    </row>
    <row r="45" spans="1:22" x14ac:dyDescent="0.25">
      <c r="A45" s="195">
        <v>2201</v>
      </c>
      <c r="B45" s="9" t="s">
        <v>315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>L45+M45+N45+O45</f>
        <v>0</v>
      </c>
      <c r="Q45" s="10"/>
      <c r="R45" s="10"/>
      <c r="S45" s="10"/>
      <c r="T45" s="10"/>
      <c r="U45" s="11">
        <f>SUM(U44)</f>
        <v>0</v>
      </c>
      <c r="V45" s="10"/>
    </row>
    <row r="46" spans="1:22" s="185" customFormat="1" x14ac:dyDescent="0.25">
      <c r="A46" s="89">
        <v>2273</v>
      </c>
      <c r="B46" s="68" t="s">
        <v>85</v>
      </c>
      <c r="C46" s="66" t="s">
        <v>86</v>
      </c>
      <c r="D46" s="205">
        <v>200</v>
      </c>
      <c r="E46" s="84"/>
      <c r="F46" s="141">
        <v>45679</v>
      </c>
      <c r="G46" s="141"/>
      <c r="H46" s="147">
        <v>45790</v>
      </c>
      <c r="I46" s="85"/>
      <c r="J46" s="85"/>
      <c r="K46" s="85"/>
      <c r="L46" s="85"/>
      <c r="M46" s="85"/>
      <c r="N46" s="85"/>
      <c r="O46" s="85"/>
      <c r="P46" s="192">
        <f t="shared" si="8"/>
        <v>0</v>
      </c>
      <c r="Q46" s="83" t="s">
        <v>92</v>
      </c>
      <c r="R46" s="68"/>
      <c r="S46" s="68"/>
      <c r="T46" s="68"/>
      <c r="U46" s="85"/>
      <c r="V46" s="68"/>
    </row>
    <row r="47" spans="1:22" x14ac:dyDescent="0.25">
      <c r="A47" s="195">
        <v>2273</v>
      </c>
      <c r="B47" s="9" t="s">
        <v>53</v>
      </c>
      <c r="C47" s="51"/>
      <c r="D47" s="56"/>
      <c r="E47" s="56"/>
      <c r="F47" s="142"/>
      <c r="G47" s="142"/>
      <c r="H47" s="52"/>
      <c r="I47" s="53"/>
      <c r="J47" s="52"/>
      <c r="K47" s="53"/>
      <c r="L47" s="52"/>
      <c r="M47" s="52"/>
      <c r="N47" s="52"/>
      <c r="O47" s="52"/>
      <c r="P47" s="192">
        <f t="shared" si="8"/>
        <v>0</v>
      </c>
      <c r="Q47" s="10"/>
      <c r="R47" s="10"/>
      <c r="S47" s="10"/>
      <c r="T47" s="10"/>
      <c r="U47" s="11">
        <f>SUM(U46)</f>
        <v>0</v>
      </c>
      <c r="V47" s="10"/>
    </row>
    <row r="48" spans="1:22" x14ac:dyDescent="0.25">
      <c r="A48" s="196">
        <v>2281</v>
      </c>
      <c r="B48" s="44" t="s">
        <v>296</v>
      </c>
      <c r="C48" s="65" t="s">
        <v>297</v>
      </c>
      <c r="D48" s="55">
        <v>189</v>
      </c>
      <c r="E48" s="55" t="s">
        <v>22</v>
      </c>
      <c r="F48" s="12">
        <v>45733</v>
      </c>
      <c r="G48" s="143">
        <v>45747</v>
      </c>
      <c r="H48" s="203">
        <v>45747</v>
      </c>
      <c r="I48" s="42">
        <v>1603.17</v>
      </c>
      <c r="J48" s="1">
        <v>30</v>
      </c>
      <c r="K48" s="2">
        <f t="shared" ref="K48:K53" si="9">I48/J48</f>
        <v>53.439</v>
      </c>
      <c r="L48" s="1">
        <v>3</v>
      </c>
      <c r="M48" s="1">
        <v>12</v>
      </c>
      <c r="N48" s="1">
        <v>0</v>
      </c>
      <c r="O48" s="1">
        <v>0</v>
      </c>
      <c r="P48" s="192">
        <f>L48+M48+N48+O48</f>
        <v>15</v>
      </c>
      <c r="Q48" s="42">
        <f t="shared" ref="Q48:Q53" si="10">K48*50%*L48</f>
        <v>80.158500000000004</v>
      </c>
      <c r="R48" s="42">
        <f t="shared" ref="R48:R53" si="11">K48*60%*M48</f>
        <v>384.76080000000002</v>
      </c>
      <c r="S48" s="42">
        <f t="shared" ref="S48:S53" si="12">K48*60%*N48</f>
        <v>0</v>
      </c>
      <c r="T48" s="42">
        <f t="shared" ref="T48:T53" si="13">K48*75%*O48</f>
        <v>0</v>
      </c>
      <c r="U48" s="42">
        <f t="shared" ref="U48:U53" si="14">S48+T48</f>
        <v>0</v>
      </c>
      <c r="V48" s="42">
        <f t="shared" ref="V48:V53" si="15">K48*(M48+O48+L48+N48)*100%</f>
        <v>801.58500000000004</v>
      </c>
    </row>
    <row r="49" spans="1:22" x14ac:dyDescent="0.25">
      <c r="A49" s="196">
        <v>2281</v>
      </c>
      <c r="B49" s="44" t="s">
        <v>329</v>
      </c>
      <c r="C49" s="65" t="s">
        <v>330</v>
      </c>
      <c r="D49" s="55">
        <v>100</v>
      </c>
      <c r="E49" s="55" t="s">
        <v>22</v>
      </c>
      <c r="F49" s="12">
        <v>45727</v>
      </c>
      <c r="G49" s="143"/>
      <c r="H49" s="12" t="s">
        <v>331</v>
      </c>
      <c r="I49" s="42">
        <v>1714</v>
      </c>
      <c r="J49" s="1">
        <v>30</v>
      </c>
      <c r="K49" s="2">
        <f t="shared" si="9"/>
        <v>57.133333333333333</v>
      </c>
      <c r="L49" s="1">
        <v>3</v>
      </c>
      <c r="M49" s="1">
        <v>12</v>
      </c>
      <c r="N49" s="1">
        <v>5</v>
      </c>
      <c r="O49" s="1">
        <v>1</v>
      </c>
      <c r="P49" s="192">
        <f>L49+M49+N49+O49</f>
        <v>21</v>
      </c>
      <c r="Q49" s="42">
        <f t="shared" si="10"/>
        <v>85.7</v>
      </c>
      <c r="R49" s="42">
        <f t="shared" si="11"/>
        <v>411.36</v>
      </c>
      <c r="S49" s="42">
        <f t="shared" si="12"/>
        <v>171.4</v>
      </c>
      <c r="T49" s="42">
        <f t="shared" si="13"/>
        <v>42.85</v>
      </c>
      <c r="U49" s="42">
        <f t="shared" si="14"/>
        <v>214.25</v>
      </c>
      <c r="V49" s="42">
        <f t="shared" si="15"/>
        <v>1199.8</v>
      </c>
    </row>
    <row r="50" spans="1:22" x14ac:dyDescent="0.25">
      <c r="A50" s="196">
        <v>2281</v>
      </c>
      <c r="B50" s="44" t="s">
        <v>79</v>
      </c>
      <c r="C50" s="65" t="s">
        <v>73</v>
      </c>
      <c r="D50" s="55">
        <v>189</v>
      </c>
      <c r="E50" s="55" t="s">
        <v>22</v>
      </c>
      <c r="F50" s="12">
        <v>45363</v>
      </c>
      <c r="G50" s="143">
        <v>45762</v>
      </c>
      <c r="H50" s="12" t="s">
        <v>280</v>
      </c>
      <c r="I50" s="42">
        <v>1901.68</v>
      </c>
      <c r="J50" s="1">
        <v>30</v>
      </c>
      <c r="K50" s="2">
        <f t="shared" si="9"/>
        <v>63.389333333333333</v>
      </c>
      <c r="L50" s="1">
        <v>0</v>
      </c>
      <c r="M50" s="1">
        <v>0</v>
      </c>
      <c r="N50" s="1">
        <v>0</v>
      </c>
      <c r="O50" s="1">
        <v>31</v>
      </c>
      <c r="P50" s="192">
        <f t="shared" si="8"/>
        <v>31</v>
      </c>
      <c r="Q50" s="42">
        <f t="shared" si="10"/>
        <v>0</v>
      </c>
      <c r="R50" s="42">
        <f t="shared" si="11"/>
        <v>0</v>
      </c>
      <c r="S50" s="42">
        <f t="shared" si="12"/>
        <v>0</v>
      </c>
      <c r="T50" s="42">
        <f t="shared" si="13"/>
        <v>1473.8020000000001</v>
      </c>
      <c r="U50" s="42">
        <f t="shared" si="14"/>
        <v>1473.8020000000001</v>
      </c>
      <c r="V50" s="42">
        <f t="shared" si="15"/>
        <v>1965.0693333333334</v>
      </c>
    </row>
    <row r="51" spans="1:22" x14ac:dyDescent="0.25">
      <c r="A51" s="196">
        <v>2281</v>
      </c>
      <c r="B51" s="44" t="s">
        <v>335</v>
      </c>
      <c r="C51" s="65" t="s">
        <v>336</v>
      </c>
      <c r="D51" s="55">
        <v>100</v>
      </c>
      <c r="E51" s="55" t="s">
        <v>337</v>
      </c>
      <c r="F51" s="12">
        <v>45747</v>
      </c>
      <c r="G51" s="143"/>
      <c r="H51" s="12">
        <v>45747</v>
      </c>
      <c r="I51" s="42">
        <v>1448.15</v>
      </c>
      <c r="J51" s="1">
        <v>30</v>
      </c>
      <c r="K51" s="2">
        <f t="shared" si="9"/>
        <v>48.271666666666668</v>
      </c>
      <c r="L51" s="1">
        <v>1</v>
      </c>
      <c r="M51" s="1">
        <v>0</v>
      </c>
      <c r="N51" s="1">
        <v>0</v>
      </c>
      <c r="O51" s="1">
        <v>0</v>
      </c>
      <c r="P51" s="192">
        <f t="shared" si="8"/>
        <v>1</v>
      </c>
      <c r="Q51" s="42">
        <f t="shared" si="10"/>
        <v>24.135833333333334</v>
      </c>
      <c r="R51" s="42">
        <f t="shared" si="11"/>
        <v>0</v>
      </c>
      <c r="S51" s="42">
        <f t="shared" si="12"/>
        <v>0</v>
      </c>
      <c r="T51" s="42">
        <f t="shared" si="13"/>
        <v>0</v>
      </c>
      <c r="U51" s="42">
        <f t="shared" si="14"/>
        <v>0</v>
      </c>
      <c r="V51" s="42">
        <f t="shared" si="15"/>
        <v>48.271666666666668</v>
      </c>
    </row>
    <row r="52" spans="1:22" x14ac:dyDescent="0.25">
      <c r="A52" s="196">
        <v>2281</v>
      </c>
      <c r="B52" s="44" t="s">
        <v>172</v>
      </c>
      <c r="C52" s="65" t="s">
        <v>173</v>
      </c>
      <c r="D52" s="55">
        <v>189</v>
      </c>
      <c r="E52" s="55" t="s">
        <v>22</v>
      </c>
      <c r="F52" s="12">
        <v>45679</v>
      </c>
      <c r="G52" s="143">
        <v>45762</v>
      </c>
      <c r="H52" s="12" t="s">
        <v>313</v>
      </c>
      <c r="I52" s="42">
        <v>1543.99</v>
      </c>
      <c r="J52" s="1">
        <v>30</v>
      </c>
      <c r="K52" s="2">
        <f t="shared" si="9"/>
        <v>51.466333333333331</v>
      </c>
      <c r="L52" s="1">
        <v>0</v>
      </c>
      <c r="M52" s="1">
        <v>0</v>
      </c>
      <c r="N52" s="1">
        <v>0</v>
      </c>
      <c r="O52" s="1">
        <v>31</v>
      </c>
      <c r="P52" s="192">
        <f t="shared" si="8"/>
        <v>31</v>
      </c>
      <c r="Q52" s="42">
        <f t="shared" si="10"/>
        <v>0</v>
      </c>
      <c r="R52" s="42">
        <f t="shared" si="11"/>
        <v>0</v>
      </c>
      <c r="S52" s="42">
        <f t="shared" si="12"/>
        <v>0</v>
      </c>
      <c r="T52" s="42">
        <f t="shared" si="13"/>
        <v>1196.5922499999999</v>
      </c>
      <c r="U52" s="42">
        <f t="shared" si="14"/>
        <v>1196.5922499999999</v>
      </c>
      <c r="V52" s="42">
        <f t="shared" si="15"/>
        <v>1595.4563333333333</v>
      </c>
    </row>
    <row r="53" spans="1:22" s="185" customFormat="1" ht="14.1" customHeight="1" x14ac:dyDescent="0.25">
      <c r="A53" s="196">
        <v>2281</v>
      </c>
      <c r="B53" s="44" t="s">
        <v>95</v>
      </c>
      <c r="C53" s="65" t="s">
        <v>96</v>
      </c>
      <c r="D53" s="55">
        <v>100</v>
      </c>
      <c r="E53" s="55" t="s">
        <v>22</v>
      </c>
      <c r="F53" s="12">
        <v>45448</v>
      </c>
      <c r="G53" s="143">
        <v>45763</v>
      </c>
      <c r="H53" s="12" t="s">
        <v>318</v>
      </c>
      <c r="I53" s="42">
        <v>1813.28</v>
      </c>
      <c r="J53" s="1">
        <v>30</v>
      </c>
      <c r="K53" s="2">
        <f t="shared" si="9"/>
        <v>60.442666666666668</v>
      </c>
      <c r="L53" s="1">
        <v>0</v>
      </c>
      <c r="M53" s="1">
        <v>0</v>
      </c>
      <c r="N53" s="1">
        <v>0</v>
      </c>
      <c r="O53" s="1">
        <v>31</v>
      </c>
      <c r="P53" s="192">
        <f t="shared" si="8"/>
        <v>31</v>
      </c>
      <c r="Q53" s="42">
        <f t="shared" si="10"/>
        <v>0</v>
      </c>
      <c r="R53" s="42">
        <f t="shared" si="11"/>
        <v>0</v>
      </c>
      <c r="S53" s="42">
        <f t="shared" si="12"/>
        <v>0</v>
      </c>
      <c r="T53" s="42">
        <f t="shared" si="13"/>
        <v>1405.2919999999999</v>
      </c>
      <c r="U53" s="42">
        <f t="shared" si="14"/>
        <v>1405.2919999999999</v>
      </c>
      <c r="V53" s="42">
        <f t="shared" si="15"/>
        <v>1873.7226666666668</v>
      </c>
    </row>
    <row r="54" spans="1:22" s="185" customFormat="1" ht="13.5" customHeight="1" x14ac:dyDescent="0.25">
      <c r="A54" s="193" t="s">
        <v>103</v>
      </c>
      <c r="B54" s="177"/>
      <c r="C54" s="178"/>
      <c r="D54" s="179"/>
      <c r="E54" s="180"/>
      <c r="F54" s="194"/>
      <c r="G54" s="181"/>
      <c r="H54" s="194"/>
      <c r="I54" s="182"/>
      <c r="J54" s="183"/>
      <c r="K54" s="184"/>
      <c r="L54" s="183"/>
      <c r="M54" s="183"/>
      <c r="N54" s="183"/>
      <c r="O54" s="183"/>
      <c r="P54" s="192">
        <f t="shared" si="8"/>
        <v>0</v>
      </c>
      <c r="Q54" s="182"/>
      <c r="R54" s="182"/>
      <c r="S54" s="182"/>
      <c r="T54" s="182"/>
      <c r="U54" s="182"/>
      <c r="V54" s="182"/>
    </row>
    <row r="55" spans="1:22" s="185" customFormat="1" ht="15" customHeight="1" x14ac:dyDescent="0.25">
      <c r="A55" s="195">
        <v>2281</v>
      </c>
      <c r="B55" s="9" t="s">
        <v>60</v>
      </c>
      <c r="C55" s="51"/>
      <c r="D55" s="56"/>
      <c r="E55" s="56"/>
      <c r="F55" s="142"/>
      <c r="G55" s="142"/>
      <c r="H55" s="52"/>
      <c r="I55" s="53"/>
      <c r="J55" s="52"/>
      <c r="K55" s="53"/>
      <c r="L55" s="52"/>
      <c r="M55" s="52"/>
      <c r="N55" s="52"/>
      <c r="O55" s="52"/>
      <c r="P55" s="192">
        <f t="shared" si="8"/>
        <v>0</v>
      </c>
      <c r="Q55" s="10"/>
      <c r="R55" s="10"/>
      <c r="S55" s="10"/>
      <c r="T55" s="10"/>
      <c r="U55" s="11">
        <f>SUM(U48:U54)</f>
        <v>4289.9362500000007</v>
      </c>
      <c r="V55" s="10"/>
    </row>
    <row r="56" spans="1:22" x14ac:dyDescent="0.25">
      <c r="A56" s="196">
        <v>2290</v>
      </c>
      <c r="B56" s="44" t="s">
        <v>74</v>
      </c>
      <c r="C56" s="65" t="s">
        <v>75</v>
      </c>
      <c r="D56" s="55">
        <v>100</v>
      </c>
      <c r="E56" s="55" t="s">
        <v>22</v>
      </c>
      <c r="F56" s="12">
        <v>45347</v>
      </c>
      <c r="G56" s="143">
        <v>45711</v>
      </c>
      <c r="H56" s="12" t="s">
        <v>228</v>
      </c>
      <c r="I56" s="42">
        <v>744.29</v>
      </c>
      <c r="J56" s="1">
        <v>16</v>
      </c>
      <c r="K56" s="2">
        <f>I56/J56</f>
        <v>46.518124999999998</v>
      </c>
      <c r="L56" s="1">
        <v>0</v>
      </c>
      <c r="M56" s="1">
        <v>0</v>
      </c>
      <c r="N56" s="1">
        <v>0</v>
      </c>
      <c r="O56" s="1">
        <v>31</v>
      </c>
      <c r="P56" s="192">
        <f t="shared" si="8"/>
        <v>31</v>
      </c>
      <c r="Q56" s="42">
        <f>K56*50%*L56</f>
        <v>0</v>
      </c>
      <c r="R56" s="42">
        <f>K56*60%*M56</f>
        <v>0</v>
      </c>
      <c r="S56" s="42">
        <f>K56*60%*N56</f>
        <v>0</v>
      </c>
      <c r="T56" s="42">
        <f>K56*75%*O56</f>
        <v>1081.54640625</v>
      </c>
      <c r="U56" s="42">
        <f>S56+T56</f>
        <v>1081.54640625</v>
      </c>
      <c r="V56" s="42">
        <f>K56*(M56+O56+L56+N56)*100%</f>
        <v>1442.0618749999999</v>
      </c>
    </row>
    <row r="57" spans="1:22" s="185" customFormat="1" ht="14.25" customHeight="1" x14ac:dyDescent="0.25">
      <c r="A57" s="193" t="s">
        <v>176</v>
      </c>
      <c r="B57" s="177"/>
      <c r="C57" s="178"/>
      <c r="D57" s="179"/>
      <c r="E57" s="180"/>
      <c r="F57" s="194"/>
      <c r="G57" s="181"/>
      <c r="H57" s="194"/>
      <c r="I57" s="182"/>
      <c r="J57" s="183"/>
      <c r="K57" s="184"/>
      <c r="L57" s="183"/>
      <c r="M57" s="183"/>
      <c r="N57" s="183"/>
      <c r="O57" s="183"/>
      <c r="P57" s="192"/>
      <c r="Q57" s="182"/>
      <c r="R57" s="182"/>
      <c r="S57" s="182"/>
      <c r="T57" s="182"/>
      <c r="U57" s="182"/>
      <c r="V57" s="182"/>
    </row>
    <row r="58" spans="1:22" x14ac:dyDescent="0.25">
      <c r="A58" s="196">
        <v>2290</v>
      </c>
      <c r="B58" s="44" t="s">
        <v>259</v>
      </c>
      <c r="C58" s="65" t="s">
        <v>260</v>
      </c>
      <c r="D58" s="55">
        <v>100</v>
      </c>
      <c r="E58" s="55" t="s">
        <v>22</v>
      </c>
      <c r="F58" s="12">
        <v>45709</v>
      </c>
      <c r="G58" s="143">
        <v>45758</v>
      </c>
      <c r="H58" s="12" t="s">
        <v>334</v>
      </c>
      <c r="I58" s="42">
        <v>1477.48</v>
      </c>
      <c r="J58" s="1">
        <v>30</v>
      </c>
      <c r="K58" s="2">
        <f>I58/J58</f>
        <v>49.249333333333333</v>
      </c>
      <c r="L58" s="1">
        <v>0</v>
      </c>
      <c r="M58" s="1">
        <v>7</v>
      </c>
      <c r="N58" s="1">
        <v>5</v>
      </c>
      <c r="O58" s="1">
        <v>19</v>
      </c>
      <c r="P58" s="192">
        <f>L58+M58+N58+O58</f>
        <v>31</v>
      </c>
      <c r="Q58" s="42">
        <f>K58*50%*L58</f>
        <v>0</v>
      </c>
      <c r="R58" s="42">
        <f>K58*60%*M58</f>
        <v>206.84719999999999</v>
      </c>
      <c r="S58" s="42">
        <f>K58*60%*N58</f>
        <v>147.74799999999999</v>
      </c>
      <c r="T58" s="42">
        <f>K58*75%*O58</f>
        <v>701.803</v>
      </c>
      <c r="U58" s="42">
        <f>S58+T58</f>
        <v>849.55099999999993</v>
      </c>
      <c r="V58" s="42">
        <f>K58*(M58+O58+L58+N58)*100%</f>
        <v>1526.7293333333332</v>
      </c>
    </row>
    <row r="59" spans="1:22" x14ac:dyDescent="0.25">
      <c r="A59" s="193" t="s">
        <v>317</v>
      </c>
      <c r="B59" s="177"/>
      <c r="C59" s="178"/>
      <c r="D59" s="179"/>
      <c r="E59" s="180"/>
      <c r="F59" s="194"/>
      <c r="G59" s="181"/>
      <c r="H59" s="194"/>
      <c r="I59" s="182"/>
      <c r="J59" s="183"/>
      <c r="K59" s="184"/>
      <c r="L59" s="183"/>
      <c r="M59" s="183"/>
      <c r="N59" s="183"/>
      <c r="O59" s="183"/>
      <c r="P59" s="192"/>
      <c r="Q59" s="182"/>
      <c r="R59" s="182"/>
      <c r="S59" s="182"/>
      <c r="T59" s="182"/>
      <c r="U59" s="182"/>
      <c r="V59" s="182"/>
    </row>
    <row r="60" spans="1:22" x14ac:dyDescent="0.25">
      <c r="A60" s="196">
        <v>2290</v>
      </c>
      <c r="B60" s="44" t="s">
        <v>304</v>
      </c>
      <c r="C60" s="65" t="s">
        <v>305</v>
      </c>
      <c r="D60" s="55">
        <v>100</v>
      </c>
      <c r="E60" s="55" t="s">
        <v>22</v>
      </c>
      <c r="F60" s="12">
        <v>45736</v>
      </c>
      <c r="G60" s="143"/>
      <c r="H60" s="203">
        <v>45740</v>
      </c>
      <c r="I60" s="42">
        <v>1512.48</v>
      </c>
      <c r="J60" s="1">
        <v>30</v>
      </c>
      <c r="K60" s="2">
        <f>I60/J60</f>
        <v>50.416000000000004</v>
      </c>
      <c r="L60" s="1">
        <v>3</v>
      </c>
      <c r="M60" s="1">
        <v>2</v>
      </c>
      <c r="N60" s="1">
        <v>0</v>
      </c>
      <c r="O60" s="1">
        <v>0</v>
      </c>
      <c r="P60" s="192">
        <f>L60+M60+N60+O60</f>
        <v>5</v>
      </c>
      <c r="Q60" s="42">
        <f>K60*50%*L60</f>
        <v>75.624000000000009</v>
      </c>
      <c r="R60" s="42">
        <f>K60*60%*M60</f>
        <v>60.499200000000002</v>
      </c>
      <c r="S60" s="42">
        <f>K60*60%*N60</f>
        <v>0</v>
      </c>
      <c r="T60" s="42">
        <f>K60*75%*O60</f>
        <v>0</v>
      </c>
      <c r="U60" s="42">
        <f>S60+T60</f>
        <v>0</v>
      </c>
      <c r="V60" s="42">
        <f>K60*(M60+O60+L60+N60)*100%</f>
        <v>252.08</v>
      </c>
    </row>
    <row r="61" spans="1:22" x14ac:dyDescent="0.25">
      <c r="A61" s="196">
        <v>2290</v>
      </c>
      <c r="B61" s="44" t="s">
        <v>98</v>
      </c>
      <c r="C61" s="65" t="s">
        <v>99</v>
      </c>
      <c r="D61" s="55">
        <v>100</v>
      </c>
      <c r="E61" s="55" t="s">
        <v>22</v>
      </c>
      <c r="F61" s="12">
        <v>45607</v>
      </c>
      <c r="G61" s="143">
        <v>45747</v>
      </c>
      <c r="H61" s="12" t="s">
        <v>278</v>
      </c>
      <c r="I61" s="42">
        <v>1500.04</v>
      </c>
      <c r="J61" s="1">
        <v>30</v>
      </c>
      <c r="K61" s="2">
        <f>I61/J61</f>
        <v>50.001333333333335</v>
      </c>
      <c r="L61" s="1">
        <v>0</v>
      </c>
      <c r="M61" s="1">
        <v>0</v>
      </c>
      <c r="N61" s="1">
        <v>0</v>
      </c>
      <c r="O61" s="1">
        <v>31</v>
      </c>
      <c r="P61" s="192">
        <f>L61+M61+N61+O61</f>
        <v>31</v>
      </c>
      <c r="Q61" s="42">
        <f>K61*50%*L61</f>
        <v>0</v>
      </c>
      <c r="R61" s="42">
        <f>K61*60%*M61</f>
        <v>0</v>
      </c>
      <c r="S61" s="42">
        <f>K61*60%*N61</f>
        <v>0</v>
      </c>
      <c r="T61" s="42">
        <f>K61*75%*O61</f>
        <v>1162.5310000000002</v>
      </c>
      <c r="U61" s="42">
        <f>S61+T61</f>
        <v>1162.5310000000002</v>
      </c>
      <c r="V61" s="42">
        <f>K61*(M61+O61+L61+N61)*100%</f>
        <v>1550.0413333333333</v>
      </c>
    </row>
    <row r="62" spans="1:22" x14ac:dyDescent="0.25">
      <c r="A62" s="193" t="s">
        <v>251</v>
      </c>
      <c r="B62" s="177"/>
      <c r="C62" s="178"/>
      <c r="D62" s="179"/>
      <c r="E62" s="180"/>
      <c r="F62" s="194"/>
      <c r="G62" s="181"/>
      <c r="H62" s="194"/>
      <c r="I62" s="182"/>
      <c r="J62" s="183"/>
      <c r="K62" s="184"/>
      <c r="L62" s="183"/>
      <c r="M62" s="183"/>
      <c r="N62" s="183"/>
      <c r="O62" s="183"/>
      <c r="P62" s="192"/>
      <c r="Q62" s="182"/>
      <c r="R62" s="182"/>
      <c r="S62" s="182"/>
      <c r="T62" s="182"/>
      <c r="U62" s="182"/>
      <c r="V62" s="182"/>
    </row>
    <row r="63" spans="1:22" s="185" customFormat="1" ht="14.25" customHeight="1" x14ac:dyDescent="0.25">
      <c r="A63" s="196">
        <v>2290</v>
      </c>
      <c r="B63" s="44" t="s">
        <v>230</v>
      </c>
      <c r="C63" s="65" t="s">
        <v>231</v>
      </c>
      <c r="D63" s="55">
        <v>100</v>
      </c>
      <c r="E63" s="55" t="s">
        <v>22</v>
      </c>
      <c r="F63" s="12">
        <v>45694</v>
      </c>
      <c r="G63" s="143">
        <v>45757</v>
      </c>
      <c r="H63" s="12" t="s">
        <v>320</v>
      </c>
      <c r="I63" s="42">
        <v>1771.25</v>
      </c>
      <c r="J63" s="1">
        <v>74</v>
      </c>
      <c r="K63" s="2">
        <f>I63/J63</f>
        <v>23.935810810810811</v>
      </c>
      <c r="L63" s="1">
        <v>0</v>
      </c>
      <c r="M63" s="1">
        <v>0</v>
      </c>
      <c r="N63" s="1">
        <v>0</v>
      </c>
      <c r="O63" s="1">
        <v>31</v>
      </c>
      <c r="P63" s="192">
        <f>L63+M63+N63+O63</f>
        <v>31</v>
      </c>
      <c r="Q63" s="42">
        <f>K63*50%*L63</f>
        <v>0</v>
      </c>
      <c r="R63" s="42">
        <f>K63*60%*M63</f>
        <v>0</v>
      </c>
      <c r="S63" s="42">
        <f>K63*60%*N63</f>
        <v>0</v>
      </c>
      <c r="T63" s="42">
        <f>K63*75%*O63</f>
        <v>556.50760135135135</v>
      </c>
      <c r="U63" s="42">
        <f>S63+T63</f>
        <v>556.50760135135135</v>
      </c>
      <c r="V63" s="42">
        <f>K63*(M63+O63+L63+N63)*100%</f>
        <v>742.0101351351351</v>
      </c>
    </row>
    <row r="64" spans="1:22" s="185" customFormat="1" ht="15" customHeight="1" x14ac:dyDescent="0.25">
      <c r="A64" s="193" t="s">
        <v>252</v>
      </c>
      <c r="B64" s="177"/>
      <c r="C64" s="178"/>
      <c r="D64" s="179"/>
      <c r="E64" s="180"/>
      <c r="F64" s="194"/>
      <c r="G64" s="181"/>
      <c r="H64" s="194"/>
      <c r="I64" s="220" t="s">
        <v>316</v>
      </c>
      <c r="J64" s="183"/>
      <c r="K64" s="184"/>
      <c r="L64" s="183"/>
      <c r="M64" s="183"/>
      <c r="N64" s="183"/>
      <c r="O64" s="183"/>
      <c r="P64" s="192"/>
      <c r="Q64" s="182"/>
      <c r="R64" s="182"/>
      <c r="S64" s="182"/>
      <c r="T64" s="182"/>
      <c r="U64" s="182"/>
      <c r="V64" s="182"/>
    </row>
    <row r="65" spans="1:25" x14ac:dyDescent="0.25">
      <c r="A65" s="196">
        <v>2290</v>
      </c>
      <c r="B65" s="44" t="s">
        <v>97</v>
      </c>
      <c r="C65" s="65" t="s">
        <v>100</v>
      </c>
      <c r="D65" s="55">
        <v>100</v>
      </c>
      <c r="E65" s="55" t="s">
        <v>22</v>
      </c>
      <c r="F65" s="12">
        <v>45561</v>
      </c>
      <c r="G65" s="143">
        <v>45748</v>
      </c>
      <c r="H65" s="12" t="s">
        <v>279</v>
      </c>
      <c r="I65" s="42">
        <v>1512.48</v>
      </c>
      <c r="J65" s="1">
        <v>30</v>
      </c>
      <c r="K65" s="2">
        <f>I65/J65</f>
        <v>50.416000000000004</v>
      </c>
      <c r="L65" s="1">
        <v>0</v>
      </c>
      <c r="M65" s="1">
        <v>0</v>
      </c>
      <c r="N65" s="1">
        <v>0</v>
      </c>
      <c r="O65" s="1">
        <v>31</v>
      </c>
      <c r="P65" s="192">
        <f>L65+M65+N65+O65</f>
        <v>31</v>
      </c>
      <c r="Q65" s="42">
        <f>K65*50%*L65</f>
        <v>0</v>
      </c>
      <c r="R65" s="42">
        <f>K65*60%*M65</f>
        <v>0</v>
      </c>
      <c r="S65" s="42">
        <f>K65*60%*N65</f>
        <v>0</v>
      </c>
      <c r="T65" s="42">
        <f>K65*75%*O65</f>
        <v>1172.1720000000003</v>
      </c>
      <c r="U65" s="42">
        <f>S65+T65</f>
        <v>1172.1720000000003</v>
      </c>
      <c r="V65" s="42">
        <f>K65*(M65+O65+L65+N65)*100%</f>
        <v>1562.8960000000002</v>
      </c>
    </row>
    <row r="66" spans="1:25" s="185" customFormat="1" ht="15" customHeight="1" x14ac:dyDescent="0.25">
      <c r="A66" s="193" t="s">
        <v>117</v>
      </c>
      <c r="B66" s="177"/>
      <c r="C66" s="178"/>
      <c r="D66" s="179"/>
      <c r="E66" s="180"/>
      <c r="F66" s="194"/>
      <c r="G66" s="181"/>
      <c r="H66" s="194"/>
      <c r="I66" s="182"/>
      <c r="J66" s="183"/>
      <c r="K66" s="184"/>
      <c r="L66" s="183"/>
      <c r="M66" s="183"/>
      <c r="N66" s="183"/>
      <c r="O66" s="183"/>
      <c r="P66" s="192"/>
      <c r="Q66" s="182"/>
      <c r="R66" s="182"/>
      <c r="S66" s="182"/>
      <c r="T66" s="182"/>
      <c r="U66" s="182"/>
      <c r="V66" s="182"/>
    </row>
    <row r="67" spans="1:25" x14ac:dyDescent="0.25">
      <c r="A67" s="89">
        <v>2290</v>
      </c>
      <c r="B67" s="68" t="s">
        <v>113</v>
      </c>
      <c r="C67" s="66" t="s">
        <v>114</v>
      </c>
      <c r="D67" s="205">
        <v>100</v>
      </c>
      <c r="E67" s="84" t="s">
        <v>22</v>
      </c>
      <c r="F67" s="141">
        <v>45697</v>
      </c>
      <c r="G67" s="141"/>
      <c r="H67" s="147">
        <v>45808</v>
      </c>
      <c r="I67" s="85"/>
      <c r="J67" s="85"/>
      <c r="K67" s="85"/>
      <c r="L67" s="199"/>
      <c r="M67" s="199"/>
      <c r="N67" s="199"/>
      <c r="O67" s="85"/>
      <c r="P67" s="83"/>
      <c r="Q67" s="83" t="s">
        <v>92</v>
      </c>
      <c r="R67" s="68"/>
      <c r="S67" s="68"/>
      <c r="T67" s="68"/>
      <c r="U67" s="85"/>
      <c r="V67" s="68"/>
    </row>
    <row r="68" spans="1:25" x14ac:dyDescent="0.25">
      <c r="A68" s="193" t="s">
        <v>238</v>
      </c>
      <c r="B68" s="177"/>
      <c r="C68" s="178"/>
      <c r="D68" s="179"/>
      <c r="E68" s="180"/>
      <c r="F68" s="194"/>
      <c r="G68" s="181"/>
      <c r="H68" s="194"/>
      <c r="I68" s="182"/>
      <c r="J68" s="183"/>
      <c r="K68" s="184"/>
      <c r="L68" s="183"/>
      <c r="M68" s="183"/>
      <c r="N68" s="183"/>
      <c r="O68" s="183"/>
      <c r="P68" s="192"/>
      <c r="Q68" s="182"/>
      <c r="R68" s="182"/>
      <c r="S68" s="182"/>
      <c r="T68" s="182"/>
      <c r="U68" s="182"/>
      <c r="V68" s="182"/>
      <c r="W68" s="202"/>
      <c r="X68" s="202"/>
      <c r="Y68" s="202"/>
    </row>
    <row r="69" spans="1:25" x14ac:dyDescent="0.25">
      <c r="A69" s="197">
        <v>2290</v>
      </c>
      <c r="B69" s="9" t="s">
        <v>54</v>
      </c>
      <c r="C69" s="51"/>
      <c r="D69" s="56"/>
      <c r="E69" s="56"/>
      <c r="F69" s="142"/>
      <c r="G69" s="142"/>
      <c r="H69" s="52"/>
      <c r="I69" s="53"/>
      <c r="J69" s="52"/>
      <c r="K69" s="53"/>
      <c r="L69" s="52"/>
      <c r="M69" s="52"/>
      <c r="N69" s="52"/>
      <c r="O69" s="52"/>
      <c r="P69" s="192">
        <f t="shared" ref="P69:P75" si="16">L69+M69+N69+O69</f>
        <v>0</v>
      </c>
      <c r="Q69" s="10"/>
      <c r="R69" s="10"/>
      <c r="S69" s="10"/>
      <c r="T69" s="10"/>
      <c r="U69" s="11">
        <f>SUM(U56:U66)</f>
        <v>4822.3080076013512</v>
      </c>
      <c r="V69" s="10"/>
    </row>
    <row r="70" spans="1:25" s="185" customFormat="1" x14ac:dyDescent="0.25">
      <c r="A70" s="196">
        <v>2350</v>
      </c>
      <c r="B70" s="44" t="s">
        <v>93</v>
      </c>
      <c r="C70" s="65" t="s">
        <v>94</v>
      </c>
      <c r="D70" s="55">
        <v>100</v>
      </c>
      <c r="E70" s="55" t="s">
        <v>22</v>
      </c>
      <c r="F70" s="12">
        <v>45443</v>
      </c>
      <c r="G70" s="143">
        <v>45758</v>
      </c>
      <c r="H70" s="12" t="s">
        <v>308</v>
      </c>
      <c r="I70" s="186">
        <v>1323</v>
      </c>
      <c r="J70" s="1">
        <v>30</v>
      </c>
      <c r="K70" s="2">
        <f>I70/J70</f>
        <v>44.1</v>
      </c>
      <c r="L70" s="1">
        <v>0</v>
      </c>
      <c r="M70" s="1">
        <v>0</v>
      </c>
      <c r="N70" s="1">
        <v>0</v>
      </c>
      <c r="O70" s="1">
        <v>31</v>
      </c>
      <c r="P70" s="192">
        <f t="shared" si="16"/>
        <v>31</v>
      </c>
      <c r="Q70" s="42">
        <f>K70*50%*L70</f>
        <v>0</v>
      </c>
      <c r="R70" s="42">
        <f>K70*60%*M70</f>
        <v>0</v>
      </c>
      <c r="S70" s="42">
        <f>K70*60%*N70</f>
        <v>0</v>
      </c>
      <c r="T70" s="42">
        <f>K70*75%*O70</f>
        <v>1025.325</v>
      </c>
      <c r="U70" s="42">
        <f>S70+T70</f>
        <v>1025.325</v>
      </c>
      <c r="V70" s="42">
        <f>K70*(M70+O70+L70+N70)*100%</f>
        <v>1367.1000000000001</v>
      </c>
    </row>
    <row r="71" spans="1:25" x14ac:dyDescent="0.25">
      <c r="A71" s="197">
        <v>2350</v>
      </c>
      <c r="B71" s="9" t="s">
        <v>78</v>
      </c>
      <c r="C71" s="51"/>
      <c r="D71" s="56"/>
      <c r="E71" s="56"/>
      <c r="F71" s="142"/>
      <c r="G71" s="142"/>
      <c r="H71" s="52"/>
      <c r="I71" s="53"/>
      <c r="J71" s="52"/>
      <c r="K71" s="53"/>
      <c r="L71" s="52"/>
      <c r="M71" s="52"/>
      <c r="N71" s="52"/>
      <c r="O71" s="52"/>
      <c r="P71" s="192">
        <f t="shared" si="16"/>
        <v>0</v>
      </c>
      <c r="Q71" s="10"/>
      <c r="R71" s="10"/>
      <c r="S71" s="10"/>
      <c r="T71" s="10"/>
      <c r="U71" s="11">
        <f>SUM(U70:U70)</f>
        <v>1025.325</v>
      </c>
      <c r="V71" s="10"/>
    </row>
    <row r="72" spans="1:25" x14ac:dyDescent="0.25">
      <c r="A72" s="196">
        <v>2357</v>
      </c>
      <c r="B72" s="44" t="s">
        <v>200</v>
      </c>
      <c r="C72" s="65" t="s">
        <v>201</v>
      </c>
      <c r="D72" s="55">
        <v>200</v>
      </c>
      <c r="E72" s="55" t="s">
        <v>22</v>
      </c>
      <c r="F72" s="12">
        <v>45671</v>
      </c>
      <c r="G72" s="143">
        <v>45741</v>
      </c>
      <c r="H72" s="12" t="s">
        <v>281</v>
      </c>
      <c r="I72" s="42">
        <v>4804.24</v>
      </c>
      <c r="J72" s="1">
        <v>92</v>
      </c>
      <c r="K72" s="2">
        <f>I72/J72</f>
        <v>52.22</v>
      </c>
      <c r="L72" s="1">
        <v>0</v>
      </c>
      <c r="M72" s="1">
        <v>0</v>
      </c>
      <c r="N72" s="1">
        <v>0</v>
      </c>
      <c r="O72" s="1">
        <v>31</v>
      </c>
      <c r="P72" s="192">
        <f t="shared" si="16"/>
        <v>31</v>
      </c>
      <c r="Q72" s="42">
        <f>K72*50%*L72</f>
        <v>0</v>
      </c>
      <c r="R72" s="42">
        <f>K72*60%*M72</f>
        <v>0</v>
      </c>
      <c r="S72" s="42">
        <f>K72*60%*N72</f>
        <v>0</v>
      </c>
      <c r="T72" s="42">
        <f>K72*75%*O72</f>
        <v>1214.115</v>
      </c>
      <c r="U72" s="42">
        <f>S72+T72</f>
        <v>1214.115</v>
      </c>
      <c r="V72" s="42">
        <f>K72*(M72+O72+L72+N72)*100%</f>
        <v>1618.82</v>
      </c>
    </row>
    <row r="73" spans="1:25" x14ac:dyDescent="0.25">
      <c r="A73" s="195">
        <v>2357</v>
      </c>
      <c r="B73" s="9" t="s">
        <v>199</v>
      </c>
      <c r="C73" s="51"/>
      <c r="D73" s="56"/>
      <c r="E73" s="56"/>
      <c r="F73" s="142"/>
      <c r="G73" s="142"/>
      <c r="H73" s="52"/>
      <c r="I73" s="53"/>
      <c r="J73" s="52"/>
      <c r="K73" s="53"/>
      <c r="L73" s="52"/>
      <c r="M73" s="52"/>
      <c r="N73" s="52"/>
      <c r="O73" s="52"/>
      <c r="P73" s="192">
        <f t="shared" si="16"/>
        <v>0</v>
      </c>
      <c r="Q73" s="10"/>
      <c r="R73" s="10"/>
      <c r="S73" s="10"/>
      <c r="T73" s="10"/>
      <c r="U73" s="11">
        <f>SUM(U72)</f>
        <v>1214.115</v>
      </c>
      <c r="V73" s="10"/>
    </row>
    <row r="74" spans="1:25" s="185" customFormat="1" x14ac:dyDescent="0.25">
      <c r="A74" s="89">
        <v>2393</v>
      </c>
      <c r="B74" s="68" t="s">
        <v>319</v>
      </c>
      <c r="C74" s="66">
        <v>381048696676</v>
      </c>
      <c r="D74" s="205">
        <v>100</v>
      </c>
      <c r="E74" s="84"/>
      <c r="F74" s="141">
        <v>45742</v>
      </c>
      <c r="G74" s="141"/>
      <c r="H74" s="147">
        <v>45797</v>
      </c>
      <c r="I74" s="85"/>
      <c r="J74" s="85"/>
      <c r="K74" s="85"/>
      <c r="L74" s="85"/>
      <c r="M74" s="85"/>
      <c r="N74" s="85"/>
      <c r="O74" s="85"/>
      <c r="P74" s="192">
        <f t="shared" si="16"/>
        <v>0</v>
      </c>
      <c r="Q74" s="83" t="s">
        <v>48</v>
      </c>
      <c r="R74" s="68"/>
      <c r="S74" s="68"/>
      <c r="T74" s="68"/>
      <c r="U74" s="85"/>
      <c r="V74" s="68"/>
    </row>
    <row r="75" spans="1:25" x14ac:dyDescent="0.25">
      <c r="A75" s="195">
        <v>2393</v>
      </c>
      <c r="B75" s="9" t="s">
        <v>319</v>
      </c>
      <c r="C75" s="51"/>
      <c r="D75" s="56"/>
      <c r="E75" s="56"/>
      <c r="F75" s="142"/>
      <c r="G75" s="142"/>
      <c r="H75" s="52"/>
      <c r="I75" s="53"/>
      <c r="J75" s="52"/>
      <c r="K75" s="53"/>
      <c r="L75" s="52"/>
      <c r="M75" s="52"/>
      <c r="N75" s="52"/>
      <c r="O75" s="52"/>
      <c r="P75" s="192">
        <f t="shared" si="16"/>
        <v>0</v>
      </c>
      <c r="Q75" s="10"/>
      <c r="R75" s="10"/>
      <c r="S75" s="10"/>
      <c r="T75" s="10"/>
      <c r="U75" s="11">
        <f>SUM(U74)</f>
        <v>0</v>
      </c>
      <c r="V75" s="10"/>
    </row>
    <row r="76" spans="1:25" x14ac:dyDescent="0.25">
      <c r="A76" s="91"/>
      <c r="B76" s="14" t="s">
        <v>24</v>
      </c>
      <c r="C76" s="15"/>
      <c r="D76" s="57"/>
      <c r="E76" s="57"/>
      <c r="F76" s="145"/>
      <c r="G76" s="145"/>
      <c r="H76" s="67"/>
      <c r="I76" s="16"/>
      <c r="J76" s="17"/>
      <c r="K76" s="17"/>
      <c r="L76" s="17"/>
      <c r="M76" s="17"/>
      <c r="N76" s="17"/>
      <c r="O76" s="17"/>
      <c r="P76" s="18"/>
      <c r="Q76" s="16"/>
      <c r="R76" s="43"/>
      <c r="S76" s="43"/>
      <c r="T76" s="43"/>
      <c r="U76" s="43"/>
      <c r="V76" s="43"/>
    </row>
    <row r="77" spans="1:25" ht="14.25" customHeight="1" x14ac:dyDescent="0.25">
      <c r="A77" s="90">
        <v>1846</v>
      </c>
      <c r="B77" s="8" t="s">
        <v>282</v>
      </c>
      <c r="C77" s="65" t="s">
        <v>283</v>
      </c>
      <c r="D77" s="75" t="s">
        <v>52</v>
      </c>
      <c r="E77" s="55" t="s">
        <v>22</v>
      </c>
      <c r="F77" s="12">
        <v>45727</v>
      </c>
      <c r="G77" s="143">
        <v>45762</v>
      </c>
      <c r="H77" s="12" t="s">
        <v>327</v>
      </c>
      <c r="I77" s="42">
        <v>1437.9</v>
      </c>
      <c r="J77" s="1">
        <v>30</v>
      </c>
      <c r="K77" s="2">
        <f>I77/J77</f>
        <v>47.93</v>
      </c>
      <c r="L77" s="1">
        <v>3</v>
      </c>
      <c r="M77" s="1">
        <v>12</v>
      </c>
      <c r="N77" s="1">
        <v>5</v>
      </c>
      <c r="O77" s="1">
        <v>1</v>
      </c>
      <c r="P77" s="192">
        <f>L77+M77+N77+O77</f>
        <v>21</v>
      </c>
      <c r="Q77" s="42">
        <f>K77*50%*L77</f>
        <v>71.894999999999996</v>
      </c>
      <c r="R77" s="42">
        <f>K77*60%*M77</f>
        <v>345.096</v>
      </c>
      <c r="S77" s="42">
        <f>K77*60%*N77</f>
        <v>143.79</v>
      </c>
      <c r="T77" s="42">
        <f>K77*75%*O77</f>
        <v>35.947499999999998</v>
      </c>
      <c r="U77" s="42">
        <v>0</v>
      </c>
      <c r="V77" s="42">
        <v>0</v>
      </c>
    </row>
    <row r="78" spans="1:25" x14ac:dyDescent="0.25">
      <c r="A78" s="195">
        <v>1846</v>
      </c>
      <c r="B78" s="9" t="s">
        <v>138</v>
      </c>
      <c r="C78" s="51">
        <v>38120237336</v>
      </c>
      <c r="D78" s="56"/>
      <c r="E78" s="56"/>
      <c r="F78" s="142"/>
      <c r="G78" s="142"/>
      <c r="H78" s="52"/>
      <c r="I78" s="53"/>
      <c r="J78" s="52"/>
      <c r="K78" s="53"/>
      <c r="L78" s="52"/>
      <c r="M78" s="52"/>
      <c r="N78" s="52"/>
      <c r="O78" s="52"/>
      <c r="P78" s="192">
        <f>L78+M78+N78+O78</f>
        <v>0</v>
      </c>
      <c r="Q78" s="10"/>
      <c r="R78" s="10"/>
      <c r="S78" s="10"/>
      <c r="T78" s="10"/>
      <c r="U78" s="11">
        <f>SUM(U77)</f>
        <v>0</v>
      </c>
      <c r="V78" s="10"/>
    </row>
    <row r="79" spans="1:25" x14ac:dyDescent="0.25">
      <c r="A79" s="90">
        <v>2442</v>
      </c>
      <c r="B79" s="8" t="s">
        <v>82</v>
      </c>
      <c r="C79" s="65" t="s">
        <v>83</v>
      </c>
      <c r="D79" s="55"/>
      <c r="E79" s="55" t="s">
        <v>71</v>
      </c>
      <c r="F79" s="12">
        <v>45385</v>
      </c>
      <c r="G79" s="144">
        <v>45749</v>
      </c>
      <c r="H79" s="146" t="s">
        <v>314</v>
      </c>
      <c r="I79" s="19"/>
      <c r="J79" s="20"/>
      <c r="K79" s="20"/>
      <c r="L79" s="100" t="s">
        <v>91</v>
      </c>
      <c r="M79" s="86"/>
      <c r="N79" s="86"/>
      <c r="O79" s="86"/>
      <c r="P79" s="73"/>
      <c r="Q79" s="73"/>
      <c r="R79" s="73"/>
      <c r="S79" s="73"/>
      <c r="T79" s="73"/>
      <c r="U79" s="86"/>
      <c r="V79" s="74"/>
    </row>
    <row r="80" spans="1:25" x14ac:dyDescent="0.25">
      <c r="A80" s="92">
        <v>2442</v>
      </c>
      <c r="B80" s="21" t="s">
        <v>84</v>
      </c>
      <c r="C80" s="22"/>
      <c r="D80" s="13"/>
      <c r="E80" s="13"/>
      <c r="F80" s="70"/>
      <c r="G80" s="70"/>
      <c r="H80" s="13"/>
      <c r="I80" s="41"/>
      <c r="J80" s="13"/>
      <c r="K80" s="13"/>
      <c r="L80" s="13"/>
      <c r="M80" s="13"/>
      <c r="N80" s="13"/>
      <c r="O80" s="13"/>
      <c r="P80" s="13"/>
      <c r="Q80" s="198"/>
      <c r="R80" s="198"/>
      <c r="S80" s="198"/>
      <c r="T80" s="198"/>
      <c r="U80" s="198">
        <v>0</v>
      </c>
      <c r="V80" s="198"/>
    </row>
    <row r="81" spans="1:22" ht="15.75" thickBot="1" x14ac:dyDescent="0.3">
      <c r="A81" s="87"/>
      <c r="C81" s="23"/>
      <c r="D81" s="58"/>
      <c r="F81" s="23"/>
      <c r="G81" s="23"/>
      <c r="H81" s="23"/>
      <c r="I81" s="72"/>
      <c r="J81" s="23"/>
      <c r="K81" s="23"/>
      <c r="L81" s="23"/>
      <c r="M81" s="23"/>
      <c r="N81" s="23"/>
      <c r="O81" s="23"/>
      <c r="P81" s="23"/>
      <c r="Q81" s="72"/>
      <c r="R81" s="72"/>
      <c r="S81" s="72"/>
      <c r="T81" s="72"/>
      <c r="U81" s="72"/>
      <c r="V81" s="72"/>
    </row>
    <row r="82" spans="1:22" ht="15.75" thickBot="1" x14ac:dyDescent="0.3">
      <c r="A82" s="87"/>
      <c r="C82" s="23"/>
      <c r="D82" s="58"/>
      <c r="E82" s="23"/>
      <c r="F82" s="23"/>
      <c r="G82" s="23"/>
      <c r="H82" s="160" t="s">
        <v>25</v>
      </c>
      <c r="I82" s="161"/>
      <c r="J82" s="101"/>
      <c r="K82" s="102"/>
      <c r="L82" s="103"/>
      <c r="M82" s="104"/>
      <c r="N82" s="38"/>
      <c r="O82" s="38"/>
      <c r="P82" s="105"/>
      <c r="Q82" s="106"/>
      <c r="R82" s="107"/>
      <c r="S82" s="108"/>
      <c r="T82" s="108"/>
      <c r="U82" s="25"/>
      <c r="V82" s="109"/>
    </row>
    <row r="83" spans="1:22" x14ac:dyDescent="0.25">
      <c r="A83" s="93"/>
      <c r="B83" s="46"/>
      <c r="C83" s="46" t="s">
        <v>26</v>
      </c>
      <c r="D83" s="59"/>
      <c r="E83" s="46"/>
      <c r="F83" s="46"/>
      <c r="G83" s="47"/>
      <c r="H83" s="162"/>
      <c r="I83" s="163"/>
      <c r="J83" s="79" t="s">
        <v>27</v>
      </c>
      <c r="K83" s="110"/>
      <c r="L83" s="111"/>
      <c r="M83" s="110"/>
      <c r="N83" s="111"/>
      <c r="O83" s="111"/>
      <c r="P83" s="112"/>
      <c r="Q83" s="113"/>
      <c r="R83" s="110"/>
      <c r="S83" s="113"/>
      <c r="T83" s="114"/>
      <c r="U83" s="45"/>
      <c r="V83" s="115"/>
    </row>
    <row r="84" spans="1:22" x14ac:dyDescent="0.25">
      <c r="A84" s="94"/>
      <c r="B84" s="27"/>
      <c r="C84" s="27" t="s">
        <v>28</v>
      </c>
      <c r="D84" s="60"/>
      <c r="E84" s="28"/>
      <c r="F84" s="27"/>
      <c r="G84" s="48"/>
      <c r="H84" s="164" t="s">
        <v>29</v>
      </c>
      <c r="I84" s="165"/>
      <c r="J84" s="117" t="s">
        <v>30</v>
      </c>
      <c r="K84" s="116"/>
      <c r="L84" s="118"/>
      <c r="M84" s="116"/>
      <c r="N84" s="118"/>
      <c r="O84" s="118"/>
      <c r="P84" s="119"/>
      <c r="Q84" s="120"/>
      <c r="R84" s="116"/>
      <c r="S84" s="120"/>
      <c r="T84" s="121"/>
      <c r="U84" s="29"/>
      <c r="V84" s="122"/>
    </row>
    <row r="85" spans="1:22" ht="15.75" thickBot="1" x14ac:dyDescent="0.3">
      <c r="A85" s="95"/>
      <c r="B85" s="30"/>
      <c r="C85" s="30" t="s">
        <v>31</v>
      </c>
      <c r="D85" s="61"/>
      <c r="E85" s="30"/>
      <c r="F85" s="30"/>
      <c r="G85" s="49"/>
      <c r="H85" s="166"/>
      <c r="I85" s="167"/>
      <c r="J85" s="82" t="s">
        <v>32</v>
      </c>
      <c r="K85" s="123"/>
      <c r="L85" s="124"/>
      <c r="M85" s="123"/>
      <c r="N85" s="124"/>
      <c r="O85" s="124"/>
      <c r="P85" s="125"/>
      <c r="Q85" s="123"/>
      <c r="R85" s="123"/>
      <c r="S85" s="123"/>
      <c r="T85" s="126"/>
      <c r="U85" s="31"/>
      <c r="V85" s="127"/>
    </row>
    <row r="86" spans="1:22" x14ac:dyDescent="0.25">
      <c r="A86" s="156"/>
      <c r="B86" s="157"/>
      <c r="C86" s="157" t="s">
        <v>33</v>
      </c>
      <c r="D86" s="158"/>
      <c r="E86" s="157"/>
      <c r="F86" s="157"/>
      <c r="G86" s="159"/>
      <c r="H86" s="168" t="s">
        <v>34</v>
      </c>
      <c r="I86" s="169"/>
      <c r="J86" s="129"/>
      <c r="K86" s="129"/>
      <c r="L86" s="129"/>
      <c r="M86" s="129"/>
      <c r="N86" s="129"/>
      <c r="O86" s="129"/>
      <c r="P86" s="130"/>
      <c r="Q86" s="128"/>
      <c r="R86" s="128"/>
      <c r="S86" s="128"/>
      <c r="T86" s="131"/>
      <c r="U86" s="32"/>
      <c r="V86" s="132"/>
    </row>
    <row r="87" spans="1:22" ht="15.75" thickBot="1" x14ac:dyDescent="0.3">
      <c r="A87" s="96"/>
      <c r="B87" s="201"/>
      <c r="C87" s="76" t="s">
        <v>35</v>
      </c>
      <c r="D87" s="77"/>
      <c r="E87" s="76"/>
      <c r="F87" s="76"/>
      <c r="G87" s="78"/>
      <c r="H87" s="170" t="s">
        <v>36</v>
      </c>
      <c r="I87" s="171"/>
      <c r="J87" s="134"/>
      <c r="K87" s="134"/>
      <c r="L87" s="134"/>
      <c r="M87" s="134"/>
      <c r="N87" s="134"/>
      <c r="O87" s="134"/>
      <c r="P87" s="135"/>
      <c r="Q87" s="133"/>
      <c r="R87" s="133"/>
      <c r="S87" s="133"/>
      <c r="T87" s="136"/>
      <c r="U87" s="33"/>
      <c r="V87" s="137"/>
    </row>
    <row r="88" spans="1:22" ht="15.75" thickBot="1" x14ac:dyDescent="0.3">
      <c r="A88" s="97"/>
      <c r="B88" s="34"/>
      <c r="C88" s="34" t="s">
        <v>37</v>
      </c>
      <c r="D88" s="62"/>
      <c r="E88" s="34"/>
      <c r="F88" s="34"/>
      <c r="G88" s="50"/>
      <c r="H88" s="172" t="s">
        <v>38</v>
      </c>
      <c r="I88" s="165"/>
      <c r="J88" s="117" t="s">
        <v>30</v>
      </c>
      <c r="K88" s="116"/>
      <c r="L88" s="118"/>
      <c r="M88" s="116"/>
      <c r="N88" s="118"/>
      <c r="O88" s="118"/>
      <c r="P88" s="119"/>
      <c r="Q88" s="120"/>
      <c r="R88" s="116"/>
      <c r="S88" s="120"/>
      <c r="T88" s="121"/>
      <c r="U88" s="29"/>
      <c r="V88" s="122"/>
    </row>
    <row r="89" spans="1:22" ht="15.75" thickBot="1" x14ac:dyDescent="0.3">
      <c r="A89" s="98"/>
      <c r="B89" s="35" t="s">
        <v>39</v>
      </c>
      <c r="C89" s="36"/>
      <c r="D89" s="63"/>
      <c r="E89" s="36"/>
      <c r="F89" s="36"/>
      <c r="G89" s="37"/>
      <c r="H89" s="173"/>
      <c r="I89" s="174"/>
      <c r="J89" s="80" t="s">
        <v>40</v>
      </c>
      <c r="K89" s="104"/>
      <c r="L89" s="103"/>
      <c r="M89" s="104"/>
      <c r="N89" s="103"/>
      <c r="O89" s="103"/>
      <c r="P89" s="138"/>
      <c r="Q89" s="104"/>
      <c r="R89" s="104"/>
      <c r="S89" s="104"/>
      <c r="T89" s="139"/>
      <c r="U89" s="26"/>
      <c r="V89" s="140"/>
    </row>
    <row r="90" spans="1:22" ht="15.75" thickBot="1" x14ac:dyDescent="0.3">
      <c r="A90" s="148"/>
      <c r="B90" s="152" t="s">
        <v>57</v>
      </c>
      <c r="C90" s="149"/>
      <c r="D90" s="150"/>
      <c r="E90" s="149"/>
      <c r="F90" s="149"/>
      <c r="G90" s="151"/>
      <c r="H90" s="173"/>
      <c r="I90" s="174"/>
      <c r="J90" s="80" t="s">
        <v>41</v>
      </c>
      <c r="K90" s="104"/>
      <c r="L90" s="103"/>
      <c r="M90" s="104"/>
      <c r="N90" s="103"/>
      <c r="O90" s="103"/>
      <c r="P90" s="138"/>
      <c r="Q90" s="104"/>
      <c r="R90" s="104"/>
      <c r="S90" s="104"/>
      <c r="T90" s="139"/>
      <c r="U90" s="26"/>
      <c r="V90" s="140"/>
    </row>
    <row r="91" spans="1:22" ht="15.75" thickBot="1" x14ac:dyDescent="0.3">
      <c r="A91" s="290" t="s">
        <v>123</v>
      </c>
      <c r="B91" s="291"/>
      <c r="C91" s="291"/>
      <c r="D91" s="291"/>
      <c r="E91" s="291"/>
      <c r="F91" s="291"/>
      <c r="G91" s="292"/>
      <c r="H91" s="166"/>
      <c r="I91" s="167"/>
      <c r="J91" s="82" t="s">
        <v>42</v>
      </c>
      <c r="K91" s="123"/>
      <c r="L91" s="124"/>
      <c r="M91" s="123"/>
      <c r="N91" s="124"/>
      <c r="O91" s="124"/>
      <c r="P91" s="125"/>
      <c r="Q91" s="123"/>
      <c r="R91" s="123"/>
      <c r="S91" s="123"/>
      <c r="T91" s="126"/>
      <c r="U91" s="31"/>
      <c r="V91" s="127"/>
    </row>
    <row r="92" spans="1:22" x14ac:dyDescent="0.25">
      <c r="A92" s="87"/>
      <c r="C92" s="23"/>
      <c r="D92" s="58"/>
      <c r="E92" s="23"/>
      <c r="F92" s="23"/>
      <c r="G92" s="23"/>
      <c r="H92" s="172" t="s">
        <v>43</v>
      </c>
      <c r="I92" s="165"/>
      <c r="J92" s="117" t="s">
        <v>44</v>
      </c>
      <c r="K92" s="116"/>
      <c r="L92" s="118"/>
      <c r="M92" s="116"/>
      <c r="N92" s="118"/>
      <c r="O92" s="118"/>
      <c r="P92" s="119"/>
      <c r="Q92" s="120"/>
      <c r="R92" s="116"/>
      <c r="S92" s="120"/>
      <c r="T92" s="121"/>
      <c r="U92" s="29"/>
      <c r="V92" s="122"/>
    </row>
    <row r="93" spans="1:22" x14ac:dyDescent="0.25">
      <c r="A93" s="99"/>
      <c r="B93" s="38"/>
      <c r="C93" s="39"/>
      <c r="D93" s="64"/>
      <c r="E93" s="24"/>
      <c r="F93" s="71"/>
      <c r="G93" s="71"/>
      <c r="H93" s="173"/>
      <c r="I93" s="174"/>
      <c r="J93" s="80" t="s">
        <v>45</v>
      </c>
      <c r="K93" s="104"/>
      <c r="L93" s="103"/>
      <c r="M93" s="104"/>
      <c r="N93" s="103"/>
      <c r="O93" s="103"/>
      <c r="P93" s="138"/>
      <c r="Q93" s="104"/>
      <c r="R93" s="104"/>
      <c r="S93" s="104"/>
      <c r="T93" s="139"/>
      <c r="U93" s="26"/>
      <c r="V93" s="140"/>
    </row>
    <row r="94" spans="1:22" x14ac:dyDescent="0.25">
      <c r="A94" s="87"/>
      <c r="C94" s="23"/>
      <c r="D94" s="58"/>
      <c r="E94" s="23"/>
      <c r="F94" s="23"/>
      <c r="G94" s="23"/>
      <c r="H94" s="173"/>
      <c r="I94" s="174"/>
      <c r="J94" s="80" t="s">
        <v>46</v>
      </c>
      <c r="K94" s="104"/>
      <c r="L94" s="103"/>
      <c r="M94" s="104"/>
      <c r="N94" s="103"/>
      <c r="O94" s="103"/>
      <c r="P94" s="138"/>
      <c r="Q94" s="104"/>
      <c r="R94" s="104"/>
      <c r="S94" s="104"/>
      <c r="T94" s="139"/>
      <c r="U94" s="26"/>
      <c r="V94" s="140"/>
    </row>
    <row r="95" spans="1:22" ht="15.75" thickBot="1" x14ac:dyDescent="0.3">
      <c r="A95" s="87"/>
      <c r="C95" s="23"/>
      <c r="D95" s="58"/>
      <c r="E95" s="23"/>
      <c r="F95" s="23"/>
      <c r="G95" s="23"/>
      <c r="H95" s="175"/>
      <c r="I95" s="176"/>
      <c r="J95" s="82" t="s">
        <v>47</v>
      </c>
      <c r="K95" s="123"/>
      <c r="L95" s="124"/>
      <c r="M95" s="123"/>
      <c r="N95" s="124"/>
      <c r="O95" s="124"/>
      <c r="P95" s="125"/>
      <c r="Q95" s="123"/>
      <c r="R95" s="123"/>
      <c r="S95" s="123"/>
      <c r="T95" s="126"/>
      <c r="U95" s="31"/>
      <c r="V95" s="127"/>
    </row>
  </sheetData>
  <mergeCells count="1">
    <mergeCell ref="A91:G91"/>
  </mergeCells>
  <phoneticPr fontId="10" type="noConversion"/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3"/>
  <sheetViews>
    <sheetView topLeftCell="A43" zoomScaleNormal="100" workbookViewId="0">
      <selection activeCell="K98" sqref="K98"/>
    </sheetView>
  </sheetViews>
  <sheetFormatPr baseColWidth="10" defaultRowHeight="15" x14ac:dyDescent="0.25"/>
  <cols>
    <col min="1" max="1" width="4.140625" customWidth="1"/>
    <col min="2" max="2" width="22.85546875" customWidth="1"/>
    <col min="3" max="3" width="11.42578125" customWidth="1"/>
    <col min="4" max="4" width="3.5703125" style="23" customWidth="1"/>
    <col min="5" max="5" width="2.85546875" customWidth="1"/>
    <col min="6" max="7" width="8.85546875" customWidth="1"/>
    <col min="8" max="8" width="10.42578125" customWidth="1"/>
    <col min="9" max="9" width="7.14062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1" width="7.5703125" customWidth="1"/>
    <col min="22" max="22" width="6.140625" customWidth="1"/>
  </cols>
  <sheetData>
    <row r="1" spans="1:22" x14ac:dyDescent="0.25">
      <c r="A1" s="87"/>
      <c r="B1" s="81" t="s">
        <v>328</v>
      </c>
      <c r="C1" s="4">
        <v>45769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2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2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2" x14ac:dyDescent="0.25">
      <c r="A4" s="89">
        <v>8</v>
      </c>
      <c r="B4" s="68" t="s">
        <v>130</v>
      </c>
      <c r="C4" s="66">
        <v>381055494659</v>
      </c>
      <c r="D4" s="205">
        <v>100</v>
      </c>
      <c r="E4" s="205" t="s">
        <v>22</v>
      </c>
      <c r="F4" s="141">
        <v>45642</v>
      </c>
      <c r="G4" s="141"/>
      <c r="H4" s="147">
        <v>45753</v>
      </c>
      <c r="I4" s="85"/>
      <c r="J4" s="85"/>
      <c r="K4" s="85"/>
      <c r="L4" s="85"/>
      <c r="M4" s="85"/>
      <c r="N4" s="85"/>
      <c r="O4" s="85"/>
      <c r="P4" s="192"/>
      <c r="Q4" s="83" t="s">
        <v>48</v>
      </c>
      <c r="R4" s="68"/>
      <c r="S4" s="68"/>
      <c r="T4" s="68"/>
      <c r="U4" s="85"/>
      <c r="V4" s="68"/>
    </row>
    <row r="5" spans="1:22" x14ac:dyDescent="0.25">
      <c r="A5" s="195">
        <v>8</v>
      </c>
      <c r="B5" s="9" t="s">
        <v>55</v>
      </c>
      <c r="C5" s="51"/>
      <c r="D5" s="56"/>
      <c r="E5" s="56"/>
      <c r="F5" s="142"/>
      <c r="G5" s="142"/>
      <c r="H5" s="52"/>
      <c r="I5" s="53"/>
      <c r="J5" s="52"/>
      <c r="K5" s="53"/>
      <c r="L5" s="52"/>
      <c r="M5" s="52"/>
      <c r="N5" s="52"/>
      <c r="O5" s="52"/>
      <c r="P5" s="192">
        <f t="shared" ref="P5:P11" si="0">L5+M5+N5+O5</f>
        <v>0</v>
      </c>
      <c r="Q5" s="10"/>
      <c r="R5" s="10"/>
      <c r="S5" s="10"/>
      <c r="T5" s="10"/>
      <c r="U5" s="11"/>
      <c r="V5" s="10"/>
    </row>
    <row r="6" spans="1:22" ht="14.25" customHeight="1" x14ac:dyDescent="0.25">
      <c r="A6" s="90">
        <v>171</v>
      </c>
      <c r="B6" s="8" t="s">
        <v>350</v>
      </c>
      <c r="C6" s="65" t="s">
        <v>351</v>
      </c>
      <c r="D6" s="75" t="s">
        <v>52</v>
      </c>
      <c r="E6" s="55" t="s">
        <v>22</v>
      </c>
      <c r="F6" s="12">
        <v>45754</v>
      </c>
      <c r="G6" s="143">
        <v>45775</v>
      </c>
      <c r="H6" s="12" t="s">
        <v>361</v>
      </c>
      <c r="I6" s="42">
        <v>1812.81</v>
      </c>
      <c r="J6" s="1">
        <v>30</v>
      </c>
      <c r="K6" s="2">
        <f>I6/J6</f>
        <v>60.427</v>
      </c>
      <c r="L6" s="1">
        <v>3</v>
      </c>
      <c r="M6" s="1">
        <v>12</v>
      </c>
      <c r="N6" s="1">
        <v>5</v>
      </c>
      <c r="O6" s="1">
        <v>4</v>
      </c>
      <c r="P6" s="192">
        <f t="shared" si="0"/>
        <v>24</v>
      </c>
      <c r="Q6" s="42">
        <f>K6*50%*L6</f>
        <v>90.640500000000003</v>
      </c>
      <c r="R6" s="42">
        <f>K6*60%*M6</f>
        <v>435.07439999999997</v>
      </c>
      <c r="S6" s="42">
        <f>K6*60%*N6</f>
        <v>181.28100000000001</v>
      </c>
      <c r="T6" s="42">
        <f>K6*75%*O6</f>
        <v>181.28100000000001</v>
      </c>
      <c r="U6" s="42">
        <f>S6+T6</f>
        <v>362.56200000000001</v>
      </c>
      <c r="V6" s="42">
        <f>K6*(M6+O6+L6+N6)*100%</f>
        <v>1450.248</v>
      </c>
    </row>
    <row r="7" spans="1:22" s="185" customFormat="1" ht="15" customHeight="1" x14ac:dyDescent="0.25">
      <c r="A7" s="193" t="s">
        <v>375</v>
      </c>
      <c r="B7" s="177"/>
      <c r="C7" s="178"/>
      <c r="D7" s="179"/>
      <c r="E7" s="180"/>
      <c r="F7" s="194"/>
      <c r="G7" s="181"/>
      <c r="H7" s="194"/>
      <c r="I7" s="182"/>
      <c r="J7" s="183"/>
      <c r="K7" s="184"/>
      <c r="L7" s="183"/>
      <c r="M7" s="183"/>
      <c r="N7" s="183"/>
      <c r="O7" s="183"/>
      <c r="P7" s="192">
        <f>L7+M7+N7+O7</f>
        <v>0</v>
      </c>
      <c r="Q7" s="182"/>
      <c r="R7" s="182"/>
      <c r="S7" s="182"/>
      <c r="T7" s="182"/>
      <c r="U7" s="182"/>
      <c r="V7" s="182"/>
    </row>
    <row r="8" spans="1:22" x14ac:dyDescent="0.25">
      <c r="A8" s="195">
        <v>171</v>
      </c>
      <c r="B8" s="9" t="s">
        <v>349</v>
      </c>
      <c r="C8" s="51">
        <v>38102133702</v>
      </c>
      <c r="D8" s="56"/>
      <c r="E8" s="56"/>
      <c r="F8" s="142"/>
      <c r="G8" s="142"/>
      <c r="H8" s="52"/>
      <c r="I8" s="53"/>
      <c r="J8" s="52"/>
      <c r="K8" s="53"/>
      <c r="L8" s="52"/>
      <c r="M8" s="52"/>
      <c r="N8" s="52"/>
      <c r="O8" s="52"/>
      <c r="P8" s="192">
        <f t="shared" si="0"/>
        <v>0</v>
      </c>
      <c r="Q8" s="10"/>
      <c r="R8" s="10"/>
      <c r="S8" s="10"/>
      <c r="T8" s="10"/>
      <c r="U8" s="11">
        <f>SUM(U6)</f>
        <v>362.56200000000001</v>
      </c>
      <c r="V8" s="10"/>
    </row>
    <row r="9" spans="1:22" x14ac:dyDescent="0.25">
      <c r="A9" s="90">
        <v>717</v>
      </c>
      <c r="B9" s="8" t="s">
        <v>76</v>
      </c>
      <c r="C9" s="65" t="s">
        <v>107</v>
      </c>
      <c r="D9" s="75" t="s">
        <v>52</v>
      </c>
      <c r="E9" s="55" t="s">
        <v>22</v>
      </c>
      <c r="F9" s="12">
        <v>45504</v>
      </c>
      <c r="G9" s="143">
        <v>45777</v>
      </c>
      <c r="H9" s="12" t="s">
        <v>353</v>
      </c>
      <c r="I9" s="42">
        <v>1506.38</v>
      </c>
      <c r="J9" s="1">
        <v>30</v>
      </c>
      <c r="K9" s="2">
        <f>I9/J9</f>
        <v>50.212666666666671</v>
      </c>
      <c r="L9" s="1">
        <v>0</v>
      </c>
      <c r="M9" s="1">
        <v>0</v>
      </c>
      <c r="N9" s="1">
        <v>0</v>
      </c>
      <c r="O9" s="1">
        <v>30</v>
      </c>
      <c r="P9" s="192">
        <f t="shared" si="0"/>
        <v>30</v>
      </c>
      <c r="Q9" s="42">
        <f>K9*50%*L9</f>
        <v>0</v>
      </c>
      <c r="R9" s="42">
        <f>K9*60%*M9</f>
        <v>0</v>
      </c>
      <c r="S9" s="42">
        <f>K9*60%*N9</f>
        <v>0</v>
      </c>
      <c r="T9" s="42">
        <f>K9*75%*O9</f>
        <v>1129.7850000000001</v>
      </c>
      <c r="U9" s="42">
        <f>S9+T9</f>
        <v>1129.7850000000001</v>
      </c>
      <c r="V9" s="42">
        <f>K9*(M9+O9+L9+N9)*100%</f>
        <v>1506.38</v>
      </c>
    </row>
    <row r="10" spans="1:22" s="185" customFormat="1" ht="15" customHeight="1" x14ac:dyDescent="0.25">
      <c r="A10" s="193" t="s">
        <v>108</v>
      </c>
      <c r="B10" s="177"/>
      <c r="C10" s="178"/>
      <c r="D10" s="179"/>
      <c r="E10" s="180"/>
      <c r="F10" s="194"/>
      <c r="G10" s="181"/>
      <c r="H10" s="194"/>
      <c r="I10" s="182"/>
      <c r="J10" s="183"/>
      <c r="K10" s="184"/>
      <c r="L10" s="183"/>
      <c r="M10" s="183"/>
      <c r="N10" s="183"/>
      <c r="O10" s="183"/>
      <c r="P10" s="192">
        <f t="shared" si="0"/>
        <v>0</v>
      </c>
      <c r="Q10" s="182"/>
      <c r="R10" s="182"/>
      <c r="S10" s="182"/>
      <c r="T10" s="182"/>
      <c r="U10" s="182"/>
      <c r="V10" s="182"/>
    </row>
    <row r="11" spans="1:22" ht="14.1" customHeight="1" x14ac:dyDescent="0.25">
      <c r="A11" s="90">
        <v>717</v>
      </c>
      <c r="B11" s="8" t="s">
        <v>122</v>
      </c>
      <c r="C11" s="65" t="s">
        <v>56</v>
      </c>
      <c r="D11" s="75" t="s">
        <v>52</v>
      </c>
      <c r="E11" s="55" t="s">
        <v>22</v>
      </c>
      <c r="F11" s="12">
        <v>45583</v>
      </c>
      <c r="G11" s="143"/>
      <c r="H11" s="203">
        <v>45766</v>
      </c>
      <c r="I11" s="42">
        <v>1527.43</v>
      </c>
      <c r="J11" s="1">
        <v>30</v>
      </c>
      <c r="K11" s="2">
        <f>I11/J11</f>
        <v>50.914333333333339</v>
      </c>
      <c r="L11" s="1">
        <v>0</v>
      </c>
      <c r="M11" s="1">
        <v>0</v>
      </c>
      <c r="N11" s="1">
        <v>0</v>
      </c>
      <c r="O11" s="1">
        <v>19</v>
      </c>
      <c r="P11" s="192">
        <f t="shared" si="0"/>
        <v>19</v>
      </c>
      <c r="Q11" s="42">
        <f>K11*50%*L11</f>
        <v>0</v>
      </c>
      <c r="R11" s="42">
        <f>K11*60%*M11</f>
        <v>0</v>
      </c>
      <c r="S11" s="42">
        <f>K11*60%*N11</f>
        <v>0</v>
      </c>
      <c r="T11" s="42">
        <f>K11*75%*O11</f>
        <v>725.52925000000016</v>
      </c>
      <c r="U11" s="42">
        <f>S11+T11</f>
        <v>725.52925000000016</v>
      </c>
      <c r="V11" s="42">
        <f>K11*(M11+O11+L11+N11)*100%</f>
        <v>967.37233333333347</v>
      </c>
    </row>
    <row r="12" spans="1:22" ht="14.1" customHeight="1" x14ac:dyDescent="0.25">
      <c r="A12" s="89">
        <v>717</v>
      </c>
      <c r="B12" s="68" t="s">
        <v>122</v>
      </c>
      <c r="C12" s="226" t="s">
        <v>56</v>
      </c>
      <c r="D12" s="227" t="s">
        <v>52</v>
      </c>
      <c r="E12" s="205" t="s">
        <v>22</v>
      </c>
      <c r="F12" s="141">
        <v>45767</v>
      </c>
      <c r="G12" s="228"/>
      <c r="H12" s="147">
        <v>45878</v>
      </c>
      <c r="I12" s="229"/>
      <c r="J12" s="85"/>
      <c r="K12" s="230"/>
      <c r="L12" s="85"/>
      <c r="M12" s="85"/>
      <c r="N12" s="85"/>
      <c r="O12" s="85"/>
      <c r="P12" s="192"/>
      <c r="Q12" s="83" t="s">
        <v>92</v>
      </c>
      <c r="R12" s="68"/>
      <c r="S12" s="68"/>
      <c r="T12" s="68"/>
      <c r="U12" s="85"/>
      <c r="V12" s="68"/>
    </row>
    <row r="13" spans="1:22" x14ac:dyDescent="0.25">
      <c r="A13" s="89">
        <v>717</v>
      </c>
      <c r="B13" s="68" t="s">
        <v>130</v>
      </c>
      <c r="C13" s="66">
        <v>381055494659</v>
      </c>
      <c r="D13" s="205">
        <v>100</v>
      </c>
      <c r="E13" s="205" t="s">
        <v>22</v>
      </c>
      <c r="F13" s="141">
        <v>45642</v>
      </c>
      <c r="G13" s="141"/>
      <c r="H13" s="147">
        <v>45753</v>
      </c>
      <c r="I13" s="85"/>
      <c r="J13" s="85"/>
      <c r="K13" s="85"/>
      <c r="L13" s="85"/>
      <c r="M13" s="85"/>
      <c r="N13" s="85"/>
      <c r="O13" s="85"/>
      <c r="P13" s="192"/>
      <c r="Q13" s="83" t="s">
        <v>48</v>
      </c>
      <c r="R13" s="68"/>
      <c r="S13" s="68"/>
      <c r="T13" s="68"/>
      <c r="U13" s="85"/>
      <c r="V13" s="68"/>
    </row>
    <row r="14" spans="1:22" x14ac:dyDescent="0.25">
      <c r="A14" s="195">
        <v>717</v>
      </c>
      <c r="B14" s="9" t="s">
        <v>49</v>
      </c>
      <c r="C14" s="51"/>
      <c r="D14" s="56"/>
      <c r="E14" s="56"/>
      <c r="F14" s="142"/>
      <c r="G14" s="142"/>
      <c r="H14" s="52"/>
      <c r="I14" s="53"/>
      <c r="J14" s="52"/>
      <c r="K14" s="53"/>
      <c r="L14" s="52"/>
      <c r="M14" s="52"/>
      <c r="N14" s="52"/>
      <c r="O14" s="52"/>
      <c r="P14" s="192">
        <f>L14+M14+N14+O14</f>
        <v>0</v>
      </c>
      <c r="Q14" s="10"/>
      <c r="R14" s="10"/>
      <c r="S14" s="10"/>
      <c r="T14" s="10"/>
      <c r="U14" s="11">
        <f>SUM(U9:U13)</f>
        <v>1855.3142500000004</v>
      </c>
      <c r="V14" s="10"/>
    </row>
    <row r="15" spans="1:22" ht="14.25" customHeight="1" x14ac:dyDescent="0.25">
      <c r="A15" s="90">
        <v>1378</v>
      </c>
      <c r="B15" s="8" t="s">
        <v>338</v>
      </c>
      <c r="C15" s="65" t="s">
        <v>339</v>
      </c>
      <c r="D15" s="75" t="s">
        <v>52</v>
      </c>
      <c r="E15" s="55" t="s">
        <v>22</v>
      </c>
      <c r="F15" s="12">
        <v>45746</v>
      </c>
      <c r="G15" s="143">
        <v>45753</v>
      </c>
      <c r="H15" s="203">
        <v>45751</v>
      </c>
      <c r="I15" s="208">
        <v>1381.5</v>
      </c>
      <c r="J15" s="1">
        <v>30</v>
      </c>
      <c r="K15" s="2">
        <f>I15/J15</f>
        <v>46.05</v>
      </c>
      <c r="L15" s="1">
        <v>1</v>
      </c>
      <c r="M15" s="1">
        <v>3</v>
      </c>
      <c r="N15" s="1">
        <v>0</v>
      </c>
      <c r="O15" s="1">
        <v>0</v>
      </c>
      <c r="P15" s="192">
        <f>L15+M15+N15+O15</f>
        <v>4</v>
      </c>
      <c r="Q15" s="42">
        <f>K15*50%*L15</f>
        <v>23.024999999999999</v>
      </c>
      <c r="R15" s="42">
        <f>K15*60%*M15</f>
        <v>82.89</v>
      </c>
      <c r="S15" s="42">
        <f>K15*60%*N15</f>
        <v>0</v>
      </c>
      <c r="T15" s="42">
        <f>K15*75%*O15</f>
        <v>0</v>
      </c>
      <c r="U15" s="42">
        <f>S15+T15</f>
        <v>0</v>
      </c>
      <c r="V15" s="42">
        <f>K15*(M15+O15+L15+N15)*100%</f>
        <v>184.2</v>
      </c>
    </row>
    <row r="16" spans="1:22" ht="14.25" customHeight="1" x14ac:dyDescent="0.25">
      <c r="A16" s="90">
        <v>1378</v>
      </c>
      <c r="B16" s="8" t="s">
        <v>64</v>
      </c>
      <c r="C16" s="65" t="s">
        <v>65</v>
      </c>
      <c r="D16" s="75" t="s">
        <v>52</v>
      </c>
      <c r="E16" s="55" t="s">
        <v>22</v>
      </c>
      <c r="F16" s="12">
        <v>45299</v>
      </c>
      <c r="G16" s="143">
        <v>45663</v>
      </c>
      <c r="H16" s="12" t="s">
        <v>137</v>
      </c>
      <c r="I16" s="186">
        <v>1260</v>
      </c>
      <c r="J16" s="1">
        <v>30</v>
      </c>
      <c r="K16" s="2">
        <f t="shared" ref="K16:K23" si="1">I16/J16</f>
        <v>42</v>
      </c>
      <c r="L16" s="1">
        <v>0</v>
      </c>
      <c r="M16" s="1">
        <v>0</v>
      </c>
      <c r="N16" s="1">
        <v>0</v>
      </c>
      <c r="O16" s="1">
        <v>30</v>
      </c>
      <c r="P16" s="192">
        <f t="shared" ref="P16:P31" si="2">L16+M16+N16+O16</f>
        <v>30</v>
      </c>
      <c r="Q16" s="42">
        <f t="shared" ref="Q16:Q23" si="3">K16*50%*L16</f>
        <v>0</v>
      </c>
      <c r="R16" s="42">
        <f t="shared" ref="R16:R23" si="4">K16*60%*M16</f>
        <v>0</v>
      </c>
      <c r="S16" s="42">
        <f t="shared" ref="S16:S23" si="5">K16*60%*N16</f>
        <v>0</v>
      </c>
      <c r="T16" s="42">
        <f t="shared" ref="T16:T23" si="6">K16*75%*O16</f>
        <v>945</v>
      </c>
      <c r="U16" s="42">
        <f t="shared" ref="U16:U23" si="7">S16+T16</f>
        <v>945</v>
      </c>
      <c r="V16" s="42">
        <f t="shared" ref="V16:V23" si="8">K16*(M16+O16+L16+N16)*100%</f>
        <v>1260</v>
      </c>
    </row>
    <row r="17" spans="1:22" x14ac:dyDescent="0.25">
      <c r="A17" s="90">
        <v>1378</v>
      </c>
      <c r="B17" s="8" t="s">
        <v>226</v>
      </c>
      <c r="C17" s="65" t="s">
        <v>227</v>
      </c>
      <c r="D17" s="75" t="s">
        <v>52</v>
      </c>
      <c r="E17" s="55" t="s">
        <v>22</v>
      </c>
      <c r="F17" s="12">
        <v>45698</v>
      </c>
      <c r="G17" s="143">
        <v>45761</v>
      </c>
      <c r="H17" s="12" t="s">
        <v>341</v>
      </c>
      <c r="I17" s="208">
        <v>1381.5</v>
      </c>
      <c r="J17" s="1">
        <v>30</v>
      </c>
      <c r="K17" s="2">
        <f t="shared" si="1"/>
        <v>46.05</v>
      </c>
      <c r="L17" s="1">
        <v>0</v>
      </c>
      <c r="M17" s="1">
        <v>0</v>
      </c>
      <c r="N17" s="1">
        <v>0</v>
      </c>
      <c r="O17" s="1">
        <v>30</v>
      </c>
      <c r="P17" s="192">
        <f>L17+M17+N17+O17</f>
        <v>30</v>
      </c>
      <c r="Q17" s="42">
        <f t="shared" si="3"/>
        <v>0</v>
      </c>
      <c r="R17" s="42">
        <f t="shared" si="4"/>
        <v>0</v>
      </c>
      <c r="S17" s="42">
        <f t="shared" si="5"/>
        <v>0</v>
      </c>
      <c r="T17" s="42">
        <f t="shared" si="6"/>
        <v>1036.1249999999998</v>
      </c>
      <c r="U17" s="42">
        <f t="shared" si="7"/>
        <v>1036.1249999999998</v>
      </c>
      <c r="V17" s="42">
        <f t="shared" si="8"/>
        <v>1381.5</v>
      </c>
    </row>
    <row r="18" spans="1:22" x14ac:dyDescent="0.25">
      <c r="A18" s="90">
        <v>1378</v>
      </c>
      <c r="B18" s="8" t="s">
        <v>69</v>
      </c>
      <c r="C18" s="65" t="s">
        <v>70</v>
      </c>
      <c r="D18" s="75" t="s">
        <v>50</v>
      </c>
      <c r="E18" s="55" t="s">
        <v>22</v>
      </c>
      <c r="F18" s="12">
        <v>45768</v>
      </c>
      <c r="G18" s="143">
        <v>45782</v>
      </c>
      <c r="H18" s="12" t="s">
        <v>378</v>
      </c>
      <c r="I18" s="208">
        <v>1381.23</v>
      </c>
      <c r="J18" s="1">
        <v>30</v>
      </c>
      <c r="K18" s="2">
        <f>I18/J18</f>
        <v>46.041000000000004</v>
      </c>
      <c r="L18" s="1">
        <v>3</v>
      </c>
      <c r="M18" s="1">
        <v>7</v>
      </c>
      <c r="N18" s="1">
        <v>0</v>
      </c>
      <c r="O18" s="1">
        <v>0</v>
      </c>
      <c r="P18" s="192">
        <f>L18+M18+N18+O18</f>
        <v>10</v>
      </c>
      <c r="Q18" s="42">
        <f>K18*50%*L18</f>
        <v>69.061500000000009</v>
      </c>
      <c r="R18" s="42">
        <f>K18*60%*M18</f>
        <v>193.37220000000002</v>
      </c>
      <c r="S18" s="42">
        <f>K18*60%*N18</f>
        <v>0</v>
      </c>
      <c r="T18" s="42">
        <f>K18*75%*O18</f>
        <v>0</v>
      </c>
      <c r="U18" s="42">
        <f>S18+T18</f>
        <v>0</v>
      </c>
      <c r="V18" s="42">
        <f>K18*(M18+O18+L18+N18)*100%</f>
        <v>460.41</v>
      </c>
    </row>
    <row r="19" spans="1:22" x14ac:dyDescent="0.25">
      <c r="A19" s="90">
        <v>1378</v>
      </c>
      <c r="B19" s="8" t="s">
        <v>321</v>
      </c>
      <c r="C19" s="65" t="s">
        <v>322</v>
      </c>
      <c r="D19" s="75" t="s">
        <v>50</v>
      </c>
      <c r="E19" s="55" t="s">
        <v>22</v>
      </c>
      <c r="F19" s="12">
        <v>45743</v>
      </c>
      <c r="G19" s="143">
        <v>45778</v>
      </c>
      <c r="H19" s="12" t="s">
        <v>373</v>
      </c>
      <c r="I19" s="208">
        <v>1381.5</v>
      </c>
      <c r="J19" s="1">
        <v>30</v>
      </c>
      <c r="K19" s="2">
        <f>I19/J19</f>
        <v>46.05</v>
      </c>
      <c r="L19" s="1">
        <v>0</v>
      </c>
      <c r="M19" s="1">
        <v>10</v>
      </c>
      <c r="N19" s="1">
        <v>5</v>
      </c>
      <c r="O19" s="1">
        <v>15</v>
      </c>
      <c r="P19" s="192">
        <f>L19+M19+N19+O19</f>
        <v>30</v>
      </c>
      <c r="Q19" s="42">
        <f>K19*50%*L19</f>
        <v>0</v>
      </c>
      <c r="R19" s="42">
        <f>K19*60%*M19</f>
        <v>276.3</v>
      </c>
      <c r="S19" s="42">
        <f>K19*60%*N19</f>
        <v>138.15</v>
      </c>
      <c r="T19" s="42">
        <f>K19*75%*O19</f>
        <v>518.06249999999989</v>
      </c>
      <c r="U19" s="42">
        <f>S19+T19</f>
        <v>656.21249999999986</v>
      </c>
      <c r="V19" s="42">
        <f>K19*(M19+O19+L19+N19)*100%</f>
        <v>1381.5</v>
      </c>
    </row>
    <row r="20" spans="1:22" x14ac:dyDescent="0.25">
      <c r="A20" s="90">
        <v>1378</v>
      </c>
      <c r="B20" s="8" t="s">
        <v>132</v>
      </c>
      <c r="C20" s="65" t="s">
        <v>133</v>
      </c>
      <c r="D20" s="75" t="s">
        <v>52</v>
      </c>
      <c r="E20" s="55" t="s">
        <v>22</v>
      </c>
      <c r="F20" s="12">
        <v>45646</v>
      </c>
      <c r="G20" s="143" t="s">
        <v>292</v>
      </c>
      <c r="H20" s="203">
        <v>45749</v>
      </c>
      <c r="I20" s="186">
        <v>1323</v>
      </c>
      <c r="J20" s="1">
        <v>30</v>
      </c>
      <c r="K20" s="2">
        <f t="shared" si="1"/>
        <v>44.1</v>
      </c>
      <c r="L20" s="1">
        <v>0</v>
      </c>
      <c r="M20" s="1">
        <v>0</v>
      </c>
      <c r="N20" s="1">
        <v>0</v>
      </c>
      <c r="O20" s="1">
        <v>2</v>
      </c>
      <c r="P20" s="192">
        <f t="shared" si="2"/>
        <v>2</v>
      </c>
      <c r="Q20" s="42">
        <f t="shared" si="3"/>
        <v>0</v>
      </c>
      <c r="R20" s="42">
        <f t="shared" si="4"/>
        <v>0</v>
      </c>
      <c r="S20" s="42">
        <f t="shared" si="5"/>
        <v>0</v>
      </c>
      <c r="T20" s="42">
        <f t="shared" si="6"/>
        <v>66.150000000000006</v>
      </c>
      <c r="U20" s="42">
        <f t="shared" si="7"/>
        <v>66.150000000000006</v>
      </c>
      <c r="V20" s="42">
        <f t="shared" si="8"/>
        <v>88.2</v>
      </c>
    </row>
    <row r="21" spans="1:22" x14ac:dyDescent="0.25">
      <c r="A21" s="90">
        <v>1378</v>
      </c>
      <c r="B21" s="8" t="s">
        <v>124</v>
      </c>
      <c r="C21" s="65" t="s">
        <v>68</v>
      </c>
      <c r="D21" s="75" t="s">
        <v>50</v>
      </c>
      <c r="E21" s="55" t="s">
        <v>22</v>
      </c>
      <c r="F21" s="12">
        <v>45608</v>
      </c>
      <c r="G21" s="143">
        <v>45811</v>
      </c>
      <c r="H21" s="12" t="s">
        <v>377</v>
      </c>
      <c r="I21" s="186">
        <v>1323</v>
      </c>
      <c r="J21" s="1">
        <v>30</v>
      </c>
      <c r="K21" s="2">
        <f t="shared" si="1"/>
        <v>44.1</v>
      </c>
      <c r="L21" s="1">
        <v>0</v>
      </c>
      <c r="M21" s="1">
        <v>0</v>
      </c>
      <c r="N21" s="1">
        <v>0</v>
      </c>
      <c r="O21" s="1">
        <v>30</v>
      </c>
      <c r="P21" s="192">
        <f t="shared" si="2"/>
        <v>30</v>
      </c>
      <c r="Q21" s="42">
        <f t="shared" si="3"/>
        <v>0</v>
      </c>
      <c r="R21" s="42">
        <f t="shared" si="4"/>
        <v>0</v>
      </c>
      <c r="S21" s="42">
        <f t="shared" si="5"/>
        <v>0</v>
      </c>
      <c r="T21" s="42">
        <f t="shared" si="6"/>
        <v>992.25000000000011</v>
      </c>
      <c r="U21" s="42">
        <f t="shared" si="7"/>
        <v>992.25000000000011</v>
      </c>
      <c r="V21" s="42">
        <f t="shared" si="8"/>
        <v>1323</v>
      </c>
    </row>
    <row r="22" spans="1:22" ht="14.25" customHeight="1" x14ac:dyDescent="0.25">
      <c r="A22" s="90">
        <v>1378</v>
      </c>
      <c r="B22" s="8" t="s">
        <v>294</v>
      </c>
      <c r="C22" s="65" t="s">
        <v>295</v>
      </c>
      <c r="D22" s="75" t="s">
        <v>50</v>
      </c>
      <c r="E22" s="55" t="s">
        <v>22</v>
      </c>
      <c r="F22" s="12">
        <v>45733</v>
      </c>
      <c r="G22" s="143"/>
      <c r="H22" s="203">
        <v>45758</v>
      </c>
      <c r="I22" s="208">
        <v>1381.5</v>
      </c>
      <c r="J22" s="1">
        <v>30</v>
      </c>
      <c r="K22" s="2">
        <f>I22/J22</f>
        <v>46.05</v>
      </c>
      <c r="L22" s="1">
        <v>0</v>
      </c>
      <c r="M22" s="1">
        <v>0</v>
      </c>
      <c r="N22" s="1">
        <v>5</v>
      </c>
      <c r="O22" s="1">
        <v>6</v>
      </c>
      <c r="P22" s="192">
        <f>L22+M22+N22+O22</f>
        <v>11</v>
      </c>
      <c r="Q22" s="42">
        <f>K22*50%*L22</f>
        <v>0</v>
      </c>
      <c r="R22" s="42">
        <f>K22*60%*M22</f>
        <v>0</v>
      </c>
      <c r="S22" s="42">
        <f>K22*60%*N22</f>
        <v>138.15</v>
      </c>
      <c r="T22" s="42">
        <f>K22*75%*O22</f>
        <v>207.22499999999997</v>
      </c>
      <c r="U22" s="42">
        <f>S22+T22</f>
        <v>345.375</v>
      </c>
      <c r="V22" s="42">
        <f>K22*(M22+O22+L22+N22)*100%</f>
        <v>506.54999999999995</v>
      </c>
    </row>
    <row r="23" spans="1:22" ht="14.25" customHeight="1" x14ac:dyDescent="0.25">
      <c r="A23" s="90">
        <v>1378</v>
      </c>
      <c r="B23" s="8" t="s">
        <v>115</v>
      </c>
      <c r="C23" s="65" t="s">
        <v>116</v>
      </c>
      <c r="D23" s="75" t="s">
        <v>52</v>
      </c>
      <c r="E23" s="55" t="s">
        <v>22</v>
      </c>
      <c r="F23" s="12">
        <v>45618</v>
      </c>
      <c r="G23" s="143">
        <v>45786</v>
      </c>
      <c r="H23" s="12" t="s">
        <v>357</v>
      </c>
      <c r="I23" s="186">
        <v>1323</v>
      </c>
      <c r="J23" s="1">
        <v>30</v>
      </c>
      <c r="K23" s="2">
        <f t="shared" si="1"/>
        <v>44.1</v>
      </c>
      <c r="L23" s="1">
        <v>0</v>
      </c>
      <c r="M23" s="1">
        <v>0</v>
      </c>
      <c r="N23" s="1">
        <v>0</v>
      </c>
      <c r="O23" s="1">
        <v>30</v>
      </c>
      <c r="P23" s="192">
        <f t="shared" si="2"/>
        <v>30</v>
      </c>
      <c r="Q23" s="42">
        <f t="shared" si="3"/>
        <v>0</v>
      </c>
      <c r="R23" s="42">
        <f t="shared" si="4"/>
        <v>0</v>
      </c>
      <c r="S23" s="42">
        <f t="shared" si="5"/>
        <v>0</v>
      </c>
      <c r="T23" s="42">
        <f t="shared" si="6"/>
        <v>992.25000000000011</v>
      </c>
      <c r="U23" s="42">
        <f t="shared" si="7"/>
        <v>992.25000000000011</v>
      </c>
      <c r="V23" s="42">
        <f t="shared" si="8"/>
        <v>1323</v>
      </c>
    </row>
    <row r="24" spans="1:22" x14ac:dyDescent="0.25">
      <c r="A24" s="195">
        <v>1378</v>
      </c>
      <c r="B24" s="9" t="s">
        <v>23</v>
      </c>
      <c r="C24" s="51">
        <v>38102537361</v>
      </c>
      <c r="D24" s="56"/>
      <c r="E24" s="56"/>
      <c r="F24" s="142"/>
      <c r="G24" s="142"/>
      <c r="H24" s="52"/>
      <c r="I24" s="53"/>
      <c r="J24" s="52"/>
      <c r="K24" s="53"/>
      <c r="L24" s="52"/>
      <c r="M24" s="52"/>
      <c r="N24" s="52"/>
      <c r="O24" s="52"/>
      <c r="P24" s="192">
        <f t="shared" si="2"/>
        <v>0</v>
      </c>
      <c r="Q24" s="10"/>
      <c r="R24" s="10"/>
      <c r="S24" s="10"/>
      <c r="T24" s="10"/>
      <c r="U24" s="11">
        <f>SUM(U16:U23)</f>
        <v>5033.3625000000002</v>
      </c>
      <c r="V24" s="10"/>
    </row>
    <row r="25" spans="1:22" x14ac:dyDescent="0.25">
      <c r="A25" s="187">
        <v>1628</v>
      </c>
      <c r="B25" s="44" t="s">
        <v>284</v>
      </c>
      <c r="C25" s="65" t="s">
        <v>285</v>
      </c>
      <c r="D25" s="75" t="s">
        <v>52</v>
      </c>
      <c r="E25" s="55" t="s">
        <v>22</v>
      </c>
      <c r="F25" s="12">
        <v>45728</v>
      </c>
      <c r="G25" s="143">
        <v>45782</v>
      </c>
      <c r="H25" s="12" t="s">
        <v>366</v>
      </c>
      <c r="I25" s="42">
        <v>1909.38</v>
      </c>
      <c r="J25" s="1">
        <v>30</v>
      </c>
      <c r="K25" s="2">
        <f>I25/J25</f>
        <v>63.646000000000001</v>
      </c>
      <c r="L25" s="1">
        <v>0</v>
      </c>
      <c r="M25" s="1">
        <v>0</v>
      </c>
      <c r="N25" s="1">
        <v>0</v>
      </c>
      <c r="O25" s="1">
        <v>30</v>
      </c>
      <c r="P25" s="192">
        <f>L25+M25+N25+O25</f>
        <v>30</v>
      </c>
      <c r="Q25" s="42">
        <f>K25*50%*L25</f>
        <v>0</v>
      </c>
      <c r="R25" s="42">
        <f>K25*60%*M25</f>
        <v>0</v>
      </c>
      <c r="S25" s="42">
        <f>K25*60%*N25</f>
        <v>0</v>
      </c>
      <c r="T25" s="42">
        <f>K25*75%*O25</f>
        <v>1432.0349999999999</v>
      </c>
      <c r="U25" s="42">
        <f>S25+T25</f>
        <v>1432.0349999999999</v>
      </c>
      <c r="V25" s="42">
        <f>K25*(M25+O25+L25+N25)*100%</f>
        <v>1909.38</v>
      </c>
    </row>
    <row r="26" spans="1:22" x14ac:dyDescent="0.25">
      <c r="A26" s="187">
        <v>1628</v>
      </c>
      <c r="B26" s="44" t="s">
        <v>105</v>
      </c>
      <c r="C26" s="65" t="s">
        <v>106</v>
      </c>
      <c r="D26" s="75" t="s">
        <v>52</v>
      </c>
      <c r="E26" s="55" t="s">
        <v>22</v>
      </c>
      <c r="F26" s="12">
        <v>45536</v>
      </c>
      <c r="G26" s="143">
        <v>45789</v>
      </c>
      <c r="H26" s="12" t="s">
        <v>370</v>
      </c>
      <c r="I26" s="42">
        <v>1500</v>
      </c>
      <c r="J26" s="1">
        <v>30</v>
      </c>
      <c r="K26" s="2">
        <f>I26/J26</f>
        <v>50</v>
      </c>
      <c r="L26" s="1">
        <v>0</v>
      </c>
      <c r="M26" s="1">
        <v>0</v>
      </c>
      <c r="N26" s="1">
        <v>0</v>
      </c>
      <c r="O26" s="1">
        <v>30</v>
      </c>
      <c r="P26" s="192">
        <f t="shared" si="2"/>
        <v>30</v>
      </c>
      <c r="Q26" s="42">
        <f>K26*50%*L26</f>
        <v>0</v>
      </c>
      <c r="R26" s="42">
        <f>K26*60%*M26</f>
        <v>0</v>
      </c>
      <c r="S26" s="42">
        <f>K26*60%*N26</f>
        <v>0</v>
      </c>
      <c r="T26" s="42">
        <f>K26*75%*O26</f>
        <v>1125</v>
      </c>
      <c r="U26" s="42">
        <f>S26+T26</f>
        <v>1125</v>
      </c>
      <c r="V26" s="42">
        <f>K26*(M26+O26+L26+N26)*100%</f>
        <v>1500</v>
      </c>
    </row>
    <row r="27" spans="1:22" s="185" customFormat="1" x14ac:dyDescent="0.25">
      <c r="A27" s="193" t="s">
        <v>112</v>
      </c>
      <c r="B27" s="177"/>
      <c r="C27" s="178"/>
      <c r="D27" s="179"/>
      <c r="E27" s="180"/>
      <c r="F27" s="194"/>
      <c r="G27" s="181"/>
      <c r="H27" s="194"/>
      <c r="I27" s="182"/>
      <c r="J27" s="183"/>
      <c r="K27" s="184"/>
      <c r="L27" s="183"/>
      <c r="M27" s="183"/>
      <c r="N27" s="183"/>
      <c r="O27" s="183"/>
      <c r="P27" s="192">
        <f t="shared" si="2"/>
        <v>0</v>
      </c>
      <c r="Q27" s="182"/>
      <c r="R27" s="182"/>
      <c r="S27" s="182"/>
      <c r="T27" s="182"/>
      <c r="U27" s="182"/>
      <c r="V27" s="182"/>
    </row>
    <row r="28" spans="1:22" ht="14.1" customHeight="1" x14ac:dyDescent="0.25">
      <c r="A28" s="195">
        <v>1628</v>
      </c>
      <c r="B28" s="9" t="s">
        <v>104</v>
      </c>
      <c r="C28" s="51"/>
      <c r="D28" s="56"/>
      <c r="E28" s="56"/>
      <c r="F28" s="142"/>
      <c r="G28" s="142"/>
      <c r="H28" s="52"/>
      <c r="I28" s="53"/>
      <c r="J28" s="52"/>
      <c r="K28" s="53"/>
      <c r="L28" s="52"/>
      <c r="M28" s="52"/>
      <c r="N28" s="52"/>
      <c r="O28" s="52"/>
      <c r="P28" s="192">
        <f t="shared" si="2"/>
        <v>0</v>
      </c>
      <c r="Q28" s="10"/>
      <c r="R28" s="10"/>
      <c r="S28" s="10"/>
      <c r="T28" s="10"/>
      <c r="U28" s="11">
        <f>SUM(U25:U27)</f>
        <v>2557.0349999999999</v>
      </c>
      <c r="V28" s="10"/>
    </row>
    <row r="29" spans="1:22" ht="14.25" customHeight="1" x14ac:dyDescent="0.25">
      <c r="A29" s="90">
        <v>1846</v>
      </c>
      <c r="B29" s="8" t="s">
        <v>139</v>
      </c>
      <c r="C29" s="65" t="s">
        <v>140</v>
      </c>
      <c r="D29" s="75" t="s">
        <v>51</v>
      </c>
      <c r="E29" s="55" t="s">
        <v>22</v>
      </c>
      <c r="F29" s="12">
        <v>45659</v>
      </c>
      <c r="G29" s="143">
        <v>45785</v>
      </c>
      <c r="H29" s="12" t="s">
        <v>368</v>
      </c>
      <c r="I29" s="186">
        <v>2108.3200000000002</v>
      </c>
      <c r="J29" s="1">
        <v>92</v>
      </c>
      <c r="K29" s="2">
        <f>I29/J29</f>
        <v>22.916521739130438</v>
      </c>
      <c r="L29" s="1">
        <v>0</v>
      </c>
      <c r="M29" s="1">
        <v>0</v>
      </c>
      <c r="N29" s="1">
        <v>0</v>
      </c>
      <c r="O29" s="1">
        <v>30</v>
      </c>
      <c r="P29" s="192">
        <f t="shared" si="2"/>
        <v>30</v>
      </c>
      <c r="Q29" s="42">
        <f>K29*50%*L29</f>
        <v>0</v>
      </c>
      <c r="R29" s="42">
        <f>K29*60%*M29</f>
        <v>0</v>
      </c>
      <c r="S29" s="42">
        <f>K29*60%*N29</f>
        <v>0</v>
      </c>
      <c r="T29" s="42">
        <f>K29*75%*O29</f>
        <v>515.62173913043478</v>
      </c>
      <c r="U29" s="42">
        <f>S29+T29</f>
        <v>515.62173913043478</v>
      </c>
      <c r="V29" s="42">
        <f>K29*(M29+O29+L29+N29)*100%</f>
        <v>687.49565217391319</v>
      </c>
    </row>
    <row r="30" spans="1:22" ht="14.1" customHeight="1" x14ac:dyDescent="0.25">
      <c r="A30" s="195">
        <v>1846</v>
      </c>
      <c r="B30" s="9" t="s">
        <v>138</v>
      </c>
      <c r="C30" s="51">
        <v>38120237336</v>
      </c>
      <c r="D30" s="56"/>
      <c r="E30" s="56"/>
      <c r="F30" s="142"/>
      <c r="G30" s="142"/>
      <c r="H30" s="52"/>
      <c r="I30" s="53"/>
      <c r="J30" s="52"/>
      <c r="K30" s="53"/>
      <c r="L30" s="52"/>
      <c r="M30" s="52"/>
      <c r="N30" s="52"/>
      <c r="O30" s="52"/>
      <c r="P30" s="192">
        <f t="shared" si="2"/>
        <v>0</v>
      </c>
      <c r="Q30" s="10"/>
      <c r="R30" s="10"/>
      <c r="S30" s="10"/>
      <c r="T30" s="10"/>
      <c r="U30" s="11">
        <f>SUM(U29)</f>
        <v>515.62173913043478</v>
      </c>
      <c r="V30" s="10"/>
    </row>
    <row r="31" spans="1:22" x14ac:dyDescent="0.25">
      <c r="A31" s="187">
        <v>1903</v>
      </c>
      <c r="B31" s="44" t="s">
        <v>89</v>
      </c>
      <c r="C31" s="65" t="s">
        <v>90</v>
      </c>
      <c r="D31" s="75" t="s">
        <v>51</v>
      </c>
      <c r="E31" s="55" t="s">
        <v>22</v>
      </c>
      <c r="F31" s="12">
        <v>45418</v>
      </c>
      <c r="G31" s="143">
        <v>45782</v>
      </c>
      <c r="H31" s="12" t="s">
        <v>376</v>
      </c>
      <c r="I31" s="218">
        <v>1809.18</v>
      </c>
      <c r="J31" s="1">
        <v>79</v>
      </c>
      <c r="K31" s="2">
        <f>I31/J31</f>
        <v>22.901012658227849</v>
      </c>
      <c r="L31" s="1">
        <v>0</v>
      </c>
      <c r="M31" s="1">
        <v>0</v>
      </c>
      <c r="N31" s="1">
        <v>0</v>
      </c>
      <c r="O31" s="1">
        <v>30</v>
      </c>
      <c r="P31" s="192">
        <f t="shared" si="2"/>
        <v>30</v>
      </c>
      <c r="Q31" s="42">
        <f>K31*50%*L31</f>
        <v>0</v>
      </c>
      <c r="R31" s="42">
        <f>K31*60%*M31</f>
        <v>0</v>
      </c>
      <c r="S31" s="42">
        <f>K31*60%*N31</f>
        <v>0</v>
      </c>
      <c r="T31" s="42">
        <f>K31*75%*O31</f>
        <v>515.27278481012661</v>
      </c>
      <c r="U31" s="42">
        <f>S31+T31</f>
        <v>515.27278481012661</v>
      </c>
      <c r="V31" s="42">
        <f>K31*(M31+O31+L31+N31)*100%</f>
        <v>687.03037974683548</v>
      </c>
    </row>
    <row r="32" spans="1:22" x14ac:dyDescent="0.25">
      <c r="A32" s="193" t="s">
        <v>300</v>
      </c>
      <c r="B32" s="177"/>
      <c r="C32" s="178"/>
      <c r="D32" s="179"/>
      <c r="E32" s="180"/>
      <c r="F32" s="194"/>
      <c r="G32" s="181"/>
      <c r="H32" s="194"/>
      <c r="I32" s="182"/>
      <c r="J32" s="183"/>
      <c r="K32" s="184"/>
      <c r="L32" s="183"/>
      <c r="M32" s="183"/>
      <c r="N32" s="183"/>
      <c r="O32" s="183"/>
      <c r="P32" s="192"/>
      <c r="Q32" s="182"/>
      <c r="R32" s="182"/>
      <c r="S32" s="182"/>
      <c r="T32" s="182"/>
      <c r="U32" s="182"/>
      <c r="V32" s="182"/>
    </row>
    <row r="33" spans="1:22" x14ac:dyDescent="0.25">
      <c r="A33" s="187">
        <v>1903</v>
      </c>
      <c r="B33" s="44" t="s">
        <v>288</v>
      </c>
      <c r="C33" s="65" t="s">
        <v>289</v>
      </c>
      <c r="D33" s="75" t="s">
        <v>51</v>
      </c>
      <c r="E33" s="55" t="s">
        <v>22</v>
      </c>
      <c r="F33" s="12">
        <v>45761</v>
      </c>
      <c r="G33" s="143"/>
      <c r="H33" s="203">
        <v>45762</v>
      </c>
      <c r="I33" s="42">
        <v>2504.06</v>
      </c>
      <c r="J33" s="1">
        <v>59</v>
      </c>
      <c r="K33" s="2">
        <f>I33/J33</f>
        <v>42.441694915254239</v>
      </c>
      <c r="L33" s="1">
        <v>2</v>
      </c>
      <c r="M33" s="1">
        <v>0</v>
      </c>
      <c r="N33" s="1">
        <v>0</v>
      </c>
      <c r="O33" s="1">
        <v>0</v>
      </c>
      <c r="P33" s="192">
        <f t="shared" ref="P33:P38" si="9">L33+M33+N33+O33</f>
        <v>2</v>
      </c>
      <c r="Q33" s="42">
        <f>K33*50%*L33</f>
        <v>42.441694915254239</v>
      </c>
      <c r="R33" s="42">
        <f>K33*60%*M33</f>
        <v>0</v>
      </c>
      <c r="S33" s="42">
        <f>K33*60%*N33</f>
        <v>0</v>
      </c>
      <c r="T33" s="42">
        <f>K33*75%*O33</f>
        <v>0</v>
      </c>
      <c r="U33" s="42">
        <f>S33+T33</f>
        <v>0</v>
      </c>
      <c r="V33" s="42">
        <f>K33*(M33+O33+L33+N33)*100%</f>
        <v>84.883389830508477</v>
      </c>
    </row>
    <row r="34" spans="1:22" x14ac:dyDescent="0.25">
      <c r="A34" s="187">
        <v>1903</v>
      </c>
      <c r="B34" s="44" t="s">
        <v>288</v>
      </c>
      <c r="C34" s="65" t="s">
        <v>289</v>
      </c>
      <c r="D34" s="75" t="s">
        <v>51</v>
      </c>
      <c r="E34" s="55" t="s">
        <v>22</v>
      </c>
      <c r="F34" s="12">
        <v>45763</v>
      </c>
      <c r="G34" s="143"/>
      <c r="H34" s="203">
        <v>45763</v>
      </c>
      <c r="I34" s="42">
        <v>2504.06</v>
      </c>
      <c r="J34" s="1">
        <v>59</v>
      </c>
      <c r="K34" s="2">
        <f>I34/J34</f>
        <v>42.441694915254239</v>
      </c>
      <c r="L34" s="1">
        <v>0</v>
      </c>
      <c r="M34" s="1">
        <v>1</v>
      </c>
      <c r="N34" s="1">
        <v>0</v>
      </c>
      <c r="O34" s="1">
        <v>0</v>
      </c>
      <c r="P34" s="192">
        <f t="shared" si="9"/>
        <v>1</v>
      </c>
      <c r="Q34" s="42">
        <f>K34*50%*L34</f>
        <v>0</v>
      </c>
      <c r="R34" s="42">
        <f>K34*60%*M34</f>
        <v>25.465016949152542</v>
      </c>
      <c r="S34" s="42">
        <f>K34*60%*N34</f>
        <v>0</v>
      </c>
      <c r="T34" s="42">
        <f>K34*75%*O34</f>
        <v>0</v>
      </c>
      <c r="U34" s="42">
        <f>S34+T34</f>
        <v>0</v>
      </c>
      <c r="V34" s="42">
        <f>K34*(M34+O34+L34+N34)*100%</f>
        <v>42.441694915254239</v>
      </c>
    </row>
    <row r="35" spans="1:22" x14ac:dyDescent="0.25">
      <c r="A35" s="187">
        <v>1903</v>
      </c>
      <c r="B35" s="44" t="s">
        <v>288</v>
      </c>
      <c r="C35" s="65" t="s">
        <v>289</v>
      </c>
      <c r="D35" s="75" t="s">
        <v>51</v>
      </c>
      <c r="E35" s="55" t="s">
        <v>22</v>
      </c>
      <c r="F35" s="12">
        <v>45769</v>
      </c>
      <c r="G35" s="143"/>
      <c r="H35" s="203">
        <v>45774</v>
      </c>
      <c r="I35" s="42">
        <v>2504.06</v>
      </c>
      <c r="J35" s="1">
        <v>59</v>
      </c>
      <c r="K35" s="2">
        <f>I35/J35</f>
        <v>42.441694915254239</v>
      </c>
      <c r="L35" s="1">
        <v>3</v>
      </c>
      <c r="M35" s="1">
        <v>3</v>
      </c>
      <c r="N35" s="1">
        <v>0</v>
      </c>
      <c r="O35" s="1">
        <v>0</v>
      </c>
      <c r="P35" s="192">
        <f t="shared" si="9"/>
        <v>6</v>
      </c>
      <c r="Q35" s="42">
        <f>K35*50%*L35</f>
        <v>63.662542372881362</v>
      </c>
      <c r="R35" s="42">
        <f>K35*60%*M35</f>
        <v>76.395050847457625</v>
      </c>
      <c r="S35" s="42">
        <f>K35*60%*N35</f>
        <v>0</v>
      </c>
      <c r="T35" s="42">
        <f>K35*75%*O35</f>
        <v>0</v>
      </c>
      <c r="U35" s="42">
        <f>S35+T35</f>
        <v>0</v>
      </c>
      <c r="V35" s="42">
        <f>K35*(M35+O35+L35+N35)*100%</f>
        <v>254.65016949152545</v>
      </c>
    </row>
    <row r="36" spans="1:22" x14ac:dyDescent="0.25">
      <c r="A36" s="89">
        <v>1903</v>
      </c>
      <c r="B36" s="68" t="s">
        <v>162</v>
      </c>
      <c r="C36" s="66">
        <v>381022239019</v>
      </c>
      <c r="D36" s="205">
        <v>189</v>
      </c>
      <c r="E36" s="205" t="s">
        <v>22</v>
      </c>
      <c r="F36" s="141">
        <v>45697</v>
      </c>
      <c r="G36" s="141"/>
      <c r="H36" s="141">
        <v>45808</v>
      </c>
      <c r="I36" s="85"/>
      <c r="J36" s="85"/>
      <c r="K36" s="85"/>
      <c r="L36" s="85"/>
      <c r="M36" s="85"/>
      <c r="N36" s="85"/>
      <c r="O36" s="85"/>
      <c r="P36" s="192">
        <f t="shared" si="9"/>
        <v>0</v>
      </c>
      <c r="Q36" s="83" t="s">
        <v>48</v>
      </c>
      <c r="R36" s="68"/>
      <c r="S36" s="68"/>
      <c r="T36" s="68"/>
      <c r="U36" s="85"/>
      <c r="V36" s="68"/>
    </row>
    <row r="37" spans="1:22" s="190" customFormat="1" ht="14.1" customHeight="1" x14ac:dyDescent="0.25">
      <c r="A37" s="193" t="s">
        <v>243</v>
      </c>
      <c r="B37" s="177"/>
      <c r="C37" s="178"/>
      <c r="D37" s="179"/>
      <c r="E37" s="180"/>
      <c r="F37" s="194"/>
      <c r="G37" s="181"/>
      <c r="H37" s="194"/>
      <c r="I37" s="182"/>
      <c r="J37" s="183"/>
      <c r="K37" s="184"/>
      <c r="L37" s="183"/>
      <c r="M37" s="183"/>
      <c r="N37" s="183"/>
      <c r="O37" s="183"/>
      <c r="P37" s="192">
        <f t="shared" si="9"/>
        <v>0</v>
      </c>
      <c r="Q37" s="182"/>
      <c r="R37" s="182"/>
      <c r="S37" s="182"/>
      <c r="T37" s="182"/>
      <c r="U37" s="182"/>
      <c r="V37" s="182"/>
    </row>
    <row r="38" spans="1:22" x14ac:dyDescent="0.25">
      <c r="A38" s="89">
        <v>1903</v>
      </c>
      <c r="B38" s="68" t="s">
        <v>162</v>
      </c>
      <c r="C38" s="66">
        <v>381022239019</v>
      </c>
      <c r="D38" s="205">
        <v>189</v>
      </c>
      <c r="E38" s="205" t="s">
        <v>22</v>
      </c>
      <c r="F38" s="141">
        <v>45839</v>
      </c>
      <c r="G38" s="141"/>
      <c r="H38" s="141">
        <v>45857</v>
      </c>
      <c r="I38" s="85"/>
      <c r="J38" s="85"/>
      <c r="K38" s="85"/>
      <c r="L38" s="85"/>
      <c r="M38" s="85"/>
      <c r="N38" s="85"/>
      <c r="O38" s="85"/>
      <c r="P38" s="192">
        <f t="shared" si="9"/>
        <v>0</v>
      </c>
      <c r="Q38" s="83" t="s">
        <v>72</v>
      </c>
      <c r="R38" s="68"/>
      <c r="S38" s="68" t="s">
        <v>246</v>
      </c>
      <c r="T38" s="68"/>
      <c r="U38" s="85"/>
      <c r="V38" s="68"/>
    </row>
    <row r="39" spans="1:22" x14ac:dyDescent="0.25">
      <c r="A39" s="187">
        <v>1903</v>
      </c>
      <c r="B39" s="44" t="s">
        <v>190</v>
      </c>
      <c r="C39" s="65" t="s">
        <v>191</v>
      </c>
      <c r="D39" s="75" t="s">
        <v>51</v>
      </c>
      <c r="E39" s="55" t="s">
        <v>22</v>
      </c>
      <c r="F39" s="12">
        <v>45685</v>
      </c>
      <c r="G39" s="143">
        <v>45789</v>
      </c>
      <c r="H39" s="12" t="s">
        <v>367</v>
      </c>
      <c r="I39" s="218">
        <v>669.48</v>
      </c>
      <c r="J39" s="1">
        <v>31</v>
      </c>
      <c r="K39" s="2">
        <f>I39/J39</f>
        <v>21.596129032258066</v>
      </c>
      <c r="L39" s="1">
        <v>0</v>
      </c>
      <c r="M39" s="1">
        <v>0</v>
      </c>
      <c r="N39" s="1">
        <v>0</v>
      </c>
      <c r="O39" s="1">
        <v>30</v>
      </c>
      <c r="P39" s="192">
        <f t="shared" ref="P39:P59" si="10">L39+M39+N39+O39</f>
        <v>30</v>
      </c>
      <c r="Q39" s="42">
        <f>K39*50%*L39</f>
        <v>0</v>
      </c>
      <c r="R39" s="42">
        <f>K39*60%*M39</f>
        <v>0</v>
      </c>
      <c r="S39" s="42">
        <f>K39*60%*N39</f>
        <v>0</v>
      </c>
      <c r="T39" s="42">
        <f>K39*75%*O39</f>
        <v>485.91290322580653</v>
      </c>
      <c r="U39" s="42">
        <f>S39+T39</f>
        <v>485.91290322580653</v>
      </c>
      <c r="V39" s="42">
        <f>K39*(M39+O39+L39+N39)*100%</f>
        <v>647.88387096774193</v>
      </c>
    </row>
    <row r="40" spans="1:22" x14ac:dyDescent="0.25">
      <c r="A40" s="193" t="s">
        <v>352</v>
      </c>
      <c r="B40" s="177"/>
      <c r="C40" s="178"/>
      <c r="D40" s="179"/>
      <c r="E40" s="180"/>
      <c r="F40" s="194"/>
      <c r="G40" s="181"/>
      <c r="H40" s="194"/>
      <c r="I40" s="182"/>
      <c r="J40" s="183"/>
      <c r="K40" s="184"/>
      <c r="L40" s="183"/>
      <c r="M40" s="183"/>
      <c r="N40" s="183"/>
      <c r="O40" s="183"/>
      <c r="P40" s="192">
        <f>L40+M40+N40+O40</f>
        <v>0</v>
      </c>
      <c r="Q40" s="182"/>
      <c r="R40" s="182"/>
      <c r="S40" s="182"/>
      <c r="T40" s="182"/>
      <c r="U40" s="182"/>
      <c r="V40" s="182"/>
    </row>
    <row r="41" spans="1:22" x14ac:dyDescent="0.25">
      <c r="A41" s="195">
        <v>1903</v>
      </c>
      <c r="B41" s="9" t="s">
        <v>143</v>
      </c>
      <c r="C41" s="51"/>
      <c r="D41" s="56"/>
      <c r="E41" s="56"/>
      <c r="F41" s="142"/>
      <c r="G41" s="142"/>
      <c r="H41" s="52"/>
      <c r="I41" s="53"/>
      <c r="J41" s="52"/>
      <c r="K41" s="53"/>
      <c r="L41" s="52"/>
      <c r="M41" s="52"/>
      <c r="N41" s="52"/>
      <c r="O41" s="52"/>
      <c r="P41" s="192">
        <f t="shared" si="10"/>
        <v>0</v>
      </c>
      <c r="Q41" s="10"/>
      <c r="R41" s="10"/>
      <c r="S41" s="10"/>
      <c r="T41" s="10"/>
      <c r="U41" s="11">
        <f>SUM(U31:U39)</f>
        <v>1001.1856880359331</v>
      </c>
      <c r="V41" s="10"/>
    </row>
    <row r="42" spans="1:22" ht="14.1" customHeight="1" x14ac:dyDescent="0.25">
      <c r="A42" s="187">
        <v>1985</v>
      </c>
      <c r="B42" s="44" t="s">
        <v>355</v>
      </c>
      <c r="C42" s="207" t="s">
        <v>356</v>
      </c>
      <c r="D42" s="75" t="s">
        <v>51</v>
      </c>
      <c r="E42" s="55" t="s">
        <v>22</v>
      </c>
      <c r="F42" s="12">
        <v>45757</v>
      </c>
      <c r="G42" s="143"/>
      <c r="H42" s="203">
        <v>45762</v>
      </c>
      <c r="I42" s="1">
        <v>4083</v>
      </c>
      <c r="J42" s="1">
        <v>92</v>
      </c>
      <c r="K42" s="2">
        <f>I42/J42</f>
        <v>44.380434782608695</v>
      </c>
      <c r="L42" s="1">
        <v>3</v>
      </c>
      <c r="M42" s="1">
        <v>3</v>
      </c>
      <c r="N42" s="1">
        <v>0</v>
      </c>
      <c r="O42" s="1">
        <v>0</v>
      </c>
      <c r="P42" s="192">
        <f t="shared" si="10"/>
        <v>6</v>
      </c>
      <c r="Q42" s="42">
        <f>K42*50%*L42</f>
        <v>66.570652173913047</v>
      </c>
      <c r="R42" s="42">
        <f>K42*60%*M42</f>
        <v>79.884782608695645</v>
      </c>
      <c r="S42" s="42">
        <f>K42*60%*N42</f>
        <v>0</v>
      </c>
      <c r="T42" s="42">
        <f>K42*75%*O42</f>
        <v>0</v>
      </c>
      <c r="U42" s="42">
        <f>S42+T42</f>
        <v>0</v>
      </c>
      <c r="V42" s="42">
        <f>K42*(M42+O42+L42+N42)*100%</f>
        <v>266.28260869565219</v>
      </c>
    </row>
    <row r="43" spans="1:22" x14ac:dyDescent="0.25">
      <c r="A43" s="195">
        <v>1985</v>
      </c>
      <c r="B43" s="9" t="s">
        <v>212</v>
      </c>
      <c r="C43" s="51"/>
      <c r="D43" s="56"/>
      <c r="E43" s="56"/>
      <c r="F43" s="142"/>
      <c r="G43" s="142"/>
      <c r="H43" s="52"/>
      <c r="I43" s="53"/>
      <c r="J43" s="52"/>
      <c r="K43" s="53"/>
      <c r="L43" s="52"/>
      <c r="M43" s="52"/>
      <c r="N43" s="52"/>
      <c r="O43" s="52"/>
      <c r="P43" s="192">
        <f t="shared" si="10"/>
        <v>0</v>
      </c>
      <c r="Q43" s="10"/>
      <c r="R43" s="10"/>
      <c r="S43" s="10"/>
      <c r="T43" s="10"/>
      <c r="U43" s="11">
        <f>SUM(U42:U42)</f>
        <v>0</v>
      </c>
      <c r="V43" s="10"/>
    </row>
    <row r="44" spans="1:22" x14ac:dyDescent="0.25">
      <c r="A44" s="187">
        <v>2149</v>
      </c>
      <c r="B44" s="44" t="s">
        <v>347</v>
      </c>
      <c r="C44" s="207" t="s">
        <v>348</v>
      </c>
      <c r="D44" s="75" t="s">
        <v>52</v>
      </c>
      <c r="E44" s="55" t="s">
        <v>22</v>
      </c>
      <c r="F44" s="12">
        <v>45754</v>
      </c>
      <c r="G44" s="143">
        <v>45775</v>
      </c>
      <c r="H44" s="12" t="s">
        <v>361</v>
      </c>
      <c r="I44" s="1">
        <v>1593.72</v>
      </c>
      <c r="J44" s="1">
        <v>30</v>
      </c>
      <c r="K44" s="2">
        <f>I44/J44</f>
        <v>53.124000000000002</v>
      </c>
      <c r="L44" s="1">
        <v>3</v>
      </c>
      <c r="M44" s="1">
        <v>12</v>
      </c>
      <c r="N44" s="1">
        <v>5</v>
      </c>
      <c r="O44" s="1">
        <v>4</v>
      </c>
      <c r="P44" s="192">
        <f>L44+M44+N44+O44</f>
        <v>24</v>
      </c>
      <c r="Q44" s="42">
        <f>K44*50%*L44</f>
        <v>79.686000000000007</v>
      </c>
      <c r="R44" s="42">
        <f>K44*60%*M44</f>
        <v>382.49279999999999</v>
      </c>
      <c r="S44" s="42">
        <f>K44*60%*N44</f>
        <v>159.37200000000001</v>
      </c>
      <c r="T44" s="42">
        <f>K44*75%*O44</f>
        <v>159.37200000000001</v>
      </c>
      <c r="U44" s="42">
        <f>S44+T44</f>
        <v>318.74400000000003</v>
      </c>
      <c r="V44" s="42">
        <f>K44*(M44+O44+L44+N44)*100%</f>
        <v>1274.9760000000001</v>
      </c>
    </row>
    <row r="45" spans="1:22" x14ac:dyDescent="0.25">
      <c r="A45" s="195">
        <v>2149</v>
      </c>
      <c r="B45" s="9" t="s">
        <v>323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>L45+M45+N45+O45</f>
        <v>0</v>
      </c>
      <c r="Q45" s="10"/>
      <c r="R45" s="10"/>
      <c r="S45" s="10"/>
      <c r="T45" s="10"/>
      <c r="U45" s="11">
        <f>SUM(U44)</f>
        <v>318.74400000000003</v>
      </c>
      <c r="V45" s="10"/>
    </row>
    <row r="46" spans="1:22" s="185" customFormat="1" x14ac:dyDescent="0.25">
      <c r="A46" s="89">
        <v>2201</v>
      </c>
      <c r="B46" s="68" t="s">
        <v>301</v>
      </c>
      <c r="C46" s="66" t="s">
        <v>86</v>
      </c>
      <c r="D46" s="205">
        <v>200</v>
      </c>
      <c r="E46" s="84"/>
      <c r="F46" s="141">
        <v>45734</v>
      </c>
      <c r="G46" s="141"/>
      <c r="H46" s="147">
        <v>45775</v>
      </c>
      <c r="I46" s="85"/>
      <c r="J46" s="85"/>
      <c r="K46" s="85"/>
      <c r="L46" s="85"/>
      <c r="M46" s="85"/>
      <c r="N46" s="85"/>
      <c r="O46" s="85"/>
      <c r="P46" s="192">
        <f>L46+M46+N46+O46</f>
        <v>0</v>
      </c>
      <c r="Q46" s="83" t="s">
        <v>48</v>
      </c>
      <c r="R46" s="68"/>
      <c r="S46" s="68"/>
      <c r="T46" s="68"/>
      <c r="U46" s="85"/>
      <c r="V46" s="68"/>
    </row>
    <row r="47" spans="1:22" x14ac:dyDescent="0.25">
      <c r="A47" s="195">
        <v>2201</v>
      </c>
      <c r="B47" s="9" t="s">
        <v>315</v>
      </c>
      <c r="C47" s="51"/>
      <c r="D47" s="56"/>
      <c r="E47" s="56"/>
      <c r="F47" s="142"/>
      <c r="G47" s="142"/>
      <c r="H47" s="52"/>
      <c r="I47" s="53"/>
      <c r="J47" s="52"/>
      <c r="K47" s="53"/>
      <c r="L47" s="52"/>
      <c r="M47" s="52"/>
      <c r="N47" s="52"/>
      <c r="O47" s="52"/>
      <c r="P47" s="192">
        <f>L47+M47+N47+O47</f>
        <v>0</v>
      </c>
      <c r="Q47" s="10"/>
      <c r="R47" s="10"/>
      <c r="S47" s="10"/>
      <c r="T47" s="10"/>
      <c r="U47" s="11">
        <f>SUM(U46)</f>
        <v>0</v>
      </c>
      <c r="V47" s="10"/>
    </row>
    <row r="48" spans="1:22" s="185" customFormat="1" x14ac:dyDescent="0.25">
      <c r="A48" s="89">
        <v>2273</v>
      </c>
      <c r="B48" s="68" t="s">
        <v>85</v>
      </c>
      <c r="C48" s="66" t="s">
        <v>86</v>
      </c>
      <c r="D48" s="205">
        <v>200</v>
      </c>
      <c r="E48" s="84"/>
      <c r="F48" s="141">
        <v>45679</v>
      </c>
      <c r="G48" s="141"/>
      <c r="H48" s="147">
        <v>45790</v>
      </c>
      <c r="I48" s="85"/>
      <c r="J48" s="85"/>
      <c r="K48" s="85"/>
      <c r="L48" s="85"/>
      <c r="M48" s="85"/>
      <c r="N48" s="85"/>
      <c r="O48" s="85"/>
      <c r="P48" s="192">
        <f t="shared" si="10"/>
        <v>0</v>
      </c>
      <c r="Q48" s="83" t="s">
        <v>92</v>
      </c>
      <c r="R48" s="68"/>
      <c r="S48" s="68"/>
      <c r="T48" s="68"/>
      <c r="U48" s="85"/>
      <c r="V48" s="68"/>
    </row>
    <row r="49" spans="1:22" x14ac:dyDescent="0.25">
      <c r="A49" s="195">
        <v>2273</v>
      </c>
      <c r="B49" s="9" t="s">
        <v>53</v>
      </c>
      <c r="C49" s="51"/>
      <c r="D49" s="56"/>
      <c r="E49" s="56"/>
      <c r="F49" s="142"/>
      <c r="G49" s="142"/>
      <c r="H49" s="52"/>
      <c r="I49" s="53"/>
      <c r="J49" s="52"/>
      <c r="K49" s="53"/>
      <c r="L49" s="52"/>
      <c r="M49" s="52"/>
      <c r="N49" s="52"/>
      <c r="O49" s="52"/>
      <c r="P49" s="192">
        <f t="shared" si="10"/>
        <v>0</v>
      </c>
      <c r="Q49" s="10"/>
      <c r="R49" s="10"/>
      <c r="S49" s="10"/>
      <c r="T49" s="10"/>
      <c r="U49" s="11">
        <f>SUM(U48)</f>
        <v>0</v>
      </c>
      <c r="V49" s="10"/>
    </row>
    <row r="50" spans="1:22" x14ac:dyDescent="0.25">
      <c r="A50" s="196">
        <v>2281</v>
      </c>
      <c r="B50" s="44" t="s">
        <v>380</v>
      </c>
      <c r="C50" s="65" t="s">
        <v>381</v>
      </c>
      <c r="D50" s="55">
        <v>189</v>
      </c>
      <c r="E50" s="55" t="s">
        <v>22</v>
      </c>
      <c r="F50" s="12">
        <v>45775</v>
      </c>
      <c r="G50" s="143"/>
      <c r="H50" s="203"/>
      <c r="I50" s="42">
        <v>1904.27</v>
      </c>
      <c r="J50" s="1">
        <v>30</v>
      </c>
      <c r="K50" s="2">
        <f>I50/J50</f>
        <v>63.475666666666669</v>
      </c>
      <c r="L50" s="1">
        <v>3</v>
      </c>
      <c r="M50" s="1">
        <v>0</v>
      </c>
      <c r="N50" s="1">
        <v>0</v>
      </c>
      <c r="O50" s="1">
        <v>0</v>
      </c>
      <c r="P50" s="192">
        <f>L50+M50+N50+O50</f>
        <v>3</v>
      </c>
      <c r="Q50" s="42">
        <f>K50*50%*L50</f>
        <v>95.21350000000001</v>
      </c>
      <c r="R50" s="42">
        <f>K50*60%*M50</f>
        <v>0</v>
      </c>
      <c r="S50" s="42">
        <f>K50*60%*N50</f>
        <v>0</v>
      </c>
      <c r="T50" s="42">
        <f>K50*75%*O50</f>
        <v>0</v>
      </c>
      <c r="U50" s="42">
        <f>S50+T50</f>
        <v>0</v>
      </c>
      <c r="V50" s="42">
        <f>K50*(M50+O50+L50+N50)*100%</f>
        <v>190.42700000000002</v>
      </c>
    </row>
    <row r="51" spans="1:22" x14ac:dyDescent="0.25">
      <c r="A51" s="196">
        <v>2281</v>
      </c>
      <c r="B51" s="44" t="s">
        <v>329</v>
      </c>
      <c r="C51" s="65" t="s">
        <v>330</v>
      </c>
      <c r="D51" s="55">
        <v>100</v>
      </c>
      <c r="E51" s="55" t="s">
        <v>22</v>
      </c>
      <c r="F51" s="12">
        <v>45727</v>
      </c>
      <c r="G51" s="143"/>
      <c r="H51" s="203">
        <v>45748</v>
      </c>
      <c r="I51" s="42">
        <v>1714</v>
      </c>
      <c r="J51" s="1">
        <v>30</v>
      </c>
      <c r="K51" s="2">
        <f t="shared" ref="K51:K56" si="11">I51/J51</f>
        <v>57.133333333333333</v>
      </c>
      <c r="L51" s="1">
        <v>0</v>
      </c>
      <c r="M51" s="1">
        <v>0</v>
      </c>
      <c r="N51" s="1">
        <v>0</v>
      </c>
      <c r="O51" s="1">
        <v>1</v>
      </c>
      <c r="P51" s="192">
        <f>L51+M51+N51+O51</f>
        <v>1</v>
      </c>
      <c r="Q51" s="42">
        <f t="shared" ref="Q51:Q56" si="12">K51*50%*L51</f>
        <v>0</v>
      </c>
      <c r="R51" s="42">
        <f t="shared" ref="R51:R56" si="13">K51*60%*M51</f>
        <v>0</v>
      </c>
      <c r="S51" s="42">
        <f t="shared" ref="S51:S56" si="14">K51*60%*N51</f>
        <v>0</v>
      </c>
      <c r="T51" s="42">
        <f t="shared" ref="T51:T56" si="15">K51*75%*O51</f>
        <v>42.85</v>
      </c>
      <c r="U51" s="42">
        <f t="shared" ref="U51:U56" si="16">S51+T51</f>
        <v>42.85</v>
      </c>
      <c r="V51" s="42">
        <f t="shared" ref="V51:V56" si="17">K51*(M51+O51+L51+N51)*100%</f>
        <v>57.133333333333333</v>
      </c>
    </row>
    <row r="52" spans="1:22" x14ac:dyDescent="0.25">
      <c r="A52" s="196">
        <v>2281</v>
      </c>
      <c r="B52" s="44" t="s">
        <v>79</v>
      </c>
      <c r="C52" s="65" t="s">
        <v>73</v>
      </c>
      <c r="D52" s="55">
        <v>189</v>
      </c>
      <c r="E52" s="55" t="s">
        <v>22</v>
      </c>
      <c r="F52" s="12">
        <v>45363</v>
      </c>
      <c r="G52" s="143">
        <v>45762</v>
      </c>
      <c r="H52" s="12" t="s">
        <v>280</v>
      </c>
      <c r="I52" s="42">
        <v>1901.68</v>
      </c>
      <c r="J52" s="1">
        <v>30</v>
      </c>
      <c r="K52" s="2">
        <f t="shared" si="11"/>
        <v>63.389333333333333</v>
      </c>
      <c r="L52" s="1">
        <v>0</v>
      </c>
      <c r="M52" s="1">
        <v>0</v>
      </c>
      <c r="N52" s="1">
        <v>0</v>
      </c>
      <c r="O52" s="1">
        <v>30</v>
      </c>
      <c r="P52" s="192">
        <f t="shared" si="10"/>
        <v>30</v>
      </c>
      <c r="Q52" s="42">
        <f t="shared" si="12"/>
        <v>0</v>
      </c>
      <c r="R52" s="42">
        <f t="shared" si="13"/>
        <v>0</v>
      </c>
      <c r="S52" s="42">
        <f t="shared" si="14"/>
        <v>0</v>
      </c>
      <c r="T52" s="42">
        <f t="shared" si="15"/>
        <v>1426.26</v>
      </c>
      <c r="U52" s="42">
        <f t="shared" si="16"/>
        <v>1426.26</v>
      </c>
      <c r="V52" s="42">
        <f t="shared" si="17"/>
        <v>1901.68</v>
      </c>
    </row>
    <row r="53" spans="1:22" x14ac:dyDescent="0.25">
      <c r="A53" s="196">
        <v>2281</v>
      </c>
      <c r="B53" s="44" t="s">
        <v>359</v>
      </c>
      <c r="C53" s="65" t="s">
        <v>360</v>
      </c>
      <c r="D53" s="55">
        <v>100</v>
      </c>
      <c r="E53" s="55" t="s">
        <v>22</v>
      </c>
      <c r="F53" s="12">
        <v>45757</v>
      </c>
      <c r="G53" s="143"/>
      <c r="H53" s="203">
        <v>45758</v>
      </c>
      <c r="I53" s="42">
        <v>1736.61</v>
      </c>
      <c r="J53" s="1">
        <v>30</v>
      </c>
      <c r="K53" s="2">
        <f t="shared" si="11"/>
        <v>57.886999999999993</v>
      </c>
      <c r="L53" s="1">
        <v>2</v>
      </c>
      <c r="M53" s="1">
        <v>0</v>
      </c>
      <c r="N53" s="1">
        <v>0</v>
      </c>
      <c r="O53" s="1">
        <v>0</v>
      </c>
      <c r="P53" s="192">
        <f>L53+M53+N53+O53</f>
        <v>2</v>
      </c>
      <c r="Q53" s="42">
        <f t="shared" si="12"/>
        <v>57.886999999999993</v>
      </c>
      <c r="R53" s="42">
        <f t="shared" si="13"/>
        <v>0</v>
      </c>
      <c r="S53" s="42">
        <f t="shared" si="14"/>
        <v>0</v>
      </c>
      <c r="T53" s="42">
        <f t="shared" si="15"/>
        <v>0</v>
      </c>
      <c r="U53" s="42">
        <f t="shared" si="16"/>
        <v>0</v>
      </c>
      <c r="V53" s="42">
        <f t="shared" si="17"/>
        <v>115.77399999999999</v>
      </c>
    </row>
    <row r="54" spans="1:22" x14ac:dyDescent="0.25">
      <c r="A54" s="196">
        <v>2281</v>
      </c>
      <c r="B54" s="44" t="s">
        <v>345</v>
      </c>
      <c r="C54" s="65" t="s">
        <v>346</v>
      </c>
      <c r="D54" s="55">
        <v>100</v>
      </c>
      <c r="E54" s="55" t="s">
        <v>22</v>
      </c>
      <c r="F54" s="12">
        <v>45750</v>
      </c>
      <c r="G54" s="143">
        <v>45778</v>
      </c>
      <c r="H54" s="12" t="s">
        <v>374</v>
      </c>
      <c r="I54" s="42">
        <v>1818.61</v>
      </c>
      <c r="J54" s="1">
        <v>30</v>
      </c>
      <c r="K54" s="2">
        <f t="shared" si="11"/>
        <v>60.620333333333328</v>
      </c>
      <c r="L54" s="1">
        <v>3</v>
      </c>
      <c r="M54" s="1">
        <v>12</v>
      </c>
      <c r="N54" s="1">
        <v>5</v>
      </c>
      <c r="O54" s="1">
        <v>8</v>
      </c>
      <c r="P54" s="192">
        <f>L54+M54+N54+O54</f>
        <v>28</v>
      </c>
      <c r="Q54" s="42">
        <f t="shared" si="12"/>
        <v>90.930499999999995</v>
      </c>
      <c r="R54" s="42">
        <f t="shared" si="13"/>
        <v>436.46639999999991</v>
      </c>
      <c r="S54" s="42">
        <f t="shared" si="14"/>
        <v>181.86099999999996</v>
      </c>
      <c r="T54" s="42">
        <f t="shared" si="15"/>
        <v>363.72199999999998</v>
      </c>
      <c r="U54" s="42">
        <f t="shared" si="16"/>
        <v>545.58299999999997</v>
      </c>
      <c r="V54" s="42">
        <f t="shared" si="17"/>
        <v>1697.3693333333331</v>
      </c>
    </row>
    <row r="55" spans="1:22" x14ac:dyDescent="0.25">
      <c r="A55" s="196">
        <v>2281</v>
      </c>
      <c r="B55" s="44" t="s">
        <v>172</v>
      </c>
      <c r="C55" s="65" t="s">
        <v>173</v>
      </c>
      <c r="D55" s="55">
        <v>189</v>
      </c>
      <c r="E55" s="55" t="s">
        <v>22</v>
      </c>
      <c r="F55" s="12">
        <v>45679</v>
      </c>
      <c r="G55" s="143"/>
      <c r="H55" s="203">
        <v>45762</v>
      </c>
      <c r="I55" s="42">
        <v>1543.99</v>
      </c>
      <c r="J55" s="1">
        <v>30</v>
      </c>
      <c r="K55" s="2">
        <f t="shared" si="11"/>
        <v>51.466333333333331</v>
      </c>
      <c r="L55" s="1">
        <v>0</v>
      </c>
      <c r="M55" s="1">
        <v>0</v>
      </c>
      <c r="N55" s="1">
        <v>0</v>
      </c>
      <c r="O55" s="1">
        <v>15</v>
      </c>
      <c r="P55" s="192">
        <f t="shared" si="10"/>
        <v>15</v>
      </c>
      <c r="Q55" s="42">
        <f t="shared" si="12"/>
        <v>0</v>
      </c>
      <c r="R55" s="42">
        <f t="shared" si="13"/>
        <v>0</v>
      </c>
      <c r="S55" s="42">
        <f t="shared" si="14"/>
        <v>0</v>
      </c>
      <c r="T55" s="42">
        <f t="shared" si="15"/>
        <v>578.99625000000003</v>
      </c>
      <c r="U55" s="42">
        <f t="shared" si="16"/>
        <v>578.99625000000003</v>
      </c>
      <c r="V55" s="42">
        <f t="shared" si="17"/>
        <v>771.995</v>
      </c>
    </row>
    <row r="56" spans="1:22" s="185" customFormat="1" ht="14.1" customHeight="1" x14ac:dyDescent="0.25">
      <c r="A56" s="196">
        <v>2281</v>
      </c>
      <c r="B56" s="44" t="s">
        <v>95</v>
      </c>
      <c r="C56" s="65" t="s">
        <v>96</v>
      </c>
      <c r="D56" s="55">
        <v>100</v>
      </c>
      <c r="E56" s="55" t="s">
        <v>22</v>
      </c>
      <c r="F56" s="12">
        <v>45448</v>
      </c>
      <c r="G56" s="143">
        <v>45784</v>
      </c>
      <c r="H56" s="12" t="s">
        <v>365</v>
      </c>
      <c r="I56" s="42">
        <v>1813.28</v>
      </c>
      <c r="J56" s="1">
        <v>30</v>
      </c>
      <c r="K56" s="2">
        <f t="shared" si="11"/>
        <v>60.442666666666668</v>
      </c>
      <c r="L56" s="1">
        <v>0</v>
      </c>
      <c r="M56" s="1">
        <v>0</v>
      </c>
      <c r="N56" s="1">
        <v>0</v>
      </c>
      <c r="O56" s="1">
        <v>30</v>
      </c>
      <c r="P56" s="192">
        <f t="shared" si="10"/>
        <v>30</v>
      </c>
      <c r="Q56" s="42">
        <f t="shared" si="12"/>
        <v>0</v>
      </c>
      <c r="R56" s="42">
        <f t="shared" si="13"/>
        <v>0</v>
      </c>
      <c r="S56" s="42">
        <f t="shared" si="14"/>
        <v>0</v>
      </c>
      <c r="T56" s="42">
        <f t="shared" si="15"/>
        <v>1359.96</v>
      </c>
      <c r="U56" s="42">
        <f t="shared" si="16"/>
        <v>1359.96</v>
      </c>
      <c r="V56" s="42">
        <f t="shared" si="17"/>
        <v>1813.28</v>
      </c>
    </row>
    <row r="57" spans="1:22" s="185" customFormat="1" ht="13.5" customHeight="1" x14ac:dyDescent="0.25">
      <c r="A57" s="193" t="s">
        <v>103</v>
      </c>
      <c r="B57" s="177"/>
      <c r="C57" s="178"/>
      <c r="D57" s="179"/>
      <c r="E57" s="180"/>
      <c r="F57" s="194"/>
      <c r="G57" s="181"/>
      <c r="H57" s="194"/>
      <c r="I57" s="182"/>
      <c r="J57" s="183"/>
      <c r="K57" s="184"/>
      <c r="L57" s="183"/>
      <c r="M57" s="183"/>
      <c r="N57" s="183"/>
      <c r="O57" s="183"/>
      <c r="P57" s="192">
        <f t="shared" si="10"/>
        <v>0</v>
      </c>
      <c r="Q57" s="182"/>
      <c r="R57" s="182"/>
      <c r="S57" s="182"/>
      <c r="T57" s="182"/>
      <c r="U57" s="182"/>
      <c r="V57" s="182"/>
    </row>
    <row r="58" spans="1:22" s="185" customFormat="1" ht="15" customHeight="1" x14ac:dyDescent="0.25">
      <c r="A58" s="195">
        <v>2281</v>
      </c>
      <c r="B58" s="9" t="s">
        <v>60</v>
      </c>
      <c r="C58" s="51"/>
      <c r="D58" s="56"/>
      <c r="E58" s="56"/>
      <c r="F58" s="142"/>
      <c r="G58" s="142"/>
      <c r="H58" s="52"/>
      <c r="I58" s="53"/>
      <c r="J58" s="52"/>
      <c r="K58" s="53"/>
      <c r="L58" s="52"/>
      <c r="M58" s="52"/>
      <c r="N58" s="52"/>
      <c r="O58" s="52"/>
      <c r="P58" s="192">
        <f t="shared" si="10"/>
        <v>0</v>
      </c>
      <c r="Q58" s="10"/>
      <c r="R58" s="10"/>
      <c r="S58" s="10"/>
      <c r="T58" s="10"/>
      <c r="U58" s="11">
        <f>SUM(U51:U57)</f>
        <v>3953.6492499999999</v>
      </c>
      <c r="V58" s="10"/>
    </row>
    <row r="59" spans="1:22" x14ac:dyDescent="0.25">
      <c r="A59" s="196">
        <v>2290</v>
      </c>
      <c r="B59" s="44" t="s">
        <v>74</v>
      </c>
      <c r="C59" s="65" t="s">
        <v>75</v>
      </c>
      <c r="D59" s="55">
        <v>100</v>
      </c>
      <c r="E59" s="55" t="s">
        <v>22</v>
      </c>
      <c r="F59" s="12">
        <v>45347</v>
      </c>
      <c r="G59" s="143">
        <v>45711</v>
      </c>
      <c r="H59" s="12" t="s">
        <v>228</v>
      </c>
      <c r="I59" s="42">
        <v>744.29</v>
      </c>
      <c r="J59" s="1">
        <v>16</v>
      </c>
      <c r="K59" s="2">
        <f>I59/J59</f>
        <v>46.518124999999998</v>
      </c>
      <c r="L59" s="1">
        <v>0</v>
      </c>
      <c r="M59" s="1">
        <v>0</v>
      </c>
      <c r="N59" s="1">
        <v>0</v>
      </c>
      <c r="O59" s="1">
        <v>30</v>
      </c>
      <c r="P59" s="192">
        <f t="shared" si="10"/>
        <v>30</v>
      </c>
      <c r="Q59" s="42">
        <f>K59*50%*L59</f>
        <v>0</v>
      </c>
      <c r="R59" s="42">
        <f>K59*60%*M59</f>
        <v>0</v>
      </c>
      <c r="S59" s="42">
        <f>K59*60%*N59</f>
        <v>0</v>
      </c>
      <c r="T59" s="42">
        <f>K59*75%*O59</f>
        <v>1046.6578124999999</v>
      </c>
      <c r="U59" s="42">
        <f>S59+T59</f>
        <v>1046.6578124999999</v>
      </c>
      <c r="V59" s="42">
        <f>K59*(M59+O59+L59+N59)*100%</f>
        <v>1395.5437499999998</v>
      </c>
    </row>
    <row r="60" spans="1:22" s="185" customFormat="1" ht="14.25" customHeight="1" x14ac:dyDescent="0.25">
      <c r="A60" s="193" t="s">
        <v>176</v>
      </c>
      <c r="B60" s="177"/>
      <c r="C60" s="178"/>
      <c r="D60" s="179"/>
      <c r="E60" s="180"/>
      <c r="F60" s="194"/>
      <c r="G60" s="181"/>
      <c r="H60" s="194"/>
      <c r="I60" s="182"/>
      <c r="J60" s="183"/>
      <c r="K60" s="184"/>
      <c r="L60" s="183"/>
      <c r="M60" s="183"/>
      <c r="N60" s="183"/>
      <c r="O60" s="183"/>
      <c r="P60" s="192"/>
      <c r="Q60" s="182"/>
      <c r="R60" s="182"/>
      <c r="S60" s="182"/>
      <c r="T60" s="182"/>
      <c r="U60" s="182"/>
      <c r="V60" s="182"/>
    </row>
    <row r="61" spans="1:22" x14ac:dyDescent="0.25">
      <c r="A61" s="196">
        <v>2290</v>
      </c>
      <c r="B61" s="44" t="s">
        <v>259</v>
      </c>
      <c r="C61" s="65" t="s">
        <v>260</v>
      </c>
      <c r="D61" s="55">
        <v>100</v>
      </c>
      <c r="E61" s="55" t="s">
        <v>22</v>
      </c>
      <c r="F61" s="12">
        <v>45709</v>
      </c>
      <c r="G61" s="143"/>
      <c r="H61" s="203">
        <v>45772</v>
      </c>
      <c r="I61" s="42">
        <v>1477.48</v>
      </c>
      <c r="J61" s="1">
        <v>30</v>
      </c>
      <c r="K61" s="2">
        <f>I61/J61</f>
        <v>49.249333333333333</v>
      </c>
      <c r="L61" s="1">
        <v>0</v>
      </c>
      <c r="M61" s="1">
        <v>0</v>
      </c>
      <c r="N61" s="1">
        <v>0</v>
      </c>
      <c r="O61" s="1">
        <v>25</v>
      </c>
      <c r="P61" s="192">
        <f>L61+M61+N61+O61</f>
        <v>25</v>
      </c>
      <c r="Q61" s="42">
        <f>K61*50%*L61</f>
        <v>0</v>
      </c>
      <c r="R61" s="42">
        <f>K61*60%*M61</f>
        <v>0</v>
      </c>
      <c r="S61" s="42">
        <f>K61*60%*N61</f>
        <v>0</v>
      </c>
      <c r="T61" s="42">
        <f>K61*75%*O61</f>
        <v>923.42499999999995</v>
      </c>
      <c r="U61" s="42">
        <f>S61+T61</f>
        <v>923.42499999999995</v>
      </c>
      <c r="V61" s="42">
        <f>K61*(M61+O61+L61+N61)*100%</f>
        <v>1231.2333333333333</v>
      </c>
    </row>
    <row r="62" spans="1:22" x14ac:dyDescent="0.25">
      <c r="A62" s="193" t="s">
        <v>317</v>
      </c>
      <c r="B62" s="177"/>
      <c r="C62" s="178"/>
      <c r="D62" s="179"/>
      <c r="E62" s="180"/>
      <c r="F62" s="194"/>
      <c r="G62" s="181"/>
      <c r="H62" s="194"/>
      <c r="I62" s="182"/>
      <c r="J62" s="183"/>
      <c r="K62" s="184"/>
      <c r="L62" s="183"/>
      <c r="M62" s="183"/>
      <c r="N62" s="183"/>
      <c r="O62" s="183"/>
      <c r="P62" s="192"/>
      <c r="Q62" s="182"/>
      <c r="R62" s="182"/>
      <c r="S62" s="182"/>
      <c r="T62" s="182"/>
      <c r="U62" s="182"/>
      <c r="V62" s="182"/>
    </row>
    <row r="63" spans="1:22" x14ac:dyDescent="0.25">
      <c r="A63" s="196">
        <v>2290</v>
      </c>
      <c r="B63" s="44" t="s">
        <v>98</v>
      </c>
      <c r="C63" s="65" t="s">
        <v>99</v>
      </c>
      <c r="D63" s="55">
        <v>100</v>
      </c>
      <c r="E63" s="55" t="s">
        <v>22</v>
      </c>
      <c r="F63" s="12">
        <v>45607</v>
      </c>
      <c r="G63" s="143">
        <v>45759</v>
      </c>
      <c r="H63" s="12" t="s">
        <v>369</v>
      </c>
      <c r="I63" s="42">
        <v>1500.04</v>
      </c>
      <c r="J63" s="1">
        <v>30</v>
      </c>
      <c r="K63" s="2">
        <f>I63/J63</f>
        <v>50.001333333333335</v>
      </c>
      <c r="L63" s="1">
        <v>0</v>
      </c>
      <c r="M63" s="1">
        <v>0</v>
      </c>
      <c r="N63" s="1">
        <v>0</v>
      </c>
      <c r="O63" s="1">
        <v>30</v>
      </c>
      <c r="P63" s="192">
        <f>L63+M63+N63+O63</f>
        <v>30</v>
      </c>
      <c r="Q63" s="42">
        <f>K63*50%*L63</f>
        <v>0</v>
      </c>
      <c r="R63" s="42">
        <f>K63*60%*M63</f>
        <v>0</v>
      </c>
      <c r="S63" s="42">
        <f>K63*60%*N63</f>
        <v>0</v>
      </c>
      <c r="T63" s="42">
        <f>K63*75%*O63</f>
        <v>1125.0300000000002</v>
      </c>
      <c r="U63" s="42">
        <f>S63+T63</f>
        <v>1125.0300000000002</v>
      </c>
      <c r="V63" s="42">
        <f>K63*(M63+O63+L63+N63)*100%</f>
        <v>1500.04</v>
      </c>
    </row>
    <row r="64" spans="1:22" x14ac:dyDescent="0.25">
      <c r="A64" s="193" t="s">
        <v>251</v>
      </c>
      <c r="B64" s="177"/>
      <c r="C64" s="178"/>
      <c r="D64" s="179"/>
      <c r="E64" s="180"/>
      <c r="F64" s="194"/>
      <c r="G64" s="181"/>
      <c r="H64" s="194"/>
      <c r="I64" s="182"/>
      <c r="J64" s="183"/>
      <c r="K64" s="184"/>
      <c r="L64" s="183"/>
      <c r="M64" s="183"/>
      <c r="N64" s="183"/>
      <c r="O64" s="183"/>
      <c r="P64" s="192"/>
      <c r="Q64" s="182"/>
      <c r="R64" s="182"/>
      <c r="S64" s="182"/>
      <c r="T64" s="182"/>
      <c r="U64" s="182"/>
      <c r="V64" s="182"/>
    </row>
    <row r="65" spans="1:22" s="185" customFormat="1" ht="14.25" customHeight="1" x14ac:dyDescent="0.25">
      <c r="A65" s="196">
        <v>2290</v>
      </c>
      <c r="B65" s="44" t="s">
        <v>343</v>
      </c>
      <c r="C65" s="65" t="s">
        <v>344</v>
      </c>
      <c r="D65" s="55">
        <v>100</v>
      </c>
      <c r="E65" s="55" t="s">
        <v>22</v>
      </c>
      <c r="F65" s="12">
        <v>45750</v>
      </c>
      <c r="G65" s="143"/>
      <c r="H65" s="203">
        <v>45754</v>
      </c>
      <c r="I65" s="42">
        <v>1509.27</v>
      </c>
      <c r="J65" s="1">
        <v>30</v>
      </c>
      <c r="K65" s="2">
        <f>I65/J65</f>
        <v>50.308999999999997</v>
      </c>
      <c r="L65" s="1">
        <v>3</v>
      </c>
      <c r="M65" s="1">
        <v>2</v>
      </c>
      <c r="N65" s="1">
        <v>0</v>
      </c>
      <c r="O65" s="1">
        <v>0</v>
      </c>
      <c r="P65" s="192">
        <f>L65+M65+N65+O65</f>
        <v>5</v>
      </c>
      <c r="Q65" s="42">
        <f>K65*50%*L65</f>
        <v>75.463499999999996</v>
      </c>
      <c r="R65" s="42">
        <f>K65*60%*M65</f>
        <v>60.370799999999996</v>
      </c>
      <c r="S65" s="42">
        <f>K65*60%*N65</f>
        <v>0</v>
      </c>
      <c r="T65" s="42">
        <f>K65*75%*O65</f>
        <v>0</v>
      </c>
      <c r="U65" s="42">
        <f>S65+T65</f>
        <v>0</v>
      </c>
      <c r="V65" s="42">
        <f>K65*(M65+O65+L65+N65)*100%</f>
        <v>251.54499999999999</v>
      </c>
    </row>
    <row r="66" spans="1:22" s="185" customFormat="1" ht="14.25" customHeight="1" x14ac:dyDescent="0.25">
      <c r="A66" s="196">
        <v>2290</v>
      </c>
      <c r="B66" s="44" t="s">
        <v>230</v>
      </c>
      <c r="C66" s="65" t="s">
        <v>231</v>
      </c>
      <c r="D66" s="55">
        <v>100</v>
      </c>
      <c r="E66" s="55" t="s">
        <v>22</v>
      </c>
      <c r="F66" s="12">
        <v>45694</v>
      </c>
      <c r="G66" s="143">
        <v>45778</v>
      </c>
      <c r="H66" s="12" t="s">
        <v>358</v>
      </c>
      <c r="I66" s="42">
        <v>1771.25</v>
      </c>
      <c r="J66" s="1">
        <v>74</v>
      </c>
      <c r="K66" s="2">
        <f>I66/J66</f>
        <v>23.935810810810811</v>
      </c>
      <c r="L66" s="1">
        <v>0</v>
      </c>
      <c r="M66" s="1">
        <v>0</v>
      </c>
      <c r="N66" s="1">
        <v>0</v>
      </c>
      <c r="O66" s="1">
        <v>30</v>
      </c>
      <c r="P66" s="192">
        <f>L66+M66+N66+O66</f>
        <v>30</v>
      </c>
      <c r="Q66" s="42">
        <f>K66*50%*L66</f>
        <v>0</v>
      </c>
      <c r="R66" s="42">
        <f>K66*60%*M66</f>
        <v>0</v>
      </c>
      <c r="S66" s="42">
        <f>K66*60%*N66</f>
        <v>0</v>
      </c>
      <c r="T66" s="42">
        <f>K66*75%*O66</f>
        <v>538.55574324324323</v>
      </c>
      <c r="U66" s="42">
        <f>S66+T66</f>
        <v>538.55574324324323</v>
      </c>
      <c r="V66" s="42">
        <f>K66*(M66+O66+L66+N66)*100%</f>
        <v>718.07432432432427</v>
      </c>
    </row>
    <row r="67" spans="1:22" x14ac:dyDescent="0.25">
      <c r="A67" s="196">
        <v>2290</v>
      </c>
      <c r="B67" s="44" t="s">
        <v>97</v>
      </c>
      <c r="C67" s="65" t="s">
        <v>100</v>
      </c>
      <c r="D67" s="55">
        <v>100</v>
      </c>
      <c r="E67" s="55" t="s">
        <v>22</v>
      </c>
      <c r="F67" s="12">
        <v>45561</v>
      </c>
      <c r="G67" s="143">
        <v>45790</v>
      </c>
      <c r="H67" s="12" t="s">
        <v>371</v>
      </c>
      <c r="I67" s="42">
        <v>1512.48</v>
      </c>
      <c r="J67" s="1">
        <v>30</v>
      </c>
      <c r="K67" s="2">
        <f>I67/J67</f>
        <v>50.416000000000004</v>
      </c>
      <c r="L67" s="1">
        <v>0</v>
      </c>
      <c r="M67" s="1">
        <v>0</v>
      </c>
      <c r="N67" s="1">
        <v>0</v>
      </c>
      <c r="O67" s="1">
        <v>30</v>
      </c>
      <c r="P67" s="192">
        <f>L67+M67+N67+O67</f>
        <v>30</v>
      </c>
      <c r="Q67" s="42">
        <f>K67*50%*L67</f>
        <v>0</v>
      </c>
      <c r="R67" s="42">
        <f>K67*60%*M67</f>
        <v>0</v>
      </c>
      <c r="S67" s="42">
        <f>K67*60%*N67</f>
        <v>0</v>
      </c>
      <c r="T67" s="42">
        <f>K67*75%*O67</f>
        <v>1134.3600000000001</v>
      </c>
      <c r="U67" s="42">
        <f>S67+T67</f>
        <v>1134.3600000000001</v>
      </c>
      <c r="V67" s="42">
        <f>K67*(M67+O67+L67+N67)*100%</f>
        <v>1512.48</v>
      </c>
    </row>
    <row r="68" spans="1:22" s="185" customFormat="1" ht="15" customHeight="1" x14ac:dyDescent="0.25">
      <c r="A68" s="193" t="s">
        <v>117</v>
      </c>
      <c r="B68" s="177"/>
      <c r="C68" s="178"/>
      <c r="D68" s="179"/>
      <c r="E68" s="180"/>
      <c r="F68" s="194"/>
      <c r="G68" s="181"/>
      <c r="H68" s="194"/>
      <c r="I68" s="182"/>
      <c r="J68" s="183"/>
      <c r="K68" s="184"/>
      <c r="L68" s="183"/>
      <c r="M68" s="183"/>
      <c r="N68" s="183"/>
      <c r="O68" s="183"/>
      <c r="P68" s="192"/>
      <c r="Q68" s="182"/>
      <c r="R68" s="182"/>
      <c r="S68" s="182"/>
      <c r="T68" s="182"/>
      <c r="U68" s="182"/>
      <c r="V68" s="182"/>
    </row>
    <row r="69" spans="1:22" x14ac:dyDescent="0.25">
      <c r="A69" s="89">
        <v>2290</v>
      </c>
      <c r="B69" s="68" t="s">
        <v>113</v>
      </c>
      <c r="C69" s="66" t="s">
        <v>114</v>
      </c>
      <c r="D69" s="205">
        <v>100</v>
      </c>
      <c r="E69" s="205" t="s">
        <v>22</v>
      </c>
      <c r="F69" s="141">
        <v>45697</v>
      </c>
      <c r="G69" s="141"/>
      <c r="H69" s="147">
        <v>45808</v>
      </c>
      <c r="I69" s="85"/>
      <c r="J69" s="85"/>
      <c r="K69" s="85"/>
      <c r="L69" s="199"/>
      <c r="M69" s="199"/>
      <c r="N69" s="199"/>
      <c r="O69" s="85"/>
      <c r="P69" s="83"/>
      <c r="Q69" s="83" t="s">
        <v>92</v>
      </c>
      <c r="R69" s="68"/>
      <c r="S69" s="68"/>
      <c r="T69" s="68"/>
      <c r="U69" s="85"/>
      <c r="V69" s="68"/>
    </row>
    <row r="70" spans="1:22" x14ac:dyDescent="0.25">
      <c r="A70" s="193" t="s">
        <v>238</v>
      </c>
      <c r="B70" s="177"/>
      <c r="C70" s="178"/>
      <c r="D70" s="179"/>
      <c r="E70" s="180"/>
      <c r="F70" s="194"/>
      <c r="G70" s="181"/>
      <c r="H70" s="194"/>
      <c r="I70" s="293" t="s">
        <v>332</v>
      </c>
      <c r="J70" s="294"/>
      <c r="K70" s="295"/>
      <c r="L70" s="183"/>
      <c r="M70" s="183"/>
      <c r="N70" s="183"/>
      <c r="O70" s="183"/>
      <c r="P70" s="192"/>
      <c r="Q70" s="182"/>
      <c r="R70" s="182"/>
      <c r="S70" s="182"/>
      <c r="T70" s="182"/>
      <c r="U70" s="182"/>
      <c r="V70" s="182"/>
    </row>
    <row r="71" spans="1:22" x14ac:dyDescent="0.25">
      <c r="A71" s="193" t="s">
        <v>333</v>
      </c>
      <c r="B71" s="177"/>
      <c r="C71" s="178"/>
      <c r="D71" s="179"/>
      <c r="E71" s="180"/>
      <c r="F71" s="194"/>
      <c r="G71" s="181"/>
      <c r="H71" s="194"/>
      <c r="I71" s="221"/>
      <c r="J71" s="223"/>
      <c r="K71" s="222"/>
      <c r="L71" s="183"/>
      <c r="M71" s="183"/>
      <c r="N71" s="183"/>
      <c r="O71" s="183"/>
      <c r="P71" s="192"/>
      <c r="Q71" s="182"/>
      <c r="R71" s="182"/>
      <c r="S71" s="182"/>
      <c r="T71" s="182"/>
      <c r="U71" s="182"/>
      <c r="V71" s="182"/>
    </row>
    <row r="72" spans="1:22" x14ac:dyDescent="0.25">
      <c r="A72" s="197">
        <v>2290</v>
      </c>
      <c r="B72" s="9" t="s">
        <v>54</v>
      </c>
      <c r="C72" s="51"/>
      <c r="D72" s="56"/>
      <c r="E72" s="56"/>
      <c r="F72" s="142"/>
      <c r="G72" s="142"/>
      <c r="H72" s="52"/>
      <c r="I72" s="53"/>
      <c r="J72" s="52"/>
      <c r="K72" s="53"/>
      <c r="L72" s="52"/>
      <c r="M72" s="52"/>
      <c r="N72" s="52"/>
      <c r="O72" s="52"/>
      <c r="P72" s="192">
        <f t="shared" ref="P72:P79" si="18">L72+M72+N72+O72</f>
        <v>0</v>
      </c>
      <c r="Q72" s="10"/>
      <c r="R72" s="10"/>
      <c r="S72" s="10"/>
      <c r="T72" s="10"/>
      <c r="U72" s="11">
        <f>SUM(U59:U68)</f>
        <v>4768.0285557432435</v>
      </c>
      <c r="V72" s="10"/>
    </row>
    <row r="73" spans="1:22" s="185" customFormat="1" x14ac:dyDescent="0.25">
      <c r="A73" s="196">
        <v>2350</v>
      </c>
      <c r="B73" s="44" t="s">
        <v>93</v>
      </c>
      <c r="C73" s="65" t="s">
        <v>94</v>
      </c>
      <c r="D73" s="55">
        <v>100</v>
      </c>
      <c r="E73" s="55" t="s">
        <v>22</v>
      </c>
      <c r="F73" s="12">
        <v>45443</v>
      </c>
      <c r="G73" s="143">
        <v>45779</v>
      </c>
      <c r="H73" s="12" t="s">
        <v>354</v>
      </c>
      <c r="I73" s="186">
        <v>1323</v>
      </c>
      <c r="J73" s="1">
        <v>30</v>
      </c>
      <c r="K73" s="2">
        <f>I73/J73</f>
        <v>44.1</v>
      </c>
      <c r="L73" s="1">
        <v>0</v>
      </c>
      <c r="M73" s="1">
        <v>0</v>
      </c>
      <c r="N73" s="1">
        <v>0</v>
      </c>
      <c r="O73" s="1">
        <v>30</v>
      </c>
      <c r="P73" s="192">
        <f t="shared" si="18"/>
        <v>30</v>
      </c>
      <c r="Q73" s="42">
        <f>K73*50%*L73</f>
        <v>0</v>
      </c>
      <c r="R73" s="42">
        <f>K73*60%*M73</f>
        <v>0</v>
      </c>
      <c r="S73" s="42">
        <f>K73*60%*N73</f>
        <v>0</v>
      </c>
      <c r="T73" s="42">
        <f>K73*75%*O73</f>
        <v>992.25000000000011</v>
      </c>
      <c r="U73" s="42">
        <f>S73+T73</f>
        <v>992.25000000000011</v>
      </c>
      <c r="V73" s="42">
        <f>K73*(M73+O73+L73+N73)*100%</f>
        <v>1323</v>
      </c>
    </row>
    <row r="74" spans="1:22" x14ac:dyDescent="0.25">
      <c r="A74" s="197">
        <v>2350</v>
      </c>
      <c r="B74" s="9" t="s">
        <v>78</v>
      </c>
      <c r="C74" s="51"/>
      <c r="D74" s="56"/>
      <c r="E74" s="56"/>
      <c r="F74" s="142"/>
      <c r="G74" s="142"/>
      <c r="H74" s="52"/>
      <c r="I74" s="53"/>
      <c r="J74" s="52"/>
      <c r="K74" s="53"/>
      <c r="L74" s="52"/>
      <c r="M74" s="52"/>
      <c r="N74" s="52"/>
      <c r="O74" s="52"/>
      <c r="P74" s="192">
        <f t="shared" si="18"/>
        <v>0</v>
      </c>
      <c r="Q74" s="10"/>
      <c r="R74" s="10"/>
      <c r="S74" s="10"/>
      <c r="T74" s="10"/>
      <c r="U74" s="11">
        <f>SUM(U73:U73)</f>
        <v>992.25000000000011</v>
      </c>
      <c r="V74" s="10"/>
    </row>
    <row r="75" spans="1:22" x14ac:dyDescent="0.25">
      <c r="A75" s="196">
        <v>2357</v>
      </c>
      <c r="B75" s="44" t="s">
        <v>200</v>
      </c>
      <c r="C75" s="65" t="s">
        <v>201</v>
      </c>
      <c r="D75" s="55">
        <v>200</v>
      </c>
      <c r="E75" s="55" t="s">
        <v>22</v>
      </c>
      <c r="F75" s="12">
        <v>45671</v>
      </c>
      <c r="G75" s="143"/>
      <c r="H75" s="203">
        <v>45761</v>
      </c>
      <c r="I75" s="42">
        <v>4804.24</v>
      </c>
      <c r="J75" s="1">
        <v>92</v>
      </c>
      <c r="K75" s="2">
        <f>I75/J75</f>
        <v>52.22</v>
      </c>
      <c r="L75" s="1">
        <v>0</v>
      </c>
      <c r="M75" s="1">
        <v>0</v>
      </c>
      <c r="N75" s="1">
        <v>0</v>
      </c>
      <c r="O75" s="1">
        <v>14</v>
      </c>
      <c r="P75" s="192">
        <f t="shared" si="18"/>
        <v>14</v>
      </c>
      <c r="Q75" s="42">
        <f>K75*50%*L75</f>
        <v>0</v>
      </c>
      <c r="R75" s="42">
        <f>K75*60%*M75</f>
        <v>0</v>
      </c>
      <c r="S75" s="42">
        <f>K75*60%*N75</f>
        <v>0</v>
      </c>
      <c r="T75" s="42">
        <f>K75*75%*O75</f>
        <v>548.30999999999995</v>
      </c>
      <c r="U75" s="42">
        <f>S75+T75</f>
        <v>548.30999999999995</v>
      </c>
      <c r="V75" s="42">
        <f>K75*(M75+O75+L75+N75)*100%</f>
        <v>731.07999999999993</v>
      </c>
    </row>
    <row r="76" spans="1:22" x14ac:dyDescent="0.25">
      <c r="A76" s="195">
        <v>2357</v>
      </c>
      <c r="B76" s="9" t="s">
        <v>199</v>
      </c>
      <c r="C76" s="51"/>
      <c r="D76" s="56"/>
      <c r="E76" s="56"/>
      <c r="F76" s="142"/>
      <c r="G76" s="142"/>
      <c r="H76" s="52"/>
      <c r="I76" s="53"/>
      <c r="J76" s="52"/>
      <c r="K76" s="53"/>
      <c r="L76" s="52"/>
      <c r="M76" s="52"/>
      <c r="N76" s="52"/>
      <c r="O76" s="52"/>
      <c r="P76" s="192">
        <f t="shared" si="18"/>
        <v>0</v>
      </c>
      <c r="Q76" s="10"/>
      <c r="R76" s="10"/>
      <c r="S76" s="10"/>
      <c r="T76" s="10"/>
      <c r="U76" s="11">
        <f>SUM(U75)</f>
        <v>548.30999999999995</v>
      </c>
      <c r="V76" s="10"/>
    </row>
    <row r="77" spans="1:22" s="185" customFormat="1" x14ac:dyDescent="0.25">
      <c r="A77" s="89">
        <v>2393</v>
      </c>
      <c r="B77" s="68" t="s">
        <v>319</v>
      </c>
      <c r="C77" s="66">
        <v>381048696676</v>
      </c>
      <c r="D77" s="205">
        <v>100</v>
      </c>
      <c r="E77" s="84"/>
      <c r="F77" s="141">
        <v>45742</v>
      </c>
      <c r="G77" s="141"/>
      <c r="H77" s="147">
        <v>45797</v>
      </c>
      <c r="I77" s="85"/>
      <c r="J77" s="85"/>
      <c r="K77" s="85"/>
      <c r="L77" s="85"/>
      <c r="M77" s="85"/>
      <c r="N77" s="85"/>
      <c r="O77" s="85"/>
      <c r="P77" s="192">
        <f t="shared" si="18"/>
        <v>0</v>
      </c>
      <c r="Q77" s="83" t="s">
        <v>48</v>
      </c>
      <c r="R77" s="68"/>
      <c r="S77" s="68"/>
      <c r="T77" s="68"/>
      <c r="U77" s="85"/>
      <c r="V77" s="68"/>
    </row>
    <row r="78" spans="1:22" s="185" customFormat="1" x14ac:dyDescent="0.25">
      <c r="A78" s="193" t="s">
        <v>342</v>
      </c>
      <c r="B78" s="177"/>
      <c r="C78" s="178"/>
      <c r="D78" s="179"/>
      <c r="E78" s="180"/>
      <c r="F78" s="194"/>
      <c r="G78" s="181"/>
      <c r="H78" s="194"/>
      <c r="I78" s="224"/>
      <c r="J78" s="224"/>
      <c r="K78" s="224"/>
      <c r="L78" s="224"/>
      <c r="M78" s="224"/>
      <c r="N78" s="224"/>
      <c r="O78" s="224"/>
      <c r="P78" s="183"/>
      <c r="Q78" s="177"/>
      <c r="R78" s="225"/>
      <c r="S78" s="225"/>
      <c r="T78" s="225"/>
      <c r="U78" s="224"/>
      <c r="V78" s="225"/>
    </row>
    <row r="79" spans="1:22" x14ac:dyDescent="0.25">
      <c r="A79" s="195">
        <v>2393</v>
      </c>
      <c r="B79" s="9" t="s">
        <v>319</v>
      </c>
      <c r="C79" s="51"/>
      <c r="D79" s="56"/>
      <c r="E79" s="56"/>
      <c r="F79" s="142"/>
      <c r="G79" s="142"/>
      <c r="H79" s="52"/>
      <c r="I79" s="53"/>
      <c r="J79" s="52"/>
      <c r="K79" s="53"/>
      <c r="L79" s="52"/>
      <c r="M79" s="52"/>
      <c r="N79" s="52"/>
      <c r="O79" s="52"/>
      <c r="P79" s="192">
        <f t="shared" si="18"/>
        <v>0</v>
      </c>
      <c r="Q79" s="10"/>
      <c r="R79" s="10"/>
      <c r="S79" s="10"/>
      <c r="T79" s="10"/>
      <c r="U79" s="11">
        <f>SUM(U77)</f>
        <v>0</v>
      </c>
      <c r="V79" s="10"/>
    </row>
    <row r="80" spans="1:22" x14ac:dyDescent="0.25">
      <c r="A80" s="196">
        <v>2421</v>
      </c>
      <c r="B80" s="44" t="s">
        <v>383</v>
      </c>
      <c r="C80" s="65" t="s">
        <v>384</v>
      </c>
      <c r="D80" s="55">
        <v>100</v>
      </c>
      <c r="E80" s="55" t="s">
        <v>22</v>
      </c>
      <c r="F80" s="12">
        <v>45772</v>
      </c>
      <c r="G80" s="143"/>
      <c r="H80" s="203"/>
      <c r="I80" s="42">
        <v>1520.28</v>
      </c>
      <c r="J80" s="1">
        <v>30</v>
      </c>
      <c r="K80" s="2">
        <f>I80/J80</f>
        <v>50.676000000000002</v>
      </c>
      <c r="L80" s="1">
        <v>3</v>
      </c>
      <c r="M80" s="1">
        <v>3</v>
      </c>
      <c r="N80" s="1">
        <v>0</v>
      </c>
      <c r="O80" s="1">
        <v>0</v>
      </c>
      <c r="P80" s="192">
        <f>L80+M80+N80+O80</f>
        <v>6</v>
      </c>
      <c r="Q80" s="42">
        <f>K80*50%*L80</f>
        <v>76.01400000000001</v>
      </c>
      <c r="R80" s="42">
        <f>K80*60%*M80</f>
        <v>91.216800000000006</v>
      </c>
      <c r="S80" s="42">
        <f>K80*60%*N80</f>
        <v>0</v>
      </c>
      <c r="T80" s="42">
        <f>K80*75%*O80</f>
        <v>0</v>
      </c>
      <c r="U80" s="42">
        <f>S80+T80</f>
        <v>0</v>
      </c>
      <c r="V80" s="42">
        <f>K80*(M80+O80+L80+N80)*100%</f>
        <v>304.05600000000004</v>
      </c>
    </row>
    <row r="81" spans="1:22" x14ac:dyDescent="0.25">
      <c r="A81" s="195">
        <v>2421</v>
      </c>
      <c r="B81" s="9" t="s">
        <v>382</v>
      </c>
      <c r="C81" s="51"/>
      <c r="D81" s="56"/>
      <c r="E81" s="56"/>
      <c r="F81" s="142"/>
      <c r="G81" s="142"/>
      <c r="H81" s="52"/>
      <c r="I81" s="53"/>
      <c r="J81" s="52"/>
      <c r="K81" s="53"/>
      <c r="L81" s="52"/>
      <c r="M81" s="52"/>
      <c r="N81" s="52"/>
      <c r="O81" s="52"/>
      <c r="P81" s="192">
        <f>L81+M81+N81+O81</f>
        <v>0</v>
      </c>
      <c r="Q81" s="10"/>
      <c r="R81" s="10"/>
      <c r="S81" s="10"/>
      <c r="T81" s="10"/>
      <c r="U81" s="11">
        <f>SUM(U80)</f>
        <v>0</v>
      </c>
      <c r="V81" s="10"/>
    </row>
    <row r="82" spans="1:22" x14ac:dyDescent="0.25">
      <c r="A82" s="91"/>
      <c r="B82" s="14" t="s">
        <v>24</v>
      </c>
      <c r="C82" s="15"/>
      <c r="D82" s="57"/>
      <c r="E82" s="57"/>
      <c r="F82" s="145"/>
      <c r="G82" s="145"/>
      <c r="H82" s="67"/>
      <c r="I82" s="16"/>
      <c r="J82" s="17"/>
      <c r="K82" s="17"/>
      <c r="L82" s="17"/>
      <c r="M82" s="17"/>
      <c r="N82" s="17"/>
      <c r="O82" s="17"/>
      <c r="P82" s="18"/>
      <c r="Q82" s="16"/>
      <c r="R82" s="43"/>
      <c r="S82" s="43"/>
      <c r="T82" s="43"/>
      <c r="U82" s="43"/>
      <c r="V82" s="43"/>
    </row>
    <row r="83" spans="1:22" ht="14.25" customHeight="1" x14ac:dyDescent="0.25">
      <c r="A83" s="90">
        <v>1846</v>
      </c>
      <c r="B83" s="8" t="s">
        <v>282</v>
      </c>
      <c r="C83" s="65" t="s">
        <v>283</v>
      </c>
      <c r="D83" s="75" t="s">
        <v>52</v>
      </c>
      <c r="E83" s="55" t="s">
        <v>22</v>
      </c>
      <c r="F83" s="12">
        <v>45727</v>
      </c>
      <c r="G83" s="143">
        <v>45783</v>
      </c>
      <c r="H83" s="12" t="s">
        <v>364</v>
      </c>
      <c r="I83" s="42">
        <v>1437.9</v>
      </c>
      <c r="J83" s="1">
        <v>30</v>
      </c>
      <c r="K83" s="2">
        <f>I83/J83</f>
        <v>47.93</v>
      </c>
      <c r="L83" s="1">
        <v>0</v>
      </c>
      <c r="M83" s="1">
        <v>0</v>
      </c>
      <c r="N83" s="1">
        <v>0</v>
      </c>
      <c r="O83" s="1">
        <v>0</v>
      </c>
      <c r="P83" s="192">
        <f>L83+M83+N83+O83</f>
        <v>0</v>
      </c>
      <c r="Q83" s="42">
        <f>K83*50%*L83</f>
        <v>0</v>
      </c>
      <c r="R83" s="42">
        <f>K83*60%*M83</f>
        <v>0</v>
      </c>
      <c r="S83" s="42">
        <f>K83*60%*N83</f>
        <v>0</v>
      </c>
      <c r="T83" s="42">
        <f>K83*75%*O83</f>
        <v>0</v>
      </c>
      <c r="U83" s="42">
        <v>0</v>
      </c>
      <c r="V83" s="42">
        <v>0</v>
      </c>
    </row>
    <row r="84" spans="1:22" x14ac:dyDescent="0.25">
      <c r="A84" s="195">
        <v>1846</v>
      </c>
      <c r="B84" s="9" t="s">
        <v>138</v>
      </c>
      <c r="C84" s="51">
        <v>38120237336</v>
      </c>
      <c r="D84" s="56"/>
      <c r="E84" s="56"/>
      <c r="F84" s="142"/>
      <c r="G84" s="142"/>
      <c r="H84" s="52"/>
      <c r="I84" s="53"/>
      <c r="J84" s="52"/>
      <c r="K84" s="53"/>
      <c r="L84" s="52"/>
      <c r="M84" s="52"/>
      <c r="N84" s="52"/>
      <c r="O84" s="52"/>
      <c r="P84" s="192">
        <f>L84+M84+N84+O84</f>
        <v>0</v>
      </c>
      <c r="Q84" s="10"/>
      <c r="R84" s="10"/>
      <c r="S84" s="10"/>
      <c r="T84" s="10"/>
      <c r="U84" s="11">
        <f>SUM(U83)</f>
        <v>0</v>
      </c>
      <c r="V84" s="10"/>
    </row>
    <row r="85" spans="1:22" x14ac:dyDescent="0.25">
      <c r="A85" s="187">
        <v>1903</v>
      </c>
      <c r="B85" s="44" t="s">
        <v>362</v>
      </c>
      <c r="C85" s="65" t="s">
        <v>363</v>
      </c>
      <c r="D85" s="75" t="s">
        <v>52</v>
      </c>
      <c r="E85" s="55" t="s">
        <v>22</v>
      </c>
      <c r="F85" s="12">
        <v>45762</v>
      </c>
      <c r="G85" s="143">
        <v>45783</v>
      </c>
      <c r="H85" s="12" t="s">
        <v>372</v>
      </c>
      <c r="I85" s="42">
        <v>2182.0500000000002</v>
      </c>
      <c r="J85" s="1">
        <v>30</v>
      </c>
      <c r="K85" s="2">
        <f>I85/J85</f>
        <v>72.734999999999999</v>
      </c>
      <c r="L85" s="1">
        <v>0</v>
      </c>
      <c r="M85" s="1">
        <v>0</v>
      </c>
      <c r="N85" s="1">
        <v>0</v>
      </c>
      <c r="O85" s="1">
        <v>0</v>
      </c>
      <c r="P85" s="192">
        <f>L85+M85+N85+O85</f>
        <v>0</v>
      </c>
      <c r="Q85" s="42">
        <f>K85*50%*L85</f>
        <v>0</v>
      </c>
      <c r="R85" s="42">
        <f>K85*60%*M85</f>
        <v>0</v>
      </c>
      <c r="S85" s="42">
        <f>K85*60%*N85</f>
        <v>0</v>
      </c>
      <c r="T85" s="42">
        <f>K85*75%*O85</f>
        <v>0</v>
      </c>
      <c r="U85" s="42">
        <f>S85+T85</f>
        <v>0</v>
      </c>
      <c r="V85" s="42">
        <f>K85*(M85+O85+L85+N85)*100%</f>
        <v>0</v>
      </c>
    </row>
    <row r="86" spans="1:22" x14ac:dyDescent="0.25">
      <c r="A86" s="195">
        <v>1903</v>
      </c>
      <c r="B86" s="9" t="s">
        <v>143</v>
      </c>
      <c r="C86" s="51"/>
      <c r="D86" s="56"/>
      <c r="E86" s="56"/>
      <c r="F86" s="142"/>
      <c r="G86" s="142"/>
      <c r="H86" s="52"/>
      <c r="I86" s="53"/>
      <c r="J86" s="52"/>
      <c r="K86" s="53"/>
      <c r="L86" s="52"/>
      <c r="M86" s="52"/>
      <c r="N86" s="52"/>
      <c r="O86" s="52"/>
      <c r="P86" s="192">
        <f>L86+M86+N86+O86</f>
        <v>0</v>
      </c>
      <c r="Q86" s="10"/>
      <c r="R86" s="10"/>
      <c r="S86" s="10"/>
      <c r="T86" s="10"/>
      <c r="U86" s="11">
        <f>SUM(U77:U85)</f>
        <v>0</v>
      </c>
      <c r="V86" s="10"/>
    </row>
    <row r="87" spans="1:22" x14ac:dyDescent="0.25">
      <c r="A87" s="90">
        <v>2442</v>
      </c>
      <c r="B87" s="8" t="s">
        <v>82</v>
      </c>
      <c r="C87" s="65" t="s">
        <v>83</v>
      </c>
      <c r="D87" s="55"/>
      <c r="E87" s="55" t="s">
        <v>71</v>
      </c>
      <c r="F87" s="12">
        <v>45385</v>
      </c>
      <c r="G87" s="144">
        <v>45784</v>
      </c>
      <c r="H87" s="146" t="s">
        <v>340</v>
      </c>
      <c r="I87" s="19"/>
      <c r="J87" s="20"/>
      <c r="K87" s="20"/>
      <c r="L87" s="100" t="s">
        <v>91</v>
      </c>
      <c r="M87" s="86"/>
      <c r="N87" s="86"/>
      <c r="O87" s="86"/>
      <c r="P87" s="73"/>
      <c r="Q87" s="73"/>
      <c r="R87" s="73"/>
      <c r="S87" s="73"/>
      <c r="T87" s="73"/>
      <c r="U87" s="86"/>
      <c r="V87" s="74"/>
    </row>
    <row r="88" spans="1:22" x14ac:dyDescent="0.25">
      <c r="A88" s="92">
        <v>2442</v>
      </c>
      <c r="B88" s="21" t="s">
        <v>84</v>
      </c>
      <c r="C88" s="22"/>
      <c r="D88" s="13"/>
      <c r="E88" s="13"/>
      <c r="F88" s="70"/>
      <c r="G88" s="70"/>
      <c r="H88" s="13"/>
      <c r="I88" s="41"/>
      <c r="J88" s="13"/>
      <c r="K88" s="13"/>
      <c r="L88" s="13"/>
      <c r="M88" s="13"/>
      <c r="N88" s="13"/>
      <c r="O88" s="13"/>
      <c r="P88" s="13"/>
      <c r="Q88" s="198"/>
      <c r="R88" s="198"/>
      <c r="S88" s="198"/>
      <c r="T88" s="198"/>
      <c r="U88" s="198">
        <v>0</v>
      </c>
      <c r="V88" s="198"/>
    </row>
    <row r="89" spans="1:22" ht="15.75" thickBot="1" x14ac:dyDescent="0.3">
      <c r="A89" s="87"/>
      <c r="C89" s="23"/>
      <c r="D89" s="58"/>
      <c r="F89" s="23"/>
      <c r="G89" s="23"/>
      <c r="H89" s="23"/>
      <c r="I89" s="72"/>
      <c r="J89" s="23"/>
      <c r="K89" s="23"/>
      <c r="L89" s="23"/>
      <c r="M89" s="23"/>
      <c r="N89" s="23"/>
      <c r="O89" s="23"/>
      <c r="P89" s="23"/>
      <c r="Q89" s="72"/>
      <c r="R89" s="72"/>
      <c r="S89" s="72"/>
      <c r="T89" s="72"/>
      <c r="U89" s="72"/>
      <c r="V89" s="72"/>
    </row>
    <row r="90" spans="1:22" ht="15.75" thickBot="1" x14ac:dyDescent="0.3">
      <c r="A90" s="87"/>
      <c r="C90" s="23"/>
      <c r="D90" s="58"/>
      <c r="E90" s="23"/>
      <c r="F90" s="23"/>
      <c r="G90" s="23"/>
      <c r="H90" s="160" t="s">
        <v>25</v>
      </c>
      <c r="I90" s="161"/>
      <c r="J90" s="101"/>
      <c r="K90" s="102"/>
      <c r="L90" s="103"/>
      <c r="M90" s="104"/>
      <c r="N90" s="38"/>
      <c r="O90" s="38"/>
      <c r="P90" s="105"/>
      <c r="Q90" s="106"/>
      <c r="R90" s="107"/>
      <c r="S90" s="108"/>
      <c r="T90" s="108"/>
      <c r="U90" s="25"/>
      <c r="V90" s="109"/>
    </row>
    <row r="91" spans="1:22" x14ac:dyDescent="0.25">
      <c r="A91" s="93"/>
      <c r="B91" s="46"/>
      <c r="C91" s="46" t="s">
        <v>26</v>
      </c>
      <c r="D91" s="59"/>
      <c r="E91" s="46"/>
      <c r="F91" s="46"/>
      <c r="G91" s="47"/>
      <c r="H91" s="162"/>
      <c r="I91" s="163"/>
      <c r="J91" s="79" t="s">
        <v>27</v>
      </c>
      <c r="K91" s="110"/>
      <c r="L91" s="111"/>
      <c r="M91" s="110"/>
      <c r="N91" s="111"/>
      <c r="O91" s="111"/>
      <c r="P91" s="112"/>
      <c r="Q91" s="113"/>
      <c r="R91" s="110"/>
      <c r="S91" s="113"/>
      <c r="T91" s="114"/>
      <c r="U91" s="45"/>
      <c r="V91" s="115"/>
    </row>
    <row r="92" spans="1:22" x14ac:dyDescent="0.25">
      <c r="A92" s="94"/>
      <c r="B92" s="27"/>
      <c r="C92" s="27" t="s">
        <v>28</v>
      </c>
      <c r="D92" s="60"/>
      <c r="E92" s="28"/>
      <c r="F92" s="27"/>
      <c r="G92" s="48"/>
      <c r="H92" s="164" t="s">
        <v>29</v>
      </c>
      <c r="I92" s="165"/>
      <c r="J92" s="117" t="s">
        <v>30</v>
      </c>
      <c r="K92" s="116"/>
      <c r="L92" s="118"/>
      <c r="M92" s="116"/>
      <c r="N92" s="118"/>
      <c r="O92" s="118"/>
      <c r="P92" s="119"/>
      <c r="Q92" s="120"/>
      <c r="R92" s="116"/>
      <c r="S92" s="120"/>
      <c r="T92" s="121"/>
      <c r="U92" s="29"/>
      <c r="V92" s="122"/>
    </row>
    <row r="93" spans="1:22" ht="15.75" thickBot="1" x14ac:dyDescent="0.3">
      <c r="A93" s="95"/>
      <c r="B93" s="30"/>
      <c r="C93" s="30" t="s">
        <v>31</v>
      </c>
      <c r="D93" s="61"/>
      <c r="E93" s="30"/>
      <c r="F93" s="30"/>
      <c r="G93" s="49"/>
      <c r="H93" s="166"/>
      <c r="I93" s="167"/>
      <c r="J93" s="82" t="s">
        <v>32</v>
      </c>
      <c r="K93" s="123"/>
      <c r="L93" s="124"/>
      <c r="M93" s="123"/>
      <c r="N93" s="124"/>
      <c r="O93" s="124"/>
      <c r="P93" s="125"/>
      <c r="Q93" s="123"/>
      <c r="R93" s="123"/>
      <c r="S93" s="123"/>
      <c r="T93" s="126"/>
      <c r="U93" s="31"/>
      <c r="V93" s="127"/>
    </row>
    <row r="94" spans="1:22" x14ac:dyDescent="0.25">
      <c r="A94" s="156"/>
      <c r="B94" s="157"/>
      <c r="C94" s="157" t="s">
        <v>33</v>
      </c>
      <c r="D94" s="158"/>
      <c r="E94" s="157"/>
      <c r="F94" s="157"/>
      <c r="G94" s="159"/>
      <c r="H94" s="168" t="s">
        <v>34</v>
      </c>
      <c r="I94" s="169"/>
      <c r="J94" s="129"/>
      <c r="K94" s="129"/>
      <c r="L94" s="129"/>
      <c r="M94" s="129"/>
      <c r="N94" s="129"/>
      <c r="O94" s="129"/>
      <c r="P94" s="130"/>
      <c r="Q94" s="128"/>
      <c r="R94" s="128"/>
      <c r="S94" s="128"/>
      <c r="T94" s="131"/>
      <c r="U94" s="32"/>
      <c r="V94" s="132"/>
    </row>
    <row r="95" spans="1:22" ht="15.75" thickBot="1" x14ac:dyDescent="0.3">
      <c r="A95" s="96"/>
      <c r="B95" s="201"/>
      <c r="C95" s="76" t="s">
        <v>35</v>
      </c>
      <c r="D95" s="77"/>
      <c r="E95" s="76"/>
      <c r="F95" s="76"/>
      <c r="G95" s="78"/>
      <c r="H95" s="170" t="s">
        <v>36</v>
      </c>
      <c r="I95" s="171"/>
      <c r="J95" s="134"/>
      <c r="K95" s="134"/>
      <c r="L95" s="134"/>
      <c r="M95" s="134"/>
      <c r="N95" s="134"/>
      <c r="O95" s="134"/>
      <c r="P95" s="135"/>
      <c r="Q95" s="133"/>
      <c r="R95" s="133"/>
      <c r="S95" s="133"/>
      <c r="T95" s="136"/>
      <c r="U95" s="33"/>
      <c r="V95" s="137"/>
    </row>
    <row r="96" spans="1:22" ht="15.75" thickBot="1" x14ac:dyDescent="0.3">
      <c r="A96" s="97"/>
      <c r="B96" s="34"/>
      <c r="C96" s="34" t="s">
        <v>37</v>
      </c>
      <c r="D96" s="62"/>
      <c r="E96" s="34"/>
      <c r="F96" s="34"/>
      <c r="G96" s="50"/>
      <c r="H96" s="172" t="s">
        <v>38</v>
      </c>
      <c r="I96" s="165"/>
      <c r="J96" s="117" t="s">
        <v>30</v>
      </c>
      <c r="K96" s="116"/>
      <c r="L96" s="118"/>
      <c r="M96" s="116"/>
      <c r="N96" s="118"/>
      <c r="O96" s="118"/>
      <c r="P96" s="119"/>
      <c r="Q96" s="120"/>
      <c r="R96" s="116"/>
      <c r="S96" s="120"/>
      <c r="T96" s="121"/>
      <c r="U96" s="29"/>
      <c r="V96" s="122"/>
    </row>
    <row r="97" spans="1:22" ht="15.75" thickBot="1" x14ac:dyDescent="0.3">
      <c r="A97" s="98"/>
      <c r="B97" s="35" t="s">
        <v>39</v>
      </c>
      <c r="C97" s="36"/>
      <c r="D97" s="63"/>
      <c r="E97" s="36"/>
      <c r="F97" s="36"/>
      <c r="G97" s="37"/>
      <c r="H97" s="173"/>
      <c r="I97" s="174"/>
      <c r="J97" s="80" t="s">
        <v>40</v>
      </c>
      <c r="K97" s="104"/>
      <c r="L97" s="103"/>
      <c r="M97" s="104"/>
      <c r="N97" s="103"/>
      <c r="O97" s="103"/>
      <c r="P97" s="138"/>
      <c r="Q97" s="104"/>
      <c r="R97" s="104"/>
      <c r="S97" s="104"/>
      <c r="T97" s="139"/>
      <c r="U97" s="26"/>
      <c r="V97" s="140"/>
    </row>
    <row r="98" spans="1:22" ht="15.75" thickBot="1" x14ac:dyDescent="0.3">
      <c r="A98" s="148"/>
      <c r="B98" s="152" t="s">
        <v>57</v>
      </c>
      <c r="C98" s="149"/>
      <c r="D98" s="150"/>
      <c r="E98" s="149"/>
      <c r="F98" s="149"/>
      <c r="G98" s="151"/>
      <c r="H98" s="173"/>
      <c r="I98" s="174"/>
      <c r="J98" s="80" t="s">
        <v>41</v>
      </c>
      <c r="K98" s="104"/>
      <c r="L98" s="103"/>
      <c r="M98" s="104"/>
      <c r="N98" s="103"/>
      <c r="O98" s="103"/>
      <c r="P98" s="138"/>
      <c r="Q98" s="104"/>
      <c r="R98" s="104"/>
      <c r="S98" s="104"/>
      <c r="T98" s="139"/>
      <c r="U98" s="26"/>
      <c r="V98" s="140"/>
    </row>
    <row r="99" spans="1:22" ht="15.75" thickBot="1" x14ac:dyDescent="0.3">
      <c r="A99" s="290" t="s">
        <v>123</v>
      </c>
      <c r="B99" s="291"/>
      <c r="C99" s="291"/>
      <c r="D99" s="291"/>
      <c r="E99" s="291"/>
      <c r="F99" s="291"/>
      <c r="G99" s="292"/>
      <c r="H99" s="166"/>
      <c r="I99" s="167"/>
      <c r="J99" s="82" t="s">
        <v>42</v>
      </c>
      <c r="K99" s="123"/>
      <c r="L99" s="124"/>
      <c r="M99" s="123"/>
      <c r="N99" s="124"/>
      <c r="O99" s="124"/>
      <c r="P99" s="125"/>
      <c r="Q99" s="123"/>
      <c r="R99" s="123"/>
      <c r="S99" s="123"/>
      <c r="T99" s="126"/>
      <c r="U99" s="31"/>
      <c r="V99" s="127"/>
    </row>
    <row r="100" spans="1:22" x14ac:dyDescent="0.25">
      <c r="A100" s="87"/>
      <c r="C100" s="23"/>
      <c r="D100" s="58"/>
      <c r="E100" s="23"/>
      <c r="F100" s="23"/>
      <c r="G100" s="23"/>
      <c r="H100" s="172" t="s">
        <v>43</v>
      </c>
      <c r="I100" s="165"/>
      <c r="J100" s="117" t="s">
        <v>44</v>
      </c>
      <c r="K100" s="116"/>
      <c r="L100" s="118"/>
      <c r="M100" s="116"/>
      <c r="N100" s="118"/>
      <c r="O100" s="118"/>
      <c r="P100" s="119"/>
      <c r="Q100" s="120"/>
      <c r="R100" s="116"/>
      <c r="S100" s="120"/>
      <c r="T100" s="121"/>
      <c r="U100" s="29"/>
      <c r="V100" s="122"/>
    </row>
    <row r="101" spans="1:22" x14ac:dyDescent="0.25">
      <c r="A101" s="99"/>
      <c r="B101" s="38"/>
      <c r="C101" s="39"/>
      <c r="D101" s="64"/>
      <c r="E101" s="24"/>
      <c r="F101" s="71"/>
      <c r="G101" s="71"/>
      <c r="H101" s="173"/>
      <c r="I101" s="174"/>
      <c r="J101" s="80" t="s">
        <v>45</v>
      </c>
      <c r="K101" s="104"/>
      <c r="L101" s="103"/>
      <c r="M101" s="104"/>
      <c r="N101" s="103"/>
      <c r="O101" s="103"/>
      <c r="P101" s="138"/>
      <c r="Q101" s="104"/>
      <c r="R101" s="104"/>
      <c r="S101" s="104"/>
      <c r="T101" s="139"/>
      <c r="U101" s="26"/>
      <c r="V101" s="140"/>
    </row>
    <row r="102" spans="1:22" x14ac:dyDescent="0.25">
      <c r="A102" s="87"/>
      <c r="C102" s="23"/>
      <c r="D102" s="58"/>
      <c r="E102" s="23"/>
      <c r="F102" s="23"/>
      <c r="G102" s="23"/>
      <c r="H102" s="173"/>
      <c r="I102" s="174"/>
      <c r="J102" s="80" t="s">
        <v>46</v>
      </c>
      <c r="K102" s="104"/>
      <c r="L102" s="103"/>
      <c r="M102" s="104"/>
      <c r="N102" s="103"/>
      <c r="O102" s="103"/>
      <c r="P102" s="138"/>
      <c r="Q102" s="104"/>
      <c r="R102" s="104"/>
      <c r="S102" s="104"/>
      <c r="T102" s="139"/>
      <c r="U102" s="26"/>
      <c r="V102" s="140"/>
    </row>
    <row r="103" spans="1:22" ht="15.75" thickBot="1" x14ac:dyDescent="0.3">
      <c r="A103" s="87"/>
      <c r="C103" s="23"/>
      <c r="D103" s="58"/>
      <c r="E103" s="23"/>
      <c r="F103" s="23"/>
      <c r="G103" s="23"/>
      <c r="H103" s="175"/>
      <c r="I103" s="176"/>
      <c r="J103" s="82" t="s">
        <v>47</v>
      </c>
      <c r="K103" s="123"/>
      <c r="L103" s="124"/>
      <c r="M103" s="123"/>
      <c r="N103" s="124"/>
      <c r="O103" s="124"/>
      <c r="P103" s="125"/>
      <c r="Q103" s="123"/>
      <c r="R103" s="123"/>
      <c r="S103" s="123"/>
      <c r="T103" s="126"/>
      <c r="U103" s="31"/>
      <c r="V103" s="127"/>
    </row>
  </sheetData>
  <mergeCells count="2">
    <mergeCell ref="A99:G99"/>
    <mergeCell ref="I70:K70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"/>
  <sheetViews>
    <sheetView topLeftCell="A19" zoomScaleNormal="100" workbookViewId="0">
      <selection activeCell="A48" sqref="A48:B48"/>
    </sheetView>
  </sheetViews>
  <sheetFormatPr baseColWidth="10" defaultRowHeight="15" x14ac:dyDescent="0.25"/>
  <cols>
    <col min="1" max="1" width="4.140625" customWidth="1"/>
    <col min="2" max="2" width="22.85546875" customWidth="1"/>
    <col min="3" max="3" width="11.42578125" customWidth="1"/>
    <col min="4" max="4" width="3.5703125" style="23" customWidth="1"/>
    <col min="5" max="5" width="2.85546875" customWidth="1"/>
    <col min="6" max="7" width="8.85546875" customWidth="1"/>
    <col min="8" max="8" width="10.42578125" customWidth="1"/>
    <col min="9" max="9" width="7.14062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1" width="7.5703125" customWidth="1"/>
    <col min="22" max="22" width="6.140625" customWidth="1"/>
  </cols>
  <sheetData>
    <row r="1" spans="1:22" x14ac:dyDescent="0.25">
      <c r="A1" s="87"/>
      <c r="B1" s="81" t="s">
        <v>379</v>
      </c>
      <c r="C1" s="4">
        <v>45810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2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2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2" ht="14.1" customHeight="1" x14ac:dyDescent="0.25">
      <c r="A4" s="89">
        <v>8</v>
      </c>
      <c r="B4" s="68" t="s">
        <v>421</v>
      </c>
      <c r="C4" s="226" t="s">
        <v>422</v>
      </c>
      <c r="D4" s="227" t="s">
        <v>52</v>
      </c>
      <c r="E4" s="205" t="s">
        <v>22</v>
      </c>
      <c r="F4" s="141">
        <v>45796</v>
      </c>
      <c r="G4" s="228"/>
      <c r="H4" s="147"/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88</v>
      </c>
      <c r="R4" s="68"/>
      <c r="S4" s="68"/>
      <c r="T4" s="68"/>
      <c r="U4" s="85"/>
      <c r="V4" s="68"/>
    </row>
    <row r="5" spans="1:22" s="185" customFormat="1" ht="15" customHeight="1" x14ac:dyDescent="0.25">
      <c r="A5" s="193" t="s">
        <v>423</v>
      </c>
      <c r="B5" s="177"/>
      <c r="C5" s="178"/>
      <c r="D5" s="179"/>
      <c r="E5" s="180"/>
      <c r="F5" s="194"/>
      <c r="G5" s="181"/>
      <c r="H5" s="194"/>
      <c r="I5" s="182"/>
      <c r="J5" s="183"/>
      <c r="K5" s="184"/>
      <c r="L5" s="183"/>
      <c r="M5" s="183"/>
      <c r="N5" s="183"/>
      <c r="O5" s="183"/>
      <c r="P5" s="192">
        <f>L5+M5+N5+O5</f>
        <v>0</v>
      </c>
      <c r="Q5" s="182"/>
      <c r="R5" s="182"/>
      <c r="S5" s="182"/>
      <c r="T5" s="182"/>
      <c r="U5" s="182"/>
      <c r="V5" s="182"/>
    </row>
    <row r="6" spans="1:22" ht="14.1" customHeight="1" x14ac:dyDescent="0.25">
      <c r="A6" s="187">
        <v>13</v>
      </c>
      <c r="B6" s="44" t="s">
        <v>390</v>
      </c>
      <c r="C6" s="65" t="s">
        <v>391</v>
      </c>
      <c r="D6" s="75" t="s">
        <v>52</v>
      </c>
      <c r="E6" s="55" t="s">
        <v>22</v>
      </c>
      <c r="F6" s="12">
        <v>45784</v>
      </c>
      <c r="G6" s="143"/>
      <c r="H6" s="203">
        <v>45798</v>
      </c>
      <c r="I6" s="42">
        <v>1657.78</v>
      </c>
      <c r="J6" s="1">
        <v>30</v>
      </c>
      <c r="K6" s="2">
        <f>I6/J6</f>
        <v>55.259333333333331</v>
      </c>
      <c r="L6" s="1">
        <v>3</v>
      </c>
      <c r="M6" s="1">
        <v>12</v>
      </c>
      <c r="N6" s="1">
        <v>0</v>
      </c>
      <c r="O6" s="1">
        <v>0</v>
      </c>
      <c r="P6" s="192">
        <f>L6+M6+N6+O6</f>
        <v>15</v>
      </c>
      <c r="Q6" s="42">
        <f>K6*50%*L6</f>
        <v>82.888999999999996</v>
      </c>
      <c r="R6" s="42">
        <f>K6*60%*M6</f>
        <v>397.86720000000003</v>
      </c>
      <c r="S6" s="42">
        <f>K6*60%*N6</f>
        <v>0</v>
      </c>
      <c r="T6" s="42">
        <f>K6*75%*O6</f>
        <v>0</v>
      </c>
      <c r="U6" s="42">
        <f>S6+T6</f>
        <v>0</v>
      </c>
      <c r="V6" s="42">
        <f>K6*(M6+O6+L6+N6)*100%</f>
        <v>828.89</v>
      </c>
    </row>
    <row r="7" spans="1:22" ht="14.1" customHeight="1" x14ac:dyDescent="0.25">
      <c r="A7" s="187">
        <v>8</v>
      </c>
      <c r="B7" s="44" t="s">
        <v>403</v>
      </c>
      <c r="C7" s="65" t="s">
        <v>404</v>
      </c>
      <c r="D7" s="75" t="s">
        <v>405</v>
      </c>
      <c r="E7" s="55" t="s">
        <v>22</v>
      </c>
      <c r="F7" s="12">
        <v>45790</v>
      </c>
      <c r="G7" s="143"/>
      <c r="H7" s="203">
        <v>45800</v>
      </c>
      <c r="I7" s="42">
        <v>4355.4799999999996</v>
      </c>
      <c r="J7" s="1">
        <v>90</v>
      </c>
      <c r="K7" s="2">
        <f>I7/J7</f>
        <v>48.394222222222218</v>
      </c>
      <c r="L7" s="1">
        <v>3</v>
      </c>
      <c r="M7" s="1">
        <v>8</v>
      </c>
      <c r="N7" s="1">
        <v>0</v>
      </c>
      <c r="O7" s="1">
        <v>0</v>
      </c>
      <c r="P7" s="192">
        <f t="shared" ref="P7:P16" si="0">L7+M7+N7+O7</f>
        <v>11</v>
      </c>
      <c r="Q7" s="42">
        <f>K7*50%*L7</f>
        <v>72.591333333333324</v>
      </c>
      <c r="R7" s="42">
        <f>K7*60%*M7</f>
        <v>232.29226666666665</v>
      </c>
      <c r="S7" s="42">
        <f>K7*60%*N7</f>
        <v>0</v>
      </c>
      <c r="T7" s="42">
        <f>K7*75%*O7</f>
        <v>0</v>
      </c>
      <c r="U7" s="42">
        <f>S7+T7</f>
        <v>0</v>
      </c>
      <c r="V7" s="42">
        <f>K7*(M7+O7+L7+N7)*100%</f>
        <v>532.3364444444444</v>
      </c>
    </row>
    <row r="8" spans="1:22" x14ac:dyDescent="0.25">
      <c r="A8" s="195">
        <v>8</v>
      </c>
      <c r="B8" s="9" t="s">
        <v>55</v>
      </c>
      <c r="C8" s="51"/>
      <c r="D8" s="56"/>
      <c r="E8" s="56"/>
      <c r="F8" s="142"/>
      <c r="G8" s="142"/>
      <c r="H8" s="52"/>
      <c r="I8" s="53"/>
      <c r="J8" s="52"/>
      <c r="K8" s="53"/>
      <c r="L8" s="52"/>
      <c r="M8" s="52"/>
      <c r="N8" s="52"/>
      <c r="O8" s="52"/>
      <c r="P8" s="192">
        <f t="shared" si="0"/>
        <v>0</v>
      </c>
      <c r="Q8" s="10"/>
      <c r="R8" s="10"/>
      <c r="S8" s="10"/>
      <c r="T8" s="10"/>
      <c r="U8" s="11">
        <f>SUM(U1:U7)</f>
        <v>0</v>
      </c>
      <c r="V8" s="10"/>
    </row>
    <row r="9" spans="1:22" x14ac:dyDescent="0.25">
      <c r="A9" s="187">
        <v>28</v>
      </c>
      <c r="B9" s="44" t="s">
        <v>397</v>
      </c>
      <c r="C9" s="65" t="s">
        <v>398</v>
      </c>
      <c r="D9" s="75" t="s">
        <v>399</v>
      </c>
      <c r="E9" s="55" t="s">
        <v>22</v>
      </c>
      <c r="F9" s="12">
        <v>45788</v>
      </c>
      <c r="G9" s="143"/>
      <c r="H9" s="203">
        <v>45796</v>
      </c>
      <c r="I9" s="42">
        <v>1477.48</v>
      </c>
      <c r="J9" s="1">
        <v>30</v>
      </c>
      <c r="K9" s="2">
        <f>I9/J9</f>
        <v>49.249333333333333</v>
      </c>
      <c r="L9" s="1">
        <v>3</v>
      </c>
      <c r="M9" s="1">
        <v>6</v>
      </c>
      <c r="N9" s="1">
        <v>0</v>
      </c>
      <c r="O9" s="1">
        <v>0</v>
      </c>
      <c r="P9" s="192">
        <f>L9+M9+N9+O9</f>
        <v>9</v>
      </c>
      <c r="Q9" s="42">
        <f>K9*50%*L9</f>
        <v>73.873999999999995</v>
      </c>
      <c r="R9" s="42">
        <f>K9*60%*M9</f>
        <v>177.29759999999999</v>
      </c>
      <c r="S9" s="42">
        <f>K9*60%*N9</f>
        <v>0</v>
      </c>
      <c r="T9" s="42">
        <f>K9*75%*O9</f>
        <v>0</v>
      </c>
      <c r="U9" s="42">
        <f>S9+T9</f>
        <v>0</v>
      </c>
      <c r="V9" s="42">
        <f>K9*(M9+O9+L9+N9)*100%</f>
        <v>443.24399999999997</v>
      </c>
    </row>
    <row r="10" spans="1:22" x14ac:dyDescent="0.25">
      <c r="A10" s="195">
        <v>28</v>
      </c>
      <c r="B10" s="9" t="s">
        <v>396</v>
      </c>
      <c r="C10" s="51"/>
      <c r="D10" s="56"/>
      <c r="E10" s="56"/>
      <c r="F10" s="142"/>
      <c r="G10" s="142"/>
      <c r="H10" s="52"/>
      <c r="I10" s="53"/>
      <c r="J10" s="52"/>
      <c r="K10" s="53"/>
      <c r="L10" s="52"/>
      <c r="M10" s="52"/>
      <c r="N10" s="52"/>
      <c r="O10" s="52"/>
      <c r="P10" s="192">
        <f>L10+M10+N10+O10</f>
        <v>0</v>
      </c>
      <c r="Q10" s="10"/>
      <c r="R10" s="10"/>
      <c r="S10" s="10"/>
      <c r="T10" s="10"/>
      <c r="U10" s="11">
        <f>SUM(U3:U9)</f>
        <v>0</v>
      </c>
      <c r="V10" s="10"/>
    </row>
    <row r="11" spans="1:22" ht="14.25" customHeight="1" x14ac:dyDescent="0.25">
      <c r="A11" s="90">
        <v>171</v>
      </c>
      <c r="B11" s="8" t="s">
        <v>418</v>
      </c>
      <c r="C11" s="65" t="s">
        <v>419</v>
      </c>
      <c r="D11" s="75" t="s">
        <v>52</v>
      </c>
      <c r="E11" s="55" t="s">
        <v>22</v>
      </c>
      <c r="F11" s="12">
        <v>45797</v>
      </c>
      <c r="G11" s="143"/>
      <c r="H11" s="203">
        <v>45800</v>
      </c>
      <c r="I11" s="42">
        <v>1537.51</v>
      </c>
      <c r="J11" s="1">
        <v>30</v>
      </c>
      <c r="K11" s="2">
        <f>I11/J11</f>
        <v>51.25033333333333</v>
      </c>
      <c r="L11" s="1">
        <v>3</v>
      </c>
      <c r="M11" s="1">
        <v>1</v>
      </c>
      <c r="N11" s="1">
        <v>0</v>
      </c>
      <c r="O11" s="1">
        <v>0</v>
      </c>
      <c r="P11" s="192">
        <f t="shared" si="0"/>
        <v>4</v>
      </c>
      <c r="Q11" s="42">
        <f>K11*50%*L11</f>
        <v>76.875499999999988</v>
      </c>
      <c r="R11" s="42">
        <f>K11*60%*M11</f>
        <v>30.750199999999996</v>
      </c>
      <c r="S11" s="42">
        <f>K11*60%*N11</f>
        <v>0</v>
      </c>
      <c r="T11" s="42">
        <f>K11*75%*O11</f>
        <v>0</v>
      </c>
      <c r="U11" s="42">
        <f>S11+T11</f>
        <v>0</v>
      </c>
      <c r="V11" s="42">
        <f>K11*(M11+O11+L11+N11)*100%</f>
        <v>205.00133333333332</v>
      </c>
    </row>
    <row r="12" spans="1:22" ht="14.25" customHeight="1" x14ac:dyDescent="0.25">
      <c r="A12" s="90">
        <v>171</v>
      </c>
      <c r="B12" s="8" t="s">
        <v>350</v>
      </c>
      <c r="C12" s="65" t="s">
        <v>351</v>
      </c>
      <c r="D12" s="75" t="s">
        <v>52</v>
      </c>
      <c r="E12" s="55" t="s">
        <v>22</v>
      </c>
      <c r="F12" s="12">
        <v>45754</v>
      </c>
      <c r="G12" s="143"/>
      <c r="H12" s="203">
        <v>45782</v>
      </c>
      <c r="I12" s="42">
        <v>1812.81</v>
      </c>
      <c r="J12" s="1">
        <v>30</v>
      </c>
      <c r="K12" s="2">
        <f>I12/J12</f>
        <v>60.427</v>
      </c>
      <c r="L12" s="1">
        <v>0</v>
      </c>
      <c r="M12" s="1">
        <v>0</v>
      </c>
      <c r="N12" s="1">
        <v>0</v>
      </c>
      <c r="O12" s="1">
        <v>5</v>
      </c>
      <c r="P12" s="192">
        <f t="shared" si="0"/>
        <v>5</v>
      </c>
      <c r="Q12" s="42">
        <f>K12*50%*L12</f>
        <v>0</v>
      </c>
      <c r="R12" s="42">
        <f>K12*60%*M12</f>
        <v>0</v>
      </c>
      <c r="S12" s="42">
        <f>K12*60%*N12</f>
        <v>0</v>
      </c>
      <c r="T12" s="42">
        <f>K12*75%*O12</f>
        <v>226.60124999999999</v>
      </c>
      <c r="U12" s="42">
        <f>S12+T12</f>
        <v>226.60124999999999</v>
      </c>
      <c r="V12" s="42">
        <f>K12*(M12+O12+L12+N12)*100%</f>
        <v>302.13499999999999</v>
      </c>
    </row>
    <row r="13" spans="1:22" s="185" customFormat="1" ht="15" customHeight="1" x14ac:dyDescent="0.25">
      <c r="A13" s="193" t="s">
        <v>411</v>
      </c>
      <c r="B13" s="177"/>
      <c r="C13" s="178"/>
      <c r="D13" s="179"/>
      <c r="E13" s="180"/>
      <c r="F13" s="194"/>
      <c r="G13" s="181"/>
      <c r="H13" s="194" t="s">
        <v>389</v>
      </c>
      <c r="I13" s="182"/>
      <c r="J13" s="183"/>
      <c r="K13" s="184"/>
      <c r="L13" s="183"/>
      <c r="M13" s="183"/>
      <c r="N13" s="183"/>
      <c r="O13" s="183"/>
      <c r="P13" s="192">
        <f t="shared" si="0"/>
        <v>0</v>
      </c>
      <c r="Q13" s="182"/>
      <c r="R13" s="182"/>
      <c r="S13" s="182"/>
      <c r="T13" s="182"/>
      <c r="U13" s="182"/>
      <c r="V13" s="182"/>
    </row>
    <row r="14" spans="1:22" x14ac:dyDescent="0.25">
      <c r="A14" s="195">
        <v>171</v>
      </c>
      <c r="B14" s="9" t="s">
        <v>349</v>
      </c>
      <c r="C14" s="51">
        <v>38102133702</v>
      </c>
      <c r="D14" s="56"/>
      <c r="E14" s="56"/>
      <c r="F14" s="142"/>
      <c r="G14" s="142"/>
      <c r="H14" s="52"/>
      <c r="I14" s="53"/>
      <c r="J14" s="52"/>
      <c r="K14" s="53"/>
      <c r="L14" s="52"/>
      <c r="M14" s="52"/>
      <c r="N14" s="52"/>
      <c r="O14" s="52"/>
      <c r="P14" s="192">
        <f t="shared" si="0"/>
        <v>0</v>
      </c>
      <c r="Q14" s="10"/>
      <c r="R14" s="10"/>
      <c r="S14" s="10"/>
      <c r="T14" s="10"/>
      <c r="U14" s="11">
        <f>SUM(U12)</f>
        <v>226.60124999999999</v>
      </c>
      <c r="V14" s="10"/>
    </row>
    <row r="15" spans="1:22" x14ac:dyDescent="0.25">
      <c r="A15" s="90">
        <v>717</v>
      </c>
      <c r="B15" s="8" t="s">
        <v>76</v>
      </c>
      <c r="C15" s="65" t="s">
        <v>107</v>
      </c>
      <c r="D15" s="75" t="s">
        <v>52</v>
      </c>
      <c r="E15" s="55" t="s">
        <v>22</v>
      </c>
      <c r="F15" s="12">
        <v>45504</v>
      </c>
      <c r="G15" s="143"/>
      <c r="H15" s="203">
        <v>45784</v>
      </c>
      <c r="I15" s="42">
        <v>1506.38</v>
      </c>
      <c r="J15" s="1">
        <v>30</v>
      </c>
      <c r="K15" s="2">
        <f>I15/J15</f>
        <v>50.212666666666671</v>
      </c>
      <c r="L15" s="1">
        <v>0</v>
      </c>
      <c r="M15" s="1">
        <v>0</v>
      </c>
      <c r="N15" s="1">
        <v>0</v>
      </c>
      <c r="O15" s="1">
        <v>7</v>
      </c>
      <c r="P15" s="192">
        <f t="shared" si="0"/>
        <v>7</v>
      </c>
      <c r="Q15" s="42">
        <f>K15*50%*L15</f>
        <v>0</v>
      </c>
      <c r="R15" s="42">
        <f>K15*60%*M15</f>
        <v>0</v>
      </c>
      <c r="S15" s="42">
        <f>K15*60%*N15</f>
        <v>0</v>
      </c>
      <c r="T15" s="42">
        <f>K15*75%*O15</f>
        <v>263.61650000000003</v>
      </c>
      <c r="U15" s="42">
        <f>S15+T15</f>
        <v>263.61650000000003</v>
      </c>
      <c r="V15" s="42">
        <f>K15*(M15+O15+L15+N15)*100%</f>
        <v>351.48866666666669</v>
      </c>
    </row>
    <row r="16" spans="1:22" s="185" customFormat="1" ht="15" customHeight="1" x14ac:dyDescent="0.25">
      <c r="A16" s="193" t="s">
        <v>412</v>
      </c>
      <c r="B16" s="177"/>
      <c r="C16" s="178"/>
      <c r="D16" s="179"/>
      <c r="E16" s="180"/>
      <c r="F16" s="194"/>
      <c r="G16" s="181"/>
      <c r="H16" s="194" t="s">
        <v>392</v>
      </c>
      <c r="I16" s="182"/>
      <c r="J16" s="183"/>
      <c r="K16" s="184"/>
      <c r="L16" s="183"/>
      <c r="M16" s="183"/>
      <c r="N16" s="183"/>
      <c r="O16" s="183"/>
      <c r="P16" s="192">
        <f t="shared" si="0"/>
        <v>0</v>
      </c>
      <c r="Q16" s="182"/>
      <c r="R16" s="182"/>
      <c r="S16" s="182"/>
      <c r="T16" s="182"/>
      <c r="U16" s="182"/>
      <c r="V16" s="182"/>
    </row>
    <row r="17" spans="1:22" ht="14.1" customHeight="1" x14ac:dyDescent="0.25">
      <c r="A17" s="89">
        <v>717</v>
      </c>
      <c r="B17" s="68" t="s">
        <v>122</v>
      </c>
      <c r="C17" s="226" t="s">
        <v>56</v>
      </c>
      <c r="D17" s="227" t="s">
        <v>52</v>
      </c>
      <c r="E17" s="205" t="s">
        <v>22</v>
      </c>
      <c r="F17" s="141">
        <v>45767</v>
      </c>
      <c r="G17" s="228"/>
      <c r="H17" s="147">
        <v>45878</v>
      </c>
      <c r="I17" s="229"/>
      <c r="J17" s="85"/>
      <c r="K17" s="230"/>
      <c r="L17" s="85"/>
      <c r="M17" s="85"/>
      <c r="N17" s="85"/>
      <c r="O17" s="85"/>
      <c r="P17" s="192"/>
      <c r="Q17" s="83" t="s">
        <v>92</v>
      </c>
      <c r="R17" s="68"/>
      <c r="S17" s="68"/>
      <c r="T17" s="68"/>
      <c r="U17" s="85"/>
      <c r="V17" s="68"/>
    </row>
    <row r="18" spans="1:22" ht="14.1" customHeight="1" x14ac:dyDescent="0.25">
      <c r="A18" s="89">
        <v>717</v>
      </c>
      <c r="B18" s="68" t="s">
        <v>122</v>
      </c>
      <c r="C18" s="226" t="s">
        <v>56</v>
      </c>
      <c r="D18" s="227" t="s">
        <v>52</v>
      </c>
      <c r="E18" s="205" t="s">
        <v>22</v>
      </c>
      <c r="F18" s="141">
        <v>45879</v>
      </c>
      <c r="G18" s="228"/>
      <c r="H18" s="147">
        <v>45900</v>
      </c>
      <c r="I18" s="229"/>
      <c r="J18" s="85"/>
      <c r="K18" s="230"/>
      <c r="L18" s="85"/>
      <c r="M18" s="85"/>
      <c r="N18" s="85"/>
      <c r="O18" s="85"/>
      <c r="P18" s="192"/>
      <c r="Q18" s="83" t="s">
        <v>72</v>
      </c>
      <c r="R18" s="68"/>
      <c r="S18" s="68"/>
      <c r="T18" s="68"/>
      <c r="U18" s="85"/>
      <c r="V18" s="68"/>
    </row>
    <row r="19" spans="1:22" ht="14.1" customHeight="1" x14ac:dyDescent="0.25">
      <c r="A19" s="193" t="s">
        <v>417</v>
      </c>
      <c r="B19" s="177"/>
      <c r="C19" s="178"/>
      <c r="D19" s="179"/>
      <c r="E19" s="180"/>
      <c r="F19" s="194"/>
      <c r="G19" s="181"/>
      <c r="H19" s="194"/>
      <c r="I19" s="182"/>
      <c r="J19" s="183"/>
      <c r="K19" s="184"/>
      <c r="L19" s="183"/>
      <c r="M19" s="183"/>
      <c r="N19" s="183"/>
      <c r="O19" s="183"/>
      <c r="P19" s="192"/>
      <c r="Q19" s="182"/>
      <c r="R19" s="182"/>
      <c r="S19" s="182"/>
      <c r="T19" s="182"/>
      <c r="U19" s="182"/>
      <c r="V19" s="182"/>
    </row>
    <row r="20" spans="1:22" x14ac:dyDescent="0.25">
      <c r="A20" s="195">
        <v>717</v>
      </c>
      <c r="B20" s="9" t="s">
        <v>49</v>
      </c>
      <c r="C20" s="51"/>
      <c r="D20" s="56"/>
      <c r="E20" s="56"/>
      <c r="F20" s="142"/>
      <c r="G20" s="142"/>
      <c r="H20" s="52"/>
      <c r="I20" s="53"/>
      <c r="J20" s="52"/>
      <c r="K20" s="53"/>
      <c r="L20" s="52"/>
      <c r="M20" s="52"/>
      <c r="N20" s="52"/>
      <c r="O20" s="52"/>
      <c r="P20" s="192">
        <f>L20+M20+N20+O20</f>
        <v>0</v>
      </c>
      <c r="Q20" s="10"/>
      <c r="R20" s="10"/>
      <c r="S20" s="10"/>
      <c r="T20" s="10"/>
      <c r="U20" s="11">
        <f>SUM(U15:U17)</f>
        <v>263.61650000000003</v>
      </c>
      <c r="V20" s="10"/>
    </row>
    <row r="21" spans="1:22" ht="14.25" customHeight="1" x14ac:dyDescent="0.25">
      <c r="A21" s="90">
        <v>1378</v>
      </c>
      <c r="B21" s="8" t="s">
        <v>64</v>
      </c>
      <c r="C21" s="65" t="s">
        <v>65</v>
      </c>
      <c r="D21" s="75" t="s">
        <v>52</v>
      </c>
      <c r="E21" s="55" t="s">
        <v>22</v>
      </c>
      <c r="F21" s="12">
        <v>45299</v>
      </c>
      <c r="G21" s="143"/>
      <c r="H21" s="203"/>
      <c r="I21" s="186">
        <v>1260</v>
      </c>
      <c r="J21" s="1">
        <v>30</v>
      </c>
      <c r="K21" s="2">
        <f t="shared" ref="K21:K27" si="1">I21/J21</f>
        <v>42</v>
      </c>
      <c r="L21" s="1">
        <v>0</v>
      </c>
      <c r="M21" s="1">
        <v>0</v>
      </c>
      <c r="N21" s="1">
        <v>0</v>
      </c>
      <c r="O21" s="1">
        <v>31</v>
      </c>
      <c r="P21" s="192">
        <f t="shared" ref="P21:P36" si="2">L21+M21+N21+O21</f>
        <v>31</v>
      </c>
      <c r="Q21" s="42">
        <f t="shared" ref="Q21:Q27" si="3">K21*50%*L21</f>
        <v>0</v>
      </c>
      <c r="R21" s="42">
        <f t="shared" ref="R21:R27" si="4">K21*60%*M21</f>
        <v>0</v>
      </c>
      <c r="S21" s="42">
        <f t="shared" ref="S21:S27" si="5">K21*60%*N21</f>
        <v>0</v>
      </c>
      <c r="T21" s="42">
        <f t="shared" ref="T21:T27" si="6">K21*75%*O21</f>
        <v>976.5</v>
      </c>
      <c r="U21" s="42">
        <v>882</v>
      </c>
      <c r="V21" s="42">
        <f t="shared" ref="V21:V27" si="7">K21*(M21+O21+L21+N21)*100%</f>
        <v>1302</v>
      </c>
    </row>
    <row r="22" spans="1:22" x14ac:dyDescent="0.25">
      <c r="A22" s="90">
        <v>1378</v>
      </c>
      <c r="B22" s="8" t="s">
        <v>226</v>
      </c>
      <c r="C22" s="65" t="s">
        <v>227</v>
      </c>
      <c r="D22" s="75" t="s">
        <v>52</v>
      </c>
      <c r="E22" s="55" t="s">
        <v>22</v>
      </c>
      <c r="F22" s="12">
        <v>45698</v>
      </c>
      <c r="G22" s="143">
        <v>45824</v>
      </c>
      <c r="H22" s="12" t="s">
        <v>439</v>
      </c>
      <c r="I22" s="208">
        <v>1381.5</v>
      </c>
      <c r="J22" s="1">
        <v>30</v>
      </c>
      <c r="K22" s="2">
        <f t="shared" si="1"/>
        <v>46.05</v>
      </c>
      <c r="L22" s="1">
        <v>0</v>
      </c>
      <c r="M22" s="1">
        <v>0</v>
      </c>
      <c r="N22" s="1">
        <v>0</v>
      </c>
      <c r="O22" s="1">
        <v>31</v>
      </c>
      <c r="P22" s="192">
        <f>L22+M22+N22+O22</f>
        <v>31</v>
      </c>
      <c r="Q22" s="42">
        <f t="shared" si="3"/>
        <v>0</v>
      </c>
      <c r="R22" s="42">
        <f t="shared" si="4"/>
        <v>0</v>
      </c>
      <c r="S22" s="42">
        <f t="shared" si="5"/>
        <v>0</v>
      </c>
      <c r="T22" s="42">
        <f t="shared" si="6"/>
        <v>1070.6624999999999</v>
      </c>
      <c r="U22" s="42">
        <f t="shared" ref="U22:U27" si="8">S22+T22</f>
        <v>1070.6624999999999</v>
      </c>
      <c r="V22" s="42">
        <f t="shared" si="7"/>
        <v>1427.55</v>
      </c>
    </row>
    <row r="23" spans="1:22" x14ac:dyDescent="0.25">
      <c r="A23" s="90">
        <v>1378</v>
      </c>
      <c r="B23" s="8" t="s">
        <v>69</v>
      </c>
      <c r="C23" s="65" t="s">
        <v>70</v>
      </c>
      <c r="D23" s="75" t="s">
        <v>50</v>
      </c>
      <c r="E23" s="55" t="s">
        <v>22</v>
      </c>
      <c r="F23" s="12">
        <v>45768</v>
      </c>
      <c r="G23" s="143">
        <v>45817</v>
      </c>
      <c r="H23" s="12" t="s">
        <v>438</v>
      </c>
      <c r="I23" s="208">
        <v>1381.23</v>
      </c>
      <c r="J23" s="1">
        <v>30</v>
      </c>
      <c r="K23" s="2">
        <f>I23/J23</f>
        <v>46.041000000000004</v>
      </c>
      <c r="L23" s="1">
        <v>0</v>
      </c>
      <c r="M23" s="1">
        <v>5</v>
      </c>
      <c r="N23" s="1">
        <v>5</v>
      </c>
      <c r="O23" s="1">
        <v>21</v>
      </c>
      <c r="P23" s="192">
        <f>L23+M23+N23+O23</f>
        <v>31</v>
      </c>
      <c r="Q23" s="42">
        <f>K23*50%*L23</f>
        <v>0</v>
      </c>
      <c r="R23" s="42">
        <f>K23*60%*M23</f>
        <v>138.12299999999999</v>
      </c>
      <c r="S23" s="42">
        <f>K23*60%*N23</f>
        <v>138.12299999999999</v>
      </c>
      <c r="T23" s="42">
        <f>K23*75%*O23</f>
        <v>725.14575000000013</v>
      </c>
      <c r="U23" s="42">
        <f>S23+T23</f>
        <v>863.26875000000018</v>
      </c>
      <c r="V23" s="42">
        <f>K23*(M23+O23+L23+N23)*100%</f>
        <v>1427.2710000000002</v>
      </c>
    </row>
    <row r="24" spans="1:22" x14ac:dyDescent="0.25">
      <c r="A24" s="90">
        <v>1378</v>
      </c>
      <c r="B24" s="8" t="s">
        <v>321</v>
      </c>
      <c r="C24" s="65" t="s">
        <v>322</v>
      </c>
      <c r="D24" s="75" t="s">
        <v>50</v>
      </c>
      <c r="E24" s="55" t="s">
        <v>22</v>
      </c>
      <c r="F24" s="12">
        <v>45743</v>
      </c>
      <c r="G24" s="143">
        <v>45806</v>
      </c>
      <c r="H24" s="12" t="s">
        <v>410</v>
      </c>
      <c r="I24" s="208">
        <v>1381.5</v>
      </c>
      <c r="J24" s="1">
        <v>30</v>
      </c>
      <c r="K24" s="2">
        <f>I24/J24</f>
        <v>46.05</v>
      </c>
      <c r="L24" s="1">
        <v>0</v>
      </c>
      <c r="M24" s="1">
        <v>0</v>
      </c>
      <c r="N24" s="1">
        <v>0</v>
      </c>
      <c r="O24" s="1">
        <v>31</v>
      </c>
      <c r="P24" s="192">
        <f>L24+M24+N24+O24</f>
        <v>31</v>
      </c>
      <c r="Q24" s="42">
        <f>K24*50%*L24</f>
        <v>0</v>
      </c>
      <c r="R24" s="42">
        <f>K24*60%*M24</f>
        <v>0</v>
      </c>
      <c r="S24" s="42">
        <f>K24*60%*N24</f>
        <v>0</v>
      </c>
      <c r="T24" s="42">
        <f>K24*75%*O24</f>
        <v>1070.6624999999999</v>
      </c>
      <c r="U24" s="42">
        <f>S24+T24</f>
        <v>1070.6624999999999</v>
      </c>
      <c r="V24" s="42">
        <f>K24*(M24+O24+L24+N24)*100%</f>
        <v>1427.55</v>
      </c>
    </row>
    <row r="25" spans="1:22" x14ac:dyDescent="0.25">
      <c r="A25" s="90">
        <v>1378</v>
      </c>
      <c r="B25" s="8" t="s">
        <v>124</v>
      </c>
      <c r="C25" s="65" t="s">
        <v>68</v>
      </c>
      <c r="D25" s="75" t="s">
        <v>50</v>
      </c>
      <c r="E25" s="55" t="s">
        <v>22</v>
      </c>
      <c r="F25" s="12">
        <v>45608</v>
      </c>
      <c r="G25" s="143">
        <v>45811</v>
      </c>
      <c r="H25" s="12" t="s">
        <v>377</v>
      </c>
      <c r="I25" s="186">
        <v>1323</v>
      </c>
      <c r="J25" s="1">
        <v>30</v>
      </c>
      <c r="K25" s="2">
        <f t="shared" si="1"/>
        <v>44.1</v>
      </c>
      <c r="L25" s="1">
        <v>0</v>
      </c>
      <c r="M25" s="1">
        <v>0</v>
      </c>
      <c r="N25" s="1">
        <v>0</v>
      </c>
      <c r="O25" s="1">
        <v>31</v>
      </c>
      <c r="P25" s="192">
        <f t="shared" si="2"/>
        <v>31</v>
      </c>
      <c r="Q25" s="42">
        <f t="shared" si="3"/>
        <v>0</v>
      </c>
      <c r="R25" s="42">
        <f t="shared" si="4"/>
        <v>0</v>
      </c>
      <c r="S25" s="42">
        <f t="shared" si="5"/>
        <v>0</v>
      </c>
      <c r="T25" s="42">
        <f t="shared" si="6"/>
        <v>1025.325</v>
      </c>
      <c r="U25" s="42">
        <f t="shared" si="8"/>
        <v>1025.325</v>
      </c>
      <c r="V25" s="42">
        <f t="shared" si="7"/>
        <v>1367.1000000000001</v>
      </c>
    </row>
    <row r="26" spans="1:22" ht="14.25" customHeight="1" x14ac:dyDescent="0.25">
      <c r="A26" s="90">
        <v>1378</v>
      </c>
      <c r="B26" s="8" t="s">
        <v>294</v>
      </c>
      <c r="C26" s="65" t="s">
        <v>295</v>
      </c>
      <c r="D26" s="75" t="s">
        <v>50</v>
      </c>
      <c r="E26" s="55" t="s">
        <v>22</v>
      </c>
      <c r="F26" s="12">
        <v>45795</v>
      </c>
      <c r="G26" s="143"/>
      <c r="H26" s="203">
        <v>45803</v>
      </c>
      <c r="I26" s="208">
        <v>1381.5</v>
      </c>
      <c r="J26" s="1">
        <v>30</v>
      </c>
      <c r="K26" s="2">
        <f>I26/J26</f>
        <v>46.05</v>
      </c>
      <c r="L26" s="1">
        <v>0</v>
      </c>
      <c r="M26" s="1">
        <v>0</v>
      </c>
      <c r="N26" s="1">
        <v>0</v>
      </c>
      <c r="O26" s="1">
        <v>9</v>
      </c>
      <c r="P26" s="192">
        <f>L26+M26+N26+O26</f>
        <v>9</v>
      </c>
      <c r="Q26" s="42">
        <f>K26*50%*L26</f>
        <v>0</v>
      </c>
      <c r="R26" s="42">
        <f>K26*60%*M26</f>
        <v>0</v>
      </c>
      <c r="S26" s="42">
        <f>K26*60%*N26</f>
        <v>0</v>
      </c>
      <c r="T26" s="42">
        <f>K26*75%*O26</f>
        <v>310.83749999999998</v>
      </c>
      <c r="U26" s="42">
        <f>S26+T26</f>
        <v>310.83749999999998</v>
      </c>
      <c r="V26" s="42">
        <f>K26*(M26+O26+L26+N26)*100%</f>
        <v>414.45</v>
      </c>
    </row>
    <row r="27" spans="1:22" ht="14.25" customHeight="1" x14ac:dyDescent="0.25">
      <c r="A27" s="90">
        <v>1378</v>
      </c>
      <c r="B27" s="8" t="s">
        <v>115</v>
      </c>
      <c r="C27" s="65" t="s">
        <v>116</v>
      </c>
      <c r="D27" s="75" t="s">
        <v>52</v>
      </c>
      <c r="E27" s="55" t="s">
        <v>22</v>
      </c>
      <c r="F27" s="12">
        <v>45618</v>
      </c>
      <c r="G27" s="143">
        <v>45810</v>
      </c>
      <c r="H27" s="12" t="s">
        <v>393</v>
      </c>
      <c r="I27" s="186">
        <v>1323</v>
      </c>
      <c r="J27" s="1">
        <v>30</v>
      </c>
      <c r="K27" s="2">
        <f t="shared" si="1"/>
        <v>44.1</v>
      </c>
      <c r="L27" s="1">
        <v>0</v>
      </c>
      <c r="M27" s="1">
        <v>0</v>
      </c>
      <c r="N27" s="1">
        <v>0</v>
      </c>
      <c r="O27" s="1">
        <v>31</v>
      </c>
      <c r="P27" s="192">
        <f t="shared" si="2"/>
        <v>31</v>
      </c>
      <c r="Q27" s="42">
        <f t="shared" si="3"/>
        <v>0</v>
      </c>
      <c r="R27" s="42">
        <f t="shared" si="4"/>
        <v>0</v>
      </c>
      <c r="S27" s="42">
        <f t="shared" si="5"/>
        <v>0</v>
      </c>
      <c r="T27" s="42">
        <f t="shared" si="6"/>
        <v>1025.325</v>
      </c>
      <c r="U27" s="42">
        <f t="shared" si="8"/>
        <v>1025.325</v>
      </c>
      <c r="V27" s="42">
        <f t="shared" si="7"/>
        <v>1367.1000000000001</v>
      </c>
    </row>
    <row r="28" spans="1:22" x14ac:dyDescent="0.25">
      <c r="A28" s="195">
        <v>1378</v>
      </c>
      <c r="B28" s="9" t="s">
        <v>23</v>
      </c>
      <c r="C28" s="51">
        <v>38102537361</v>
      </c>
      <c r="D28" s="56"/>
      <c r="E28" s="56"/>
      <c r="F28" s="142"/>
      <c r="G28" s="142"/>
      <c r="H28" s="52"/>
      <c r="I28" s="53"/>
      <c r="J28" s="52"/>
      <c r="K28" s="53"/>
      <c r="L28" s="52"/>
      <c r="M28" s="52"/>
      <c r="N28" s="52"/>
      <c r="O28" s="52"/>
      <c r="P28" s="192">
        <f t="shared" si="2"/>
        <v>0</v>
      </c>
      <c r="Q28" s="10"/>
      <c r="R28" s="10"/>
      <c r="S28" s="10"/>
      <c r="T28" s="10"/>
      <c r="U28" s="11">
        <f>SUM(U21:U27)</f>
        <v>6248.0812499999993</v>
      </c>
      <c r="V28" s="10"/>
    </row>
    <row r="29" spans="1:22" x14ac:dyDescent="0.25">
      <c r="A29" s="187">
        <v>1628</v>
      </c>
      <c r="B29" s="44" t="s">
        <v>284</v>
      </c>
      <c r="C29" s="65" t="s">
        <v>285</v>
      </c>
      <c r="D29" s="75" t="s">
        <v>52</v>
      </c>
      <c r="E29" s="55" t="s">
        <v>22</v>
      </c>
      <c r="F29" s="12">
        <v>45728</v>
      </c>
      <c r="G29" s="143"/>
      <c r="H29" s="203">
        <v>45793</v>
      </c>
      <c r="I29" s="42">
        <v>1909.38</v>
      </c>
      <c r="J29" s="1">
        <v>30</v>
      </c>
      <c r="K29" s="2">
        <f>I29/J29</f>
        <v>63.646000000000001</v>
      </c>
      <c r="L29" s="1">
        <v>0</v>
      </c>
      <c r="M29" s="1">
        <v>0</v>
      </c>
      <c r="N29" s="1">
        <v>0</v>
      </c>
      <c r="O29" s="1">
        <v>16</v>
      </c>
      <c r="P29" s="192">
        <f>L29+M29+N29+O29</f>
        <v>16</v>
      </c>
      <c r="Q29" s="42">
        <f>K29*50%*L29</f>
        <v>0</v>
      </c>
      <c r="R29" s="42">
        <f>K29*60%*M29</f>
        <v>0</v>
      </c>
      <c r="S29" s="42">
        <f>K29*60%*N29</f>
        <v>0</v>
      </c>
      <c r="T29" s="42">
        <f>K29*75%*O29</f>
        <v>763.75199999999995</v>
      </c>
      <c r="U29" s="42">
        <f>S29+T29</f>
        <v>763.75199999999995</v>
      </c>
      <c r="V29" s="42">
        <f>K29*(M29+O29+L29+N29)*100%</f>
        <v>1018.336</v>
      </c>
    </row>
    <row r="30" spans="1:22" x14ac:dyDescent="0.25">
      <c r="A30" s="187">
        <v>1628</v>
      </c>
      <c r="B30" s="44" t="s">
        <v>105</v>
      </c>
      <c r="C30" s="65" t="s">
        <v>106</v>
      </c>
      <c r="D30" s="75" t="s">
        <v>52</v>
      </c>
      <c r="E30" s="55" t="s">
        <v>22</v>
      </c>
      <c r="F30" s="12">
        <v>45536</v>
      </c>
      <c r="G30" s="143">
        <v>45814</v>
      </c>
      <c r="H30" s="12" t="s">
        <v>401</v>
      </c>
      <c r="I30" s="42">
        <v>1500</v>
      </c>
      <c r="J30" s="1">
        <v>30</v>
      </c>
      <c r="K30" s="2">
        <f>I30/J30</f>
        <v>50</v>
      </c>
      <c r="L30" s="1">
        <v>0</v>
      </c>
      <c r="M30" s="1">
        <v>0</v>
      </c>
      <c r="N30" s="1">
        <v>0</v>
      </c>
      <c r="O30" s="1">
        <v>31</v>
      </c>
      <c r="P30" s="192">
        <f t="shared" si="2"/>
        <v>31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1162.5</v>
      </c>
      <c r="U30" s="42">
        <f>S30+T30</f>
        <v>1162.5</v>
      </c>
      <c r="V30" s="42">
        <f>K30*(M30+O30+L30+N30)*100%</f>
        <v>1550</v>
      </c>
    </row>
    <row r="31" spans="1:22" s="185" customFormat="1" x14ac:dyDescent="0.25">
      <c r="A31" s="193" t="s">
        <v>112</v>
      </c>
      <c r="B31" s="177"/>
      <c r="C31" s="178"/>
      <c r="D31" s="179"/>
      <c r="E31" s="180"/>
      <c r="F31" s="194"/>
      <c r="G31" s="181"/>
      <c r="H31" s="194"/>
      <c r="I31" s="182"/>
      <c r="J31" s="183"/>
      <c r="K31" s="184"/>
      <c r="L31" s="183"/>
      <c r="M31" s="183"/>
      <c r="N31" s="183"/>
      <c r="O31" s="183"/>
      <c r="P31" s="192">
        <f t="shared" si="2"/>
        <v>0</v>
      </c>
      <c r="Q31" s="182"/>
      <c r="R31" s="182"/>
      <c r="S31" s="182"/>
      <c r="T31" s="182"/>
      <c r="U31" s="182"/>
      <c r="V31" s="182"/>
    </row>
    <row r="32" spans="1:22" s="185" customFormat="1" ht="14.1" customHeight="1" x14ac:dyDescent="0.25">
      <c r="A32" s="196">
        <v>1628</v>
      </c>
      <c r="B32" s="44" t="s">
        <v>386</v>
      </c>
      <c r="C32" s="65" t="s">
        <v>387</v>
      </c>
      <c r="D32" s="55">
        <v>189</v>
      </c>
      <c r="E32" s="55" t="s">
        <v>22</v>
      </c>
      <c r="F32" s="12">
        <v>45782</v>
      </c>
      <c r="G32" s="143"/>
      <c r="H32" s="203">
        <v>45789</v>
      </c>
      <c r="I32" s="42">
        <v>2206.8000000000002</v>
      </c>
      <c r="J32" s="1">
        <v>30</v>
      </c>
      <c r="K32" s="2">
        <f>I32/J32</f>
        <v>73.56</v>
      </c>
      <c r="L32" s="1">
        <v>3</v>
      </c>
      <c r="M32" s="1">
        <v>5</v>
      </c>
      <c r="N32" s="1">
        <v>0</v>
      </c>
      <c r="O32" s="1">
        <v>0</v>
      </c>
      <c r="P32" s="192">
        <f>L32+M32+N32+O32</f>
        <v>8</v>
      </c>
      <c r="Q32" s="42">
        <f>K32*50%*L32</f>
        <v>110.34</v>
      </c>
      <c r="R32" s="42">
        <f>K32*60%*M32</f>
        <v>220.68</v>
      </c>
      <c r="S32" s="42">
        <f>K32*60%*N32</f>
        <v>0</v>
      </c>
      <c r="T32" s="42">
        <f>K32*75%*O32</f>
        <v>0</v>
      </c>
      <c r="U32" s="42">
        <f>S32+T32</f>
        <v>0</v>
      </c>
      <c r="V32" s="42">
        <f>K32*(M32+O32+L32+N32)*100%</f>
        <v>588.48</v>
      </c>
    </row>
    <row r="33" spans="1:22" ht="14.1" customHeight="1" x14ac:dyDescent="0.25">
      <c r="A33" s="195">
        <v>1628</v>
      </c>
      <c r="B33" s="9" t="s">
        <v>104</v>
      </c>
      <c r="C33" s="51"/>
      <c r="D33" s="56"/>
      <c r="E33" s="56"/>
      <c r="F33" s="142"/>
      <c r="G33" s="142"/>
      <c r="H33" s="52"/>
      <c r="I33" s="53"/>
      <c r="J33" s="52"/>
      <c r="K33" s="53"/>
      <c r="L33" s="52"/>
      <c r="M33" s="52"/>
      <c r="N33" s="52"/>
      <c r="O33" s="52"/>
      <c r="P33" s="192">
        <f t="shared" si="2"/>
        <v>0</v>
      </c>
      <c r="Q33" s="10"/>
      <c r="R33" s="10"/>
      <c r="S33" s="10"/>
      <c r="T33" s="10"/>
      <c r="U33" s="11">
        <f>SUM(U29:U32)</f>
        <v>1926.252</v>
      </c>
      <c r="V33" s="10"/>
    </row>
    <row r="34" spans="1:22" ht="14.25" customHeight="1" x14ac:dyDescent="0.25">
      <c r="A34" s="90">
        <v>1846</v>
      </c>
      <c r="B34" s="8" t="s">
        <v>139</v>
      </c>
      <c r="C34" s="65" t="s">
        <v>140</v>
      </c>
      <c r="D34" s="75" t="s">
        <v>51</v>
      </c>
      <c r="E34" s="55" t="s">
        <v>22</v>
      </c>
      <c r="F34" s="12">
        <v>45659</v>
      </c>
      <c r="G34" s="143">
        <v>45827</v>
      </c>
      <c r="H34" s="12" t="s">
        <v>443</v>
      </c>
      <c r="I34" s="186">
        <v>2108.3200000000002</v>
      </c>
      <c r="J34" s="1">
        <v>92</v>
      </c>
      <c r="K34" s="2">
        <f>I34/J34</f>
        <v>22.916521739130438</v>
      </c>
      <c r="L34" s="1">
        <v>0</v>
      </c>
      <c r="M34" s="1">
        <v>0</v>
      </c>
      <c r="N34" s="1">
        <v>0</v>
      </c>
      <c r="O34" s="1">
        <v>31</v>
      </c>
      <c r="P34" s="192">
        <f t="shared" si="2"/>
        <v>31</v>
      </c>
      <c r="Q34" s="42">
        <f>K34*50%*L34</f>
        <v>0</v>
      </c>
      <c r="R34" s="42">
        <f>K34*60%*M34</f>
        <v>0</v>
      </c>
      <c r="S34" s="42">
        <f>K34*60%*N34</f>
        <v>0</v>
      </c>
      <c r="T34" s="42">
        <f>K34*75%*O34</f>
        <v>532.80913043478267</v>
      </c>
      <c r="U34" s="42">
        <f>S34+T34</f>
        <v>532.80913043478267</v>
      </c>
      <c r="V34" s="42">
        <f>K34*(M34+O34+L34+N34)*100%</f>
        <v>710.4121739130436</v>
      </c>
    </row>
    <row r="35" spans="1:22" ht="14.1" customHeight="1" x14ac:dyDescent="0.25">
      <c r="A35" s="195">
        <v>1846</v>
      </c>
      <c r="B35" s="9" t="s">
        <v>138</v>
      </c>
      <c r="C35" s="51">
        <v>38120237336</v>
      </c>
      <c r="D35" s="56"/>
      <c r="E35" s="56"/>
      <c r="F35" s="142"/>
      <c r="G35" s="142"/>
      <c r="H35" s="52"/>
      <c r="I35" s="53"/>
      <c r="J35" s="52"/>
      <c r="K35" s="53"/>
      <c r="L35" s="52"/>
      <c r="M35" s="52"/>
      <c r="N35" s="52"/>
      <c r="O35" s="52"/>
      <c r="P35" s="192">
        <f t="shared" si="2"/>
        <v>0</v>
      </c>
      <c r="Q35" s="10"/>
      <c r="R35" s="10"/>
      <c r="S35" s="10"/>
      <c r="T35" s="10"/>
      <c r="U35" s="11">
        <f>SUM(U34)</f>
        <v>532.80913043478267</v>
      </c>
      <c r="V35" s="10"/>
    </row>
    <row r="36" spans="1:22" x14ac:dyDescent="0.25">
      <c r="A36" s="187">
        <v>1903</v>
      </c>
      <c r="B36" s="44" t="s">
        <v>89</v>
      </c>
      <c r="C36" s="65" t="s">
        <v>90</v>
      </c>
      <c r="D36" s="75" t="s">
        <v>51</v>
      </c>
      <c r="E36" s="55" t="s">
        <v>22</v>
      </c>
      <c r="F36" s="12">
        <v>45418</v>
      </c>
      <c r="G36" s="143">
        <v>45817</v>
      </c>
      <c r="H36" s="12" t="s">
        <v>385</v>
      </c>
      <c r="I36" s="218">
        <v>1809.18</v>
      </c>
      <c r="J36" s="1">
        <v>79</v>
      </c>
      <c r="K36" s="2">
        <f>I36/J36</f>
        <v>22.901012658227849</v>
      </c>
      <c r="L36" s="1">
        <v>0</v>
      </c>
      <c r="M36" s="1">
        <v>0</v>
      </c>
      <c r="N36" s="1">
        <v>0</v>
      </c>
      <c r="O36" s="1">
        <v>31</v>
      </c>
      <c r="P36" s="192">
        <f t="shared" si="2"/>
        <v>31</v>
      </c>
      <c r="Q36" s="42">
        <f>K36*50%*L36</f>
        <v>0</v>
      </c>
      <c r="R36" s="42">
        <f>K36*60%*M36</f>
        <v>0</v>
      </c>
      <c r="S36" s="42">
        <f>K36*60%*N36</f>
        <v>0</v>
      </c>
      <c r="T36" s="42">
        <f>K36*75%*O36</f>
        <v>532.44854430379758</v>
      </c>
      <c r="U36" s="42">
        <f>S36+T36</f>
        <v>532.44854430379758</v>
      </c>
      <c r="V36" s="42">
        <f>K36*(M36+O36+L36+N36)*100%</f>
        <v>709.93139240506332</v>
      </c>
    </row>
    <row r="37" spans="1:22" x14ac:dyDescent="0.25">
      <c r="A37" s="193" t="s">
        <v>300</v>
      </c>
      <c r="B37" s="177"/>
      <c r="C37" s="178"/>
      <c r="D37" s="179"/>
      <c r="E37" s="180"/>
      <c r="F37" s="194"/>
      <c r="G37" s="181"/>
      <c r="H37" s="194"/>
      <c r="I37" s="182"/>
      <c r="J37" s="183"/>
      <c r="K37" s="184"/>
      <c r="L37" s="183"/>
      <c r="M37" s="183"/>
      <c r="N37" s="183"/>
      <c r="O37" s="183"/>
      <c r="P37" s="192"/>
      <c r="Q37" s="182"/>
      <c r="R37" s="182"/>
      <c r="S37" s="182"/>
      <c r="T37" s="182"/>
      <c r="U37" s="182"/>
      <c r="V37" s="182"/>
    </row>
    <row r="38" spans="1:22" x14ac:dyDescent="0.25">
      <c r="A38" s="187">
        <v>1903</v>
      </c>
      <c r="B38" s="44" t="s">
        <v>288</v>
      </c>
      <c r="C38" s="65" t="s">
        <v>289</v>
      </c>
      <c r="D38" s="75" t="s">
        <v>51</v>
      </c>
      <c r="E38" s="55" t="s">
        <v>22</v>
      </c>
      <c r="F38" s="12">
        <v>45786</v>
      </c>
      <c r="G38" s="143"/>
      <c r="H38" s="203">
        <v>45789</v>
      </c>
      <c r="I38" s="42">
        <v>3829.46</v>
      </c>
      <c r="J38" s="1">
        <v>90</v>
      </c>
      <c r="K38" s="2">
        <f>I38/J38</f>
        <v>42.549555555555557</v>
      </c>
      <c r="L38" s="1">
        <v>3</v>
      </c>
      <c r="M38" s="1">
        <v>1</v>
      </c>
      <c r="N38" s="1">
        <v>0</v>
      </c>
      <c r="O38" s="1">
        <v>0</v>
      </c>
      <c r="P38" s="192">
        <f>L38+M38+N38+O38</f>
        <v>4</v>
      </c>
      <c r="Q38" s="42">
        <f>K38*50%*L38</f>
        <v>63.824333333333335</v>
      </c>
      <c r="R38" s="42">
        <f>K38*60%*M38</f>
        <v>25.529733333333333</v>
      </c>
      <c r="S38" s="42">
        <f>K38*60%*N38</f>
        <v>0</v>
      </c>
      <c r="T38" s="42">
        <f>K38*75%*O38</f>
        <v>0</v>
      </c>
      <c r="U38" s="42">
        <f>S38+T38</f>
        <v>0</v>
      </c>
      <c r="V38" s="42">
        <f>K38*(M38+O38+L38+N38)*100%</f>
        <v>170.19822222222223</v>
      </c>
    </row>
    <row r="39" spans="1:22" x14ac:dyDescent="0.25">
      <c r="A39" s="89">
        <v>1903</v>
      </c>
      <c r="B39" s="68" t="s">
        <v>162</v>
      </c>
      <c r="C39" s="66">
        <v>381022239019</v>
      </c>
      <c r="D39" s="205">
        <v>189</v>
      </c>
      <c r="E39" s="205" t="s">
        <v>22</v>
      </c>
      <c r="F39" s="141">
        <v>45697</v>
      </c>
      <c r="G39" s="141"/>
      <c r="H39" s="141">
        <v>45808</v>
      </c>
      <c r="I39" s="85"/>
      <c r="J39" s="85"/>
      <c r="K39" s="85"/>
      <c r="L39" s="85"/>
      <c r="M39" s="85"/>
      <c r="N39" s="85"/>
      <c r="O39" s="85"/>
      <c r="P39" s="192">
        <f t="shared" ref="P39:P62" si="9">L39+M39+N39+O39</f>
        <v>0</v>
      </c>
      <c r="Q39" s="83" t="s">
        <v>48</v>
      </c>
      <c r="R39" s="68"/>
      <c r="S39" s="68"/>
      <c r="T39" s="68"/>
      <c r="U39" s="85"/>
      <c r="V39" s="68"/>
    </row>
    <row r="40" spans="1:22" s="190" customFormat="1" ht="14.1" customHeight="1" x14ac:dyDescent="0.25">
      <c r="A40" s="193" t="s">
        <v>243</v>
      </c>
      <c r="B40" s="177"/>
      <c r="C40" s="178"/>
      <c r="D40" s="179"/>
      <c r="E40" s="180"/>
      <c r="F40" s="194"/>
      <c r="G40" s="181"/>
      <c r="H40" s="194"/>
      <c r="I40" s="220" t="s">
        <v>413</v>
      </c>
      <c r="J40" s="183"/>
      <c r="K40" s="184"/>
      <c r="L40" s="183"/>
      <c r="M40" s="183"/>
      <c r="N40" s="183"/>
      <c r="O40" s="183"/>
      <c r="P40" s="192">
        <f t="shared" si="9"/>
        <v>0</v>
      </c>
      <c r="Q40" s="182"/>
      <c r="R40" s="182"/>
      <c r="S40" s="182"/>
      <c r="T40" s="182"/>
      <c r="U40" s="182"/>
      <c r="V40" s="182"/>
    </row>
    <row r="41" spans="1:22" x14ac:dyDescent="0.25">
      <c r="A41" s="89">
        <v>1903</v>
      </c>
      <c r="B41" s="68" t="s">
        <v>162</v>
      </c>
      <c r="C41" s="66">
        <v>381022239019</v>
      </c>
      <c r="D41" s="205">
        <v>189</v>
      </c>
      <c r="E41" s="205" t="s">
        <v>22</v>
      </c>
      <c r="F41" s="141">
        <v>45839</v>
      </c>
      <c r="G41" s="141"/>
      <c r="H41" s="141">
        <v>45857</v>
      </c>
      <c r="I41" s="85"/>
      <c r="J41" s="85"/>
      <c r="K41" s="85"/>
      <c r="L41" s="85"/>
      <c r="M41" s="85"/>
      <c r="N41" s="85"/>
      <c r="O41" s="85"/>
      <c r="P41" s="192">
        <f t="shared" si="9"/>
        <v>0</v>
      </c>
      <c r="Q41" s="83" t="s">
        <v>72</v>
      </c>
      <c r="R41" s="68"/>
      <c r="S41" s="68" t="s">
        <v>246</v>
      </c>
      <c r="T41" s="68"/>
      <c r="U41" s="85"/>
      <c r="V41" s="68"/>
    </row>
    <row r="42" spans="1:22" s="190" customFormat="1" ht="14.1" customHeight="1" x14ac:dyDescent="0.25">
      <c r="A42" s="193" t="s">
        <v>430</v>
      </c>
      <c r="B42" s="177"/>
      <c r="C42" s="178"/>
      <c r="D42" s="179"/>
      <c r="E42" s="180"/>
      <c r="F42" s="194"/>
      <c r="G42" s="181"/>
      <c r="H42" s="194"/>
      <c r="I42" s="220"/>
      <c r="J42" s="183"/>
      <c r="K42" s="184"/>
      <c r="L42" s="183"/>
      <c r="M42" s="183"/>
      <c r="N42" s="183"/>
      <c r="O42" s="183"/>
      <c r="P42" s="192">
        <f>L42+M42+N42+O42</f>
        <v>0</v>
      </c>
      <c r="Q42" s="182"/>
      <c r="R42" s="182"/>
      <c r="S42" s="182"/>
      <c r="T42" s="182"/>
      <c r="U42" s="182"/>
      <c r="V42" s="182"/>
    </row>
    <row r="43" spans="1:22" x14ac:dyDescent="0.25">
      <c r="A43" s="187">
        <v>1903</v>
      </c>
      <c r="B43" s="44" t="s">
        <v>190</v>
      </c>
      <c r="C43" s="65" t="s">
        <v>191</v>
      </c>
      <c r="D43" s="75" t="s">
        <v>51</v>
      </c>
      <c r="E43" s="55" t="s">
        <v>22</v>
      </c>
      <c r="F43" s="12">
        <v>45685</v>
      </c>
      <c r="G43" s="143">
        <v>45810</v>
      </c>
      <c r="H43" s="12" t="s">
        <v>395</v>
      </c>
      <c r="I43" s="218">
        <v>669.48</v>
      </c>
      <c r="J43" s="1">
        <v>31</v>
      </c>
      <c r="K43" s="2">
        <f>I43/J43</f>
        <v>21.596129032258066</v>
      </c>
      <c r="L43" s="1">
        <v>0</v>
      </c>
      <c r="M43" s="1">
        <v>0</v>
      </c>
      <c r="N43" s="1">
        <v>0</v>
      </c>
      <c r="O43" s="1">
        <v>31</v>
      </c>
      <c r="P43" s="192">
        <f t="shared" si="9"/>
        <v>31</v>
      </c>
      <c r="Q43" s="42">
        <f>K43*50%*L43</f>
        <v>0</v>
      </c>
      <c r="R43" s="42">
        <f>K43*60%*M43</f>
        <v>0</v>
      </c>
      <c r="S43" s="42">
        <f>K43*60%*N43</f>
        <v>0</v>
      </c>
      <c r="T43" s="42">
        <f>K43*75%*O43</f>
        <v>502.11000000000007</v>
      </c>
      <c r="U43" s="42">
        <f>S43+T43</f>
        <v>502.11000000000007</v>
      </c>
      <c r="V43" s="42">
        <f>K43*(M43+O43+L43+N43)*100%</f>
        <v>669.48</v>
      </c>
    </row>
    <row r="44" spans="1:22" x14ac:dyDescent="0.25">
      <c r="A44" s="193" t="s">
        <v>352</v>
      </c>
      <c r="B44" s="177"/>
      <c r="C44" s="178"/>
      <c r="D44" s="179"/>
      <c r="E44" s="180"/>
      <c r="F44" s="194"/>
      <c r="G44" s="181"/>
      <c r="H44" s="194"/>
      <c r="I44" s="182"/>
      <c r="J44" s="183"/>
      <c r="K44" s="184"/>
      <c r="L44" s="183"/>
      <c r="M44" s="183"/>
      <c r="N44" s="183"/>
      <c r="O44" s="183"/>
      <c r="P44" s="192">
        <f>L44+M44+N44+O44</f>
        <v>0</v>
      </c>
      <c r="Q44" s="182"/>
      <c r="R44" s="182"/>
      <c r="S44" s="182"/>
      <c r="T44" s="182"/>
      <c r="U44" s="182"/>
      <c r="V44" s="182"/>
    </row>
    <row r="45" spans="1:22" x14ac:dyDescent="0.25">
      <c r="A45" s="195">
        <v>1903</v>
      </c>
      <c r="B45" s="9" t="s">
        <v>143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 t="shared" si="9"/>
        <v>0</v>
      </c>
      <c r="Q45" s="10"/>
      <c r="R45" s="10"/>
      <c r="S45" s="10"/>
      <c r="T45" s="10"/>
      <c r="U45" s="11">
        <f>SUM(U36:U43)</f>
        <v>1034.5585443037976</v>
      </c>
      <c r="V45" s="10"/>
    </row>
    <row r="46" spans="1:22" ht="14.1" customHeight="1" x14ac:dyDescent="0.25">
      <c r="A46" s="187">
        <v>1985</v>
      </c>
      <c r="B46" s="44" t="s">
        <v>433</v>
      </c>
      <c r="C46" s="207" t="s">
        <v>434</v>
      </c>
      <c r="D46" s="75" t="s">
        <v>405</v>
      </c>
      <c r="E46" s="55" t="s">
        <v>22</v>
      </c>
      <c r="F46" s="12">
        <v>45799</v>
      </c>
      <c r="G46" s="143">
        <v>45813</v>
      </c>
      <c r="H46" s="12" t="s">
        <v>444</v>
      </c>
      <c r="I46" s="1">
        <v>1048.32</v>
      </c>
      <c r="J46" s="1">
        <v>30</v>
      </c>
      <c r="K46" s="2">
        <f>I46/J46</f>
        <v>34.943999999999996</v>
      </c>
      <c r="L46" s="1">
        <v>3</v>
      </c>
      <c r="M46" s="1">
        <v>7</v>
      </c>
      <c r="N46" s="1">
        <v>0</v>
      </c>
      <c r="O46" s="1">
        <v>0</v>
      </c>
      <c r="P46" s="192">
        <f>L46+M46+N46+O46</f>
        <v>10</v>
      </c>
      <c r="Q46" s="42">
        <f>K46*50%*L46</f>
        <v>52.415999999999997</v>
      </c>
      <c r="R46" s="42">
        <f>K46*60%*M46</f>
        <v>146.76479999999998</v>
      </c>
      <c r="S46" s="42">
        <f>K46*60%*N46</f>
        <v>0</v>
      </c>
      <c r="T46" s="42">
        <f>K46*75%*O46</f>
        <v>0</v>
      </c>
      <c r="U46" s="42">
        <f>S46+T46</f>
        <v>0</v>
      </c>
      <c r="V46" s="42">
        <f>K46*(M46+O46+L46+N46)*100%</f>
        <v>349.43999999999994</v>
      </c>
    </row>
    <row r="47" spans="1:22" ht="14.1" customHeight="1" x14ac:dyDescent="0.25">
      <c r="A47" s="187">
        <v>1985</v>
      </c>
      <c r="B47" s="44" t="s">
        <v>424</v>
      </c>
      <c r="C47" s="207" t="s">
        <v>394</v>
      </c>
      <c r="D47" s="75" t="s">
        <v>51</v>
      </c>
      <c r="E47" s="55" t="s">
        <v>22</v>
      </c>
      <c r="F47" s="12">
        <v>45786</v>
      </c>
      <c r="G47" s="143"/>
      <c r="H47" s="203">
        <v>45789</v>
      </c>
      <c r="I47" s="1">
        <v>1509.47</v>
      </c>
      <c r="J47" s="1">
        <v>60</v>
      </c>
      <c r="K47" s="2">
        <f>I47/J47</f>
        <v>25.157833333333333</v>
      </c>
      <c r="L47" s="1">
        <v>3</v>
      </c>
      <c r="M47" s="1">
        <v>1</v>
      </c>
      <c r="N47" s="1">
        <v>0</v>
      </c>
      <c r="O47" s="1">
        <v>0</v>
      </c>
      <c r="P47" s="192">
        <f t="shared" si="9"/>
        <v>4</v>
      </c>
      <c r="Q47" s="42">
        <f>K47*50%*L47</f>
        <v>37.736750000000001</v>
      </c>
      <c r="R47" s="42">
        <f>K47*60%*M47</f>
        <v>15.0947</v>
      </c>
      <c r="S47" s="42">
        <f>K47*60%*N47</f>
        <v>0</v>
      </c>
      <c r="T47" s="42">
        <f>K47*75%*O47</f>
        <v>0</v>
      </c>
      <c r="U47" s="42">
        <f>S47+T47</f>
        <v>0</v>
      </c>
      <c r="V47" s="42">
        <f>K47*(M47+O47+L47+N47)*100%</f>
        <v>100.63133333333333</v>
      </c>
    </row>
    <row r="48" spans="1:22" x14ac:dyDescent="0.25">
      <c r="A48" s="195">
        <v>1985</v>
      </c>
      <c r="B48" s="9" t="s">
        <v>212</v>
      </c>
      <c r="C48" s="51"/>
      <c r="D48" s="56"/>
      <c r="E48" s="56"/>
      <c r="F48" s="142"/>
      <c r="G48" s="142"/>
      <c r="H48" s="52"/>
      <c r="I48" s="53"/>
      <c r="J48" s="52"/>
      <c r="K48" s="53"/>
      <c r="L48" s="52"/>
      <c r="M48" s="52"/>
      <c r="N48" s="52"/>
      <c r="O48" s="52"/>
      <c r="P48" s="192">
        <f t="shared" si="9"/>
        <v>0</v>
      </c>
      <c r="Q48" s="10"/>
      <c r="R48" s="10"/>
      <c r="S48" s="10"/>
      <c r="T48" s="10"/>
      <c r="U48" s="11">
        <f>SUM(U47:U47)</f>
        <v>0</v>
      </c>
      <c r="V48" s="10"/>
    </row>
    <row r="49" spans="1:22" x14ac:dyDescent="0.25">
      <c r="A49" s="187">
        <v>2149</v>
      </c>
      <c r="B49" s="44" t="s">
        <v>347</v>
      </c>
      <c r="C49" s="207" t="s">
        <v>348</v>
      </c>
      <c r="D49" s="75" t="s">
        <v>52</v>
      </c>
      <c r="E49" s="55" t="s">
        <v>22</v>
      </c>
      <c r="F49" s="12">
        <v>45754</v>
      </c>
      <c r="G49" s="143">
        <v>45810</v>
      </c>
      <c r="H49" s="203" t="s">
        <v>425</v>
      </c>
      <c r="I49" s="1">
        <v>1593.72</v>
      </c>
      <c r="J49" s="1">
        <v>30</v>
      </c>
      <c r="K49" s="2">
        <f>I49/J49</f>
        <v>53.124000000000002</v>
      </c>
      <c r="L49" s="1">
        <v>0</v>
      </c>
      <c r="M49" s="1">
        <v>0</v>
      </c>
      <c r="N49" s="1">
        <v>0</v>
      </c>
      <c r="O49" s="1">
        <v>21</v>
      </c>
      <c r="P49" s="192">
        <f>L49+M49+N49+O49</f>
        <v>21</v>
      </c>
      <c r="Q49" s="42">
        <f>K49*50%*L49</f>
        <v>0</v>
      </c>
      <c r="R49" s="42">
        <f>K49*60%*M49</f>
        <v>0</v>
      </c>
      <c r="S49" s="42">
        <f>K49*60%*N49</f>
        <v>0</v>
      </c>
      <c r="T49" s="42">
        <f>K49*75%*O49</f>
        <v>836.70300000000009</v>
      </c>
      <c r="U49" s="42">
        <f>S49+T49</f>
        <v>836.70300000000009</v>
      </c>
      <c r="V49" s="42">
        <f>K49*(M49+O49+L49+N49)*100%</f>
        <v>1115.604</v>
      </c>
    </row>
    <row r="50" spans="1:22" x14ac:dyDescent="0.25">
      <c r="A50" s="195">
        <v>2149</v>
      </c>
      <c r="B50" s="9" t="s">
        <v>323</v>
      </c>
      <c r="C50" s="51"/>
      <c r="D50" s="56"/>
      <c r="E50" s="56"/>
      <c r="F50" s="142"/>
      <c r="G50" s="142"/>
      <c r="H50" s="52"/>
      <c r="I50" s="53"/>
      <c r="J50" s="52"/>
      <c r="K50" s="53"/>
      <c r="L50" s="52"/>
      <c r="M50" s="52"/>
      <c r="N50" s="52"/>
      <c r="O50" s="52"/>
      <c r="P50" s="192">
        <f>L50+M50+N50+O50</f>
        <v>0</v>
      </c>
      <c r="Q50" s="10"/>
      <c r="R50" s="10"/>
      <c r="S50" s="10"/>
      <c r="T50" s="10"/>
      <c r="U50" s="11">
        <f>SUM(U49)</f>
        <v>836.70300000000009</v>
      </c>
      <c r="V50" s="10"/>
    </row>
    <row r="51" spans="1:22" x14ac:dyDescent="0.25">
      <c r="A51" s="187">
        <v>2201</v>
      </c>
      <c r="B51" s="44" t="s">
        <v>440</v>
      </c>
      <c r="C51" s="207" t="s">
        <v>441</v>
      </c>
      <c r="D51" s="75" t="s">
        <v>442</v>
      </c>
      <c r="E51" s="55" t="s">
        <v>22</v>
      </c>
      <c r="F51" s="12">
        <v>45805</v>
      </c>
      <c r="G51" s="143"/>
      <c r="H51" s="203">
        <v>45805</v>
      </c>
      <c r="I51" s="1">
        <v>141.44</v>
      </c>
      <c r="J51" s="1">
        <v>6</v>
      </c>
      <c r="K51" s="2">
        <f>I51/J51</f>
        <v>23.573333333333334</v>
      </c>
      <c r="L51" s="1">
        <v>1</v>
      </c>
      <c r="M51" s="1">
        <v>0</v>
      </c>
      <c r="N51" s="1">
        <v>0</v>
      </c>
      <c r="O51" s="1">
        <v>0</v>
      </c>
      <c r="P51" s="192">
        <f>L51+M51+N51+O51</f>
        <v>1</v>
      </c>
      <c r="Q51" s="42">
        <f>K51*50%*L51</f>
        <v>11.786666666666667</v>
      </c>
      <c r="R51" s="42">
        <f>K51*60%*M51</f>
        <v>0</v>
      </c>
      <c r="S51" s="42">
        <f>K51*60%*N51</f>
        <v>0</v>
      </c>
      <c r="T51" s="42">
        <f>K51*75%*O51</f>
        <v>0</v>
      </c>
      <c r="U51" s="42">
        <f>S51+T51</f>
        <v>0</v>
      </c>
      <c r="V51" s="42">
        <f>K51*(M51+O51+L51+N51)*100%</f>
        <v>23.573333333333334</v>
      </c>
    </row>
    <row r="52" spans="1:22" x14ac:dyDescent="0.25">
      <c r="A52" s="195">
        <v>2201</v>
      </c>
      <c r="B52" s="9" t="s">
        <v>315</v>
      </c>
      <c r="C52" s="51"/>
      <c r="D52" s="56"/>
      <c r="E52" s="56"/>
      <c r="F52" s="142"/>
      <c r="G52" s="142"/>
      <c r="H52" s="52"/>
      <c r="I52" s="53"/>
      <c r="J52" s="52"/>
      <c r="K52" s="53"/>
      <c r="L52" s="52"/>
      <c r="M52" s="52"/>
      <c r="N52" s="52"/>
      <c r="O52" s="52"/>
      <c r="P52" s="192"/>
      <c r="Q52" s="10"/>
      <c r="R52" s="10"/>
      <c r="S52" s="10"/>
      <c r="T52" s="10"/>
      <c r="U52" s="11"/>
      <c r="V52" s="10"/>
    </row>
    <row r="53" spans="1:22" s="185" customFormat="1" x14ac:dyDescent="0.25">
      <c r="A53" s="89">
        <v>2273</v>
      </c>
      <c r="B53" s="68" t="s">
        <v>85</v>
      </c>
      <c r="C53" s="66" t="s">
        <v>86</v>
      </c>
      <c r="D53" s="205">
        <v>200</v>
      </c>
      <c r="E53" s="84"/>
      <c r="F53" s="141">
        <v>45679</v>
      </c>
      <c r="G53" s="141"/>
      <c r="H53" s="147">
        <v>45790</v>
      </c>
      <c r="I53" s="85"/>
      <c r="J53" s="85"/>
      <c r="K53" s="85"/>
      <c r="L53" s="85"/>
      <c r="M53" s="85"/>
      <c r="N53" s="85"/>
      <c r="O53" s="85"/>
      <c r="P53" s="192">
        <f t="shared" si="9"/>
        <v>0</v>
      </c>
      <c r="Q53" s="83" t="s">
        <v>92</v>
      </c>
      <c r="R53" s="68"/>
      <c r="S53" s="68"/>
      <c r="T53" s="68"/>
      <c r="U53" s="85"/>
      <c r="V53" s="68"/>
    </row>
    <row r="54" spans="1:22" x14ac:dyDescent="0.25">
      <c r="A54" s="195">
        <v>2273</v>
      </c>
      <c r="B54" s="9" t="s">
        <v>53</v>
      </c>
      <c r="C54" s="51"/>
      <c r="D54" s="56"/>
      <c r="E54" s="56"/>
      <c r="F54" s="142"/>
      <c r="G54" s="142"/>
      <c r="H54" s="52"/>
      <c r="I54" s="53"/>
      <c r="J54" s="52"/>
      <c r="K54" s="53"/>
      <c r="L54" s="52"/>
      <c r="M54" s="52"/>
      <c r="N54" s="52"/>
      <c r="O54" s="52"/>
      <c r="P54" s="192">
        <f t="shared" si="9"/>
        <v>0</v>
      </c>
      <c r="Q54" s="10"/>
      <c r="R54" s="10"/>
      <c r="S54" s="10"/>
      <c r="T54" s="10"/>
      <c r="U54" s="11">
        <f>SUM(U53)</f>
        <v>0</v>
      </c>
      <c r="V54" s="10"/>
    </row>
    <row r="55" spans="1:22" x14ac:dyDescent="0.25">
      <c r="A55" s="196">
        <v>2281</v>
      </c>
      <c r="B55" s="44" t="s">
        <v>380</v>
      </c>
      <c r="C55" s="65" t="s">
        <v>381</v>
      </c>
      <c r="D55" s="55">
        <v>189</v>
      </c>
      <c r="E55" s="55" t="s">
        <v>22</v>
      </c>
      <c r="F55" s="12">
        <v>45775</v>
      </c>
      <c r="G55" s="143"/>
      <c r="H55" s="203">
        <v>45779</v>
      </c>
      <c r="I55" s="42">
        <v>1904.27</v>
      </c>
      <c r="J55" s="1">
        <v>30</v>
      </c>
      <c r="K55" s="2">
        <f>I55/J55</f>
        <v>63.475666666666669</v>
      </c>
      <c r="L55" s="1">
        <v>0</v>
      </c>
      <c r="M55" s="1">
        <v>2</v>
      </c>
      <c r="N55" s="1">
        <v>0</v>
      </c>
      <c r="O55" s="1">
        <v>0</v>
      </c>
      <c r="P55" s="192">
        <f>L55+M55+N55+O55</f>
        <v>2</v>
      </c>
      <c r="Q55" s="42">
        <f>K55*50%*L55</f>
        <v>0</v>
      </c>
      <c r="R55" s="42">
        <f>K55*60%*M55</f>
        <v>76.1708</v>
      </c>
      <c r="S55" s="42">
        <f>K55*60%*N55</f>
        <v>0</v>
      </c>
      <c r="T55" s="42">
        <f>K55*75%*O55</f>
        <v>0</v>
      </c>
      <c r="U55" s="42">
        <f>S55+T55</f>
        <v>0</v>
      </c>
      <c r="V55" s="42">
        <f>K55*(M55+O55+L55+N55)*100%</f>
        <v>126.95133333333334</v>
      </c>
    </row>
    <row r="56" spans="1:22" x14ac:dyDescent="0.25">
      <c r="A56" s="196">
        <v>2281</v>
      </c>
      <c r="B56" s="44" t="s">
        <v>380</v>
      </c>
      <c r="C56" s="65" t="s">
        <v>381</v>
      </c>
      <c r="D56" s="55">
        <v>189</v>
      </c>
      <c r="E56" s="55" t="s">
        <v>22</v>
      </c>
      <c r="F56" s="12">
        <v>45782</v>
      </c>
      <c r="G56" s="143"/>
      <c r="H56" s="203">
        <v>45789</v>
      </c>
      <c r="I56" s="42">
        <v>1812.89</v>
      </c>
      <c r="J56" s="1">
        <v>30</v>
      </c>
      <c r="K56" s="2">
        <f>I56/J56</f>
        <v>60.42966666666667</v>
      </c>
      <c r="L56" s="1">
        <v>0</v>
      </c>
      <c r="M56" s="1">
        <v>8</v>
      </c>
      <c r="N56" s="1">
        <v>0</v>
      </c>
      <c r="O56" s="1">
        <v>0</v>
      </c>
      <c r="P56" s="192">
        <f>L56+M56+N56+O56</f>
        <v>8</v>
      </c>
      <c r="Q56" s="42">
        <f>K56*50%*L56</f>
        <v>0</v>
      </c>
      <c r="R56" s="42">
        <f>K56*60%*M56</f>
        <v>290.06240000000003</v>
      </c>
      <c r="S56" s="42">
        <f>K56*60%*N56</f>
        <v>0</v>
      </c>
      <c r="T56" s="42">
        <f>K56*75%*O56</f>
        <v>0</v>
      </c>
      <c r="U56" s="42">
        <f>S56+T56</f>
        <v>0</v>
      </c>
      <c r="V56" s="42">
        <f>K56*(M56+O56+L56+N56)*100%</f>
        <v>483.43733333333336</v>
      </c>
    </row>
    <row r="57" spans="1:22" x14ac:dyDescent="0.25">
      <c r="A57" s="196">
        <v>2281</v>
      </c>
      <c r="B57" s="44" t="s">
        <v>79</v>
      </c>
      <c r="C57" s="65" t="s">
        <v>73</v>
      </c>
      <c r="D57" s="55">
        <v>189</v>
      </c>
      <c r="E57" s="55" t="s">
        <v>22</v>
      </c>
      <c r="F57" s="12">
        <v>45363</v>
      </c>
      <c r="G57" s="143">
        <v>45762</v>
      </c>
      <c r="H57" s="12" t="s">
        <v>280</v>
      </c>
      <c r="I57" s="42">
        <v>1901.68</v>
      </c>
      <c r="J57" s="1">
        <v>30</v>
      </c>
      <c r="K57" s="2">
        <f>I57/J57</f>
        <v>63.389333333333333</v>
      </c>
      <c r="L57" s="1">
        <v>0</v>
      </c>
      <c r="M57" s="1">
        <v>0</v>
      </c>
      <c r="N57" s="1">
        <v>0</v>
      </c>
      <c r="O57" s="1">
        <v>31</v>
      </c>
      <c r="P57" s="192">
        <f t="shared" si="9"/>
        <v>31</v>
      </c>
      <c r="Q57" s="42">
        <f>K57*50%*L57</f>
        <v>0</v>
      </c>
      <c r="R57" s="42">
        <f>K57*60%*M57</f>
        <v>0</v>
      </c>
      <c r="S57" s="42">
        <f>K57*60%*N57</f>
        <v>0</v>
      </c>
      <c r="T57" s="42">
        <f>K57*75%*O57</f>
        <v>1473.8020000000001</v>
      </c>
      <c r="U57" s="42">
        <f>S57+T57</f>
        <v>1473.8020000000001</v>
      </c>
      <c r="V57" s="42">
        <f>K57*(M57+O57+L57+N57)*100%</f>
        <v>1965.0693333333334</v>
      </c>
    </row>
    <row r="58" spans="1:22" x14ac:dyDescent="0.25">
      <c r="A58" s="196">
        <v>2281</v>
      </c>
      <c r="B58" s="44" t="s">
        <v>345</v>
      </c>
      <c r="C58" s="65" t="s">
        <v>346</v>
      </c>
      <c r="D58" s="55">
        <v>100</v>
      </c>
      <c r="E58" s="55" t="s">
        <v>22</v>
      </c>
      <c r="F58" s="12">
        <v>45750</v>
      </c>
      <c r="G58" s="143"/>
      <c r="H58" s="203">
        <v>45799</v>
      </c>
      <c r="I58" s="42">
        <v>1818.61</v>
      </c>
      <c r="J58" s="1">
        <v>30</v>
      </c>
      <c r="K58" s="2">
        <f>I58/J58</f>
        <v>60.620333333333328</v>
      </c>
      <c r="L58" s="1">
        <v>0</v>
      </c>
      <c r="M58" s="1">
        <v>0</v>
      </c>
      <c r="N58" s="1">
        <v>0</v>
      </c>
      <c r="O58" s="1">
        <v>22</v>
      </c>
      <c r="P58" s="192">
        <f>L58+M58+N58+O58</f>
        <v>22</v>
      </c>
      <c r="Q58" s="42">
        <f>K58*50%*L58</f>
        <v>0</v>
      </c>
      <c r="R58" s="42">
        <f>K58*60%*M58</f>
        <v>0</v>
      </c>
      <c r="S58" s="42">
        <f>K58*60%*N58</f>
        <v>0</v>
      </c>
      <c r="T58" s="42">
        <f>K58*75%*O58</f>
        <v>1000.2355</v>
      </c>
      <c r="U58" s="42">
        <f>S58+T58</f>
        <v>1000.2355</v>
      </c>
      <c r="V58" s="42">
        <f>K58*(M58+O58+L58+N58)*100%</f>
        <v>1333.6473333333331</v>
      </c>
    </row>
    <row r="59" spans="1:22" s="185" customFormat="1" ht="14.1" customHeight="1" x14ac:dyDescent="0.25">
      <c r="A59" s="196">
        <v>2281</v>
      </c>
      <c r="B59" s="44" t="s">
        <v>95</v>
      </c>
      <c r="C59" s="65" t="s">
        <v>96</v>
      </c>
      <c r="D59" s="55">
        <v>100</v>
      </c>
      <c r="E59" s="55" t="s">
        <v>22</v>
      </c>
      <c r="F59" s="12">
        <v>45448</v>
      </c>
      <c r="G59" s="143"/>
      <c r="H59" s="203">
        <v>45791</v>
      </c>
      <c r="I59" s="42">
        <v>1813.28</v>
      </c>
      <c r="J59" s="1">
        <v>30</v>
      </c>
      <c r="K59" s="2">
        <f>I59/J59</f>
        <v>60.442666666666668</v>
      </c>
      <c r="L59" s="1">
        <v>0</v>
      </c>
      <c r="M59" s="1">
        <v>0</v>
      </c>
      <c r="N59" s="1">
        <v>0</v>
      </c>
      <c r="O59" s="1">
        <v>14</v>
      </c>
      <c r="P59" s="192">
        <f t="shared" si="9"/>
        <v>14</v>
      </c>
      <c r="Q59" s="42">
        <f>K59*50%*L59</f>
        <v>0</v>
      </c>
      <c r="R59" s="42">
        <f>K59*60%*M59</f>
        <v>0</v>
      </c>
      <c r="S59" s="42">
        <f>K59*60%*N59</f>
        <v>0</v>
      </c>
      <c r="T59" s="42">
        <f>K59*75%*O59</f>
        <v>634.64800000000002</v>
      </c>
      <c r="U59" s="42">
        <f>S59+T59</f>
        <v>634.64800000000002</v>
      </c>
      <c r="V59" s="42">
        <f>K59*(M59+O59+L59+N59)*100%</f>
        <v>846.19733333333329</v>
      </c>
    </row>
    <row r="60" spans="1:22" s="185" customFormat="1" ht="13.5" customHeight="1" x14ac:dyDescent="0.25">
      <c r="A60" s="193" t="s">
        <v>103</v>
      </c>
      <c r="B60" s="177"/>
      <c r="C60" s="178"/>
      <c r="D60" s="179"/>
      <c r="E60" s="180"/>
      <c r="F60" s="194"/>
      <c r="G60" s="181"/>
      <c r="H60" s="194"/>
      <c r="I60" s="182" t="s">
        <v>388</v>
      </c>
      <c r="J60" s="183"/>
      <c r="K60" s="184"/>
      <c r="L60" s="183"/>
      <c r="M60" s="183"/>
      <c r="N60" s="183"/>
      <c r="O60" s="183"/>
      <c r="P60" s="192">
        <f t="shared" si="9"/>
        <v>0</v>
      </c>
      <c r="Q60" s="182"/>
      <c r="R60" s="182"/>
      <c r="S60" s="182"/>
      <c r="T60" s="182"/>
      <c r="U60" s="182"/>
      <c r="V60" s="182"/>
    </row>
    <row r="61" spans="1:22" s="185" customFormat="1" ht="15" customHeight="1" x14ac:dyDescent="0.25">
      <c r="A61" s="195">
        <v>2281</v>
      </c>
      <c r="B61" s="9" t="s">
        <v>60</v>
      </c>
      <c r="C61" s="51"/>
      <c r="D61" s="56"/>
      <c r="E61" s="56"/>
      <c r="F61" s="142"/>
      <c r="G61" s="142"/>
      <c r="H61" s="52"/>
      <c r="I61" s="53"/>
      <c r="J61" s="52"/>
      <c r="K61" s="53"/>
      <c r="L61" s="52"/>
      <c r="M61" s="52"/>
      <c r="N61" s="52"/>
      <c r="O61" s="52"/>
      <c r="P61" s="192">
        <f t="shared" si="9"/>
        <v>0</v>
      </c>
      <c r="Q61" s="10"/>
      <c r="R61" s="10"/>
      <c r="S61" s="10"/>
      <c r="T61" s="10"/>
      <c r="U61" s="11">
        <f>SUM(U57:U60)</f>
        <v>3108.6855000000005</v>
      </c>
      <c r="V61" s="10"/>
    </row>
    <row r="62" spans="1:22" x14ac:dyDescent="0.25">
      <c r="A62" s="196">
        <v>2290</v>
      </c>
      <c r="B62" s="44" t="s">
        <v>74</v>
      </c>
      <c r="C62" s="65" t="s">
        <v>75</v>
      </c>
      <c r="D62" s="55">
        <v>100</v>
      </c>
      <c r="E62" s="55" t="s">
        <v>22</v>
      </c>
      <c r="F62" s="12">
        <v>45347</v>
      </c>
      <c r="G62" s="143"/>
      <c r="H62" s="203">
        <v>45782</v>
      </c>
      <c r="I62" s="42">
        <v>744.29</v>
      </c>
      <c r="J62" s="1">
        <v>16</v>
      </c>
      <c r="K62" s="2">
        <f>I62/J62</f>
        <v>46.518124999999998</v>
      </c>
      <c r="L62" s="1">
        <v>0</v>
      </c>
      <c r="M62" s="1">
        <v>0</v>
      </c>
      <c r="N62" s="1">
        <v>0</v>
      </c>
      <c r="O62" s="1">
        <v>5</v>
      </c>
      <c r="P62" s="192">
        <f t="shared" si="9"/>
        <v>5</v>
      </c>
      <c r="Q62" s="42">
        <f>K62*50%*L62</f>
        <v>0</v>
      </c>
      <c r="R62" s="42">
        <f>K62*60%*M62</f>
        <v>0</v>
      </c>
      <c r="S62" s="42">
        <f>K62*60%*N62</f>
        <v>0</v>
      </c>
      <c r="T62" s="42">
        <f>K62*75%*O62</f>
        <v>174.44296874999998</v>
      </c>
      <c r="U62" s="42">
        <f>S62+T62</f>
        <v>174.44296874999998</v>
      </c>
      <c r="V62" s="42">
        <f>K62*(M62+O62+L62+N62)*100%</f>
        <v>232.59062499999999</v>
      </c>
    </row>
    <row r="63" spans="1:22" s="185" customFormat="1" ht="14.25" customHeight="1" x14ac:dyDescent="0.25">
      <c r="A63" s="193" t="s">
        <v>176</v>
      </c>
      <c r="B63" s="177"/>
      <c r="C63" s="178"/>
      <c r="D63" s="179"/>
      <c r="E63" s="180"/>
      <c r="F63" s="194"/>
      <c r="G63" s="181"/>
      <c r="H63" s="194"/>
      <c r="I63" s="182" t="s">
        <v>388</v>
      </c>
      <c r="J63" s="183"/>
      <c r="K63" s="184"/>
      <c r="L63" s="183"/>
      <c r="M63" s="183"/>
      <c r="N63" s="183"/>
      <c r="O63" s="183"/>
      <c r="P63" s="192"/>
      <c r="Q63" s="182"/>
      <c r="R63" s="182"/>
      <c r="S63" s="182"/>
      <c r="T63" s="182"/>
      <c r="U63" s="182"/>
      <c r="V63" s="182"/>
    </row>
    <row r="64" spans="1:22" x14ac:dyDescent="0.25">
      <c r="A64" s="196">
        <v>2290</v>
      </c>
      <c r="B64" s="44" t="s">
        <v>408</v>
      </c>
      <c r="C64" s="65" t="s">
        <v>409</v>
      </c>
      <c r="D64" s="55">
        <v>100</v>
      </c>
      <c r="E64" s="55" t="s">
        <v>22</v>
      </c>
      <c r="F64" s="12">
        <v>45791</v>
      </c>
      <c r="G64" s="143"/>
      <c r="H64" s="203">
        <v>45792</v>
      </c>
      <c r="I64" s="42">
        <v>1512.48</v>
      </c>
      <c r="J64" s="1">
        <v>30</v>
      </c>
      <c r="K64" s="2">
        <f>I64/J64</f>
        <v>50.416000000000004</v>
      </c>
      <c r="L64" s="1">
        <v>2</v>
      </c>
      <c r="M64" s="1">
        <v>0</v>
      </c>
      <c r="N64" s="1">
        <v>0</v>
      </c>
      <c r="O64" s="1">
        <v>0</v>
      </c>
      <c r="P64" s="192">
        <f>L64+M64+N64+O64</f>
        <v>2</v>
      </c>
      <c r="Q64" s="42">
        <f>K64*50%*L64</f>
        <v>50.416000000000004</v>
      </c>
      <c r="R64" s="42">
        <f>K64*60%*M64</f>
        <v>0</v>
      </c>
      <c r="S64" s="42">
        <f>K64*60%*N64</f>
        <v>0</v>
      </c>
      <c r="T64" s="42">
        <f>K64*75%*O64</f>
        <v>0</v>
      </c>
      <c r="U64" s="42">
        <f>S64+T64</f>
        <v>0</v>
      </c>
      <c r="V64" s="42">
        <f>K64*(M64+O64+L64+N64)*100%</f>
        <v>100.83200000000001</v>
      </c>
    </row>
    <row r="65" spans="1:22" x14ac:dyDescent="0.25">
      <c r="A65" s="196">
        <v>2290</v>
      </c>
      <c r="B65" s="44" t="s">
        <v>415</v>
      </c>
      <c r="C65" s="65" t="s">
        <v>416</v>
      </c>
      <c r="D65" s="55">
        <v>100</v>
      </c>
      <c r="E65" s="55" t="s">
        <v>22</v>
      </c>
      <c r="F65" s="12">
        <v>45793</v>
      </c>
      <c r="G65" s="143"/>
      <c r="H65" s="203">
        <v>45796</v>
      </c>
      <c r="I65" s="42">
        <v>1547.48</v>
      </c>
      <c r="J65" s="1">
        <v>30</v>
      </c>
      <c r="K65" s="2">
        <f>I65/J65</f>
        <v>51.582666666666668</v>
      </c>
      <c r="L65" s="1">
        <v>3</v>
      </c>
      <c r="M65" s="1">
        <v>1</v>
      </c>
      <c r="N65" s="1">
        <v>0</v>
      </c>
      <c r="O65" s="1">
        <v>0</v>
      </c>
      <c r="P65" s="192">
        <f>L65+M65+N65+O65</f>
        <v>4</v>
      </c>
      <c r="Q65" s="42">
        <f>K65*50%*L65</f>
        <v>77.373999999999995</v>
      </c>
      <c r="R65" s="42">
        <f>K65*60%*M65</f>
        <v>30.9496</v>
      </c>
      <c r="S65" s="42">
        <f>K65*60%*N65</f>
        <v>0</v>
      </c>
      <c r="T65" s="42">
        <f>K65*75%*O65</f>
        <v>0</v>
      </c>
      <c r="U65" s="42">
        <f>S65+T65</f>
        <v>0</v>
      </c>
      <c r="V65" s="42">
        <f>K65*(M65+O65+L65+N65)*100%</f>
        <v>206.33066666666667</v>
      </c>
    </row>
    <row r="66" spans="1:22" x14ac:dyDescent="0.25">
      <c r="A66" s="196">
        <v>2290</v>
      </c>
      <c r="B66" s="44" t="s">
        <v>415</v>
      </c>
      <c r="C66" s="65" t="s">
        <v>416</v>
      </c>
      <c r="D66" s="55">
        <v>100</v>
      </c>
      <c r="E66" s="55" t="s">
        <v>22</v>
      </c>
      <c r="F66" s="12">
        <v>45793</v>
      </c>
      <c r="G66" s="143"/>
      <c r="H66" s="203">
        <v>45797</v>
      </c>
      <c r="I66" s="42">
        <v>1547.48</v>
      </c>
      <c r="J66" s="1">
        <v>30</v>
      </c>
      <c r="K66" s="2">
        <f>I66/J66</f>
        <v>51.582666666666668</v>
      </c>
      <c r="L66" s="1">
        <v>0</v>
      </c>
      <c r="M66" s="1">
        <v>1</v>
      </c>
      <c r="N66" s="1">
        <v>0</v>
      </c>
      <c r="O66" s="1">
        <v>0</v>
      </c>
      <c r="P66" s="192">
        <f>L66+M66+N66+O66</f>
        <v>1</v>
      </c>
      <c r="Q66" s="42">
        <f>K66*50%*L66</f>
        <v>0</v>
      </c>
      <c r="R66" s="42">
        <f>K66*60%*M66</f>
        <v>30.9496</v>
      </c>
      <c r="S66" s="42">
        <f>K66*60%*N66</f>
        <v>0</v>
      </c>
      <c r="T66" s="42">
        <f>K66*75%*O66</f>
        <v>0</v>
      </c>
      <c r="U66" s="42">
        <f>S66+T66</f>
        <v>0</v>
      </c>
      <c r="V66" s="42">
        <f>K66*(M66+O66+L66+N66)*100%</f>
        <v>51.582666666666668</v>
      </c>
    </row>
    <row r="67" spans="1:22" x14ac:dyDescent="0.25">
      <c r="A67" s="196">
        <v>2290</v>
      </c>
      <c r="B67" s="44" t="s">
        <v>406</v>
      </c>
      <c r="C67" s="65" t="s">
        <v>407</v>
      </c>
      <c r="D67" s="55">
        <v>100</v>
      </c>
      <c r="E67" s="55" t="s">
        <v>22</v>
      </c>
      <c r="F67" s="12">
        <v>45791</v>
      </c>
      <c r="G67" s="143">
        <v>45812</v>
      </c>
      <c r="H67" s="12" t="s">
        <v>431</v>
      </c>
      <c r="I67" s="42">
        <v>1547.48</v>
      </c>
      <c r="J67" s="1">
        <v>30</v>
      </c>
      <c r="K67" s="2">
        <f>I67/J67</f>
        <v>51.582666666666668</v>
      </c>
      <c r="L67" s="1">
        <v>3</v>
      </c>
      <c r="M67" s="1">
        <v>12</v>
      </c>
      <c r="N67" s="1">
        <v>3</v>
      </c>
      <c r="O67" s="1">
        <v>0</v>
      </c>
      <c r="P67" s="192">
        <f>L67+M67+N67+O67</f>
        <v>18</v>
      </c>
      <c r="Q67" s="42">
        <f>K67*50%*L67</f>
        <v>77.373999999999995</v>
      </c>
      <c r="R67" s="42">
        <f>K67*60%*M67</f>
        <v>371.39519999999999</v>
      </c>
      <c r="S67" s="42">
        <f>K67*60%*N67</f>
        <v>92.848799999999997</v>
      </c>
      <c r="T67" s="42">
        <f>K67*75%*O67</f>
        <v>0</v>
      </c>
      <c r="U67" s="42">
        <f>S67+T67</f>
        <v>92.848799999999997</v>
      </c>
      <c r="V67" s="42">
        <f>K67*(M67+O67+L67+N67)*100%</f>
        <v>928.48800000000006</v>
      </c>
    </row>
    <row r="68" spans="1:22" s="185" customFormat="1" ht="14.25" customHeight="1" x14ac:dyDescent="0.25">
      <c r="A68" s="193" t="s">
        <v>414</v>
      </c>
      <c r="B68" s="177"/>
      <c r="C68" s="178"/>
      <c r="D68" s="179"/>
      <c r="E68" s="180"/>
      <c r="F68" s="194"/>
      <c r="G68" s="181"/>
      <c r="H68" s="194"/>
      <c r="I68" s="182"/>
      <c r="J68" s="183"/>
      <c r="K68" s="184"/>
      <c r="L68" s="183"/>
      <c r="M68" s="183"/>
      <c r="N68" s="183"/>
      <c r="O68" s="183"/>
      <c r="P68" s="192"/>
      <c r="Q68" s="182"/>
      <c r="R68" s="182"/>
      <c r="S68" s="182"/>
      <c r="T68" s="182"/>
      <c r="U68" s="182"/>
      <c r="V68" s="182"/>
    </row>
    <row r="69" spans="1:22" x14ac:dyDescent="0.25">
      <c r="A69" s="196">
        <v>2290</v>
      </c>
      <c r="B69" s="44" t="s">
        <v>98</v>
      </c>
      <c r="C69" s="65" t="s">
        <v>99</v>
      </c>
      <c r="D69" s="55">
        <v>100</v>
      </c>
      <c r="E69" s="55" t="s">
        <v>22</v>
      </c>
      <c r="F69" s="12">
        <v>45607</v>
      </c>
      <c r="G69" s="143">
        <v>45810</v>
      </c>
      <c r="H69" s="12" t="s">
        <v>400</v>
      </c>
      <c r="I69" s="42">
        <v>1500.04</v>
      </c>
      <c r="J69" s="1">
        <v>30</v>
      </c>
      <c r="K69" s="2">
        <f>I69/J69</f>
        <v>50.001333333333335</v>
      </c>
      <c r="L69" s="1">
        <v>0</v>
      </c>
      <c r="M69" s="1">
        <v>0</v>
      </c>
      <c r="N69" s="1">
        <v>0</v>
      </c>
      <c r="O69" s="1">
        <v>31</v>
      </c>
      <c r="P69" s="192">
        <f>L69+M69+N69+O69</f>
        <v>31</v>
      </c>
      <c r="Q69" s="42">
        <f>K69*50%*L69</f>
        <v>0</v>
      </c>
      <c r="R69" s="42">
        <f>K69*60%*M69</f>
        <v>0</v>
      </c>
      <c r="S69" s="42">
        <f>K69*60%*N69</f>
        <v>0</v>
      </c>
      <c r="T69" s="42">
        <f>K69*75%*O69</f>
        <v>1162.5310000000002</v>
      </c>
      <c r="U69" s="42">
        <f>S69+T69</f>
        <v>1162.5310000000002</v>
      </c>
      <c r="V69" s="42">
        <f>K69*(M69+O69+L69+N69)*100%</f>
        <v>1550.0413333333333</v>
      </c>
    </row>
    <row r="70" spans="1:22" x14ac:dyDescent="0.25">
      <c r="A70" s="193" t="s">
        <v>428</v>
      </c>
      <c r="B70" s="177"/>
      <c r="C70" s="178"/>
      <c r="D70" s="179"/>
      <c r="E70" s="180"/>
      <c r="F70" s="194"/>
      <c r="G70" s="181"/>
      <c r="H70" s="194"/>
      <c r="I70" s="182"/>
      <c r="J70" s="183"/>
      <c r="K70" s="184"/>
      <c r="L70" s="183"/>
      <c r="M70" s="183"/>
      <c r="N70" s="183"/>
      <c r="O70" s="183"/>
      <c r="P70" s="192"/>
      <c r="Q70" s="182"/>
      <c r="R70" s="182"/>
      <c r="S70" s="182"/>
      <c r="T70" s="182"/>
      <c r="U70" s="182"/>
      <c r="V70" s="182"/>
    </row>
    <row r="71" spans="1:22" s="185" customFormat="1" ht="14.25" customHeight="1" x14ac:dyDescent="0.25">
      <c r="A71" s="196">
        <v>2290</v>
      </c>
      <c r="B71" s="44" t="s">
        <v>230</v>
      </c>
      <c r="C71" s="65" t="s">
        <v>231</v>
      </c>
      <c r="D71" s="55">
        <v>100</v>
      </c>
      <c r="E71" s="55" t="s">
        <v>22</v>
      </c>
      <c r="F71" s="12">
        <v>45694</v>
      </c>
      <c r="G71" s="143">
        <v>45820</v>
      </c>
      <c r="H71" s="12" t="s">
        <v>432</v>
      </c>
      <c r="I71" s="42">
        <v>1771.25</v>
      </c>
      <c r="J71" s="1">
        <v>74</v>
      </c>
      <c r="K71" s="2">
        <f>I71/J71</f>
        <v>23.935810810810811</v>
      </c>
      <c r="L71" s="1">
        <v>0</v>
      </c>
      <c r="M71" s="1">
        <v>0</v>
      </c>
      <c r="N71" s="1">
        <v>0</v>
      </c>
      <c r="O71" s="1">
        <v>31</v>
      </c>
      <c r="P71" s="192">
        <f>L71+M71+N71+O71</f>
        <v>31</v>
      </c>
      <c r="Q71" s="42">
        <f>K71*50%*L71</f>
        <v>0</v>
      </c>
      <c r="R71" s="42">
        <f>K71*60%*M71</f>
        <v>0</v>
      </c>
      <c r="S71" s="42">
        <f>K71*60%*N71</f>
        <v>0</v>
      </c>
      <c r="T71" s="42">
        <f>K71*75%*O71</f>
        <v>556.50760135135135</v>
      </c>
      <c r="U71" s="42">
        <f>S71+T71</f>
        <v>556.50760135135135</v>
      </c>
      <c r="V71" s="42">
        <f>K71*(M71+O71+L71+N71)*100%</f>
        <v>742.0101351351351</v>
      </c>
    </row>
    <row r="72" spans="1:22" s="185" customFormat="1" ht="15" customHeight="1" x14ac:dyDescent="0.25">
      <c r="A72" s="209">
        <v>2290</v>
      </c>
      <c r="B72" s="210" t="s">
        <v>427</v>
      </c>
      <c r="C72" s="211" t="s">
        <v>437</v>
      </c>
      <c r="D72" s="212">
        <v>100</v>
      </c>
      <c r="E72" s="212" t="s">
        <v>22</v>
      </c>
      <c r="F72" s="213">
        <v>45797</v>
      </c>
      <c r="G72" s="237"/>
      <c r="H72" s="213"/>
      <c r="I72" s="214">
        <v>1547.49</v>
      </c>
      <c r="J72" s="215">
        <v>30</v>
      </c>
      <c r="K72" s="216">
        <f>I72/J72</f>
        <v>51.582999999999998</v>
      </c>
      <c r="L72" s="215">
        <v>0</v>
      </c>
      <c r="M72" s="215">
        <v>0</v>
      </c>
      <c r="N72" s="215">
        <v>0</v>
      </c>
      <c r="O72" s="215">
        <v>12</v>
      </c>
      <c r="P72" s="238">
        <f>L72+M72+N72+O72</f>
        <v>12</v>
      </c>
      <c r="Q72" s="214">
        <f>K72*50%*L72</f>
        <v>0</v>
      </c>
      <c r="R72" s="214">
        <f>K72*60%*M72</f>
        <v>0</v>
      </c>
      <c r="S72" s="214">
        <f>K72*60%*N72</f>
        <v>0</v>
      </c>
      <c r="T72" s="214">
        <f>K72*75%*O72</f>
        <v>464.24699999999996</v>
      </c>
      <c r="U72" s="214">
        <f>S72+T72</f>
        <v>464.24699999999996</v>
      </c>
      <c r="V72" s="214">
        <f>K72*(M72+O72+L72+N72)*100%</f>
        <v>618.99599999999998</v>
      </c>
    </row>
    <row r="73" spans="1:22" s="185" customFormat="1" ht="15" customHeight="1" x14ac:dyDescent="0.25">
      <c r="A73" s="193" t="s">
        <v>426</v>
      </c>
      <c r="B73" s="177"/>
      <c r="C73" s="178"/>
      <c r="D73" s="179"/>
      <c r="E73" s="180"/>
      <c r="F73" s="194"/>
      <c r="G73" s="181"/>
      <c r="H73" s="194"/>
      <c r="I73" s="182"/>
      <c r="J73" s="183"/>
      <c r="K73" s="184"/>
      <c r="L73" s="183"/>
      <c r="M73" s="183"/>
      <c r="N73" s="183"/>
      <c r="O73" s="183"/>
      <c r="P73" s="192"/>
      <c r="Q73" s="182"/>
      <c r="R73" s="182"/>
      <c r="S73" s="182"/>
      <c r="T73" s="182"/>
      <c r="U73" s="182"/>
      <c r="V73" s="182"/>
    </row>
    <row r="74" spans="1:22" x14ac:dyDescent="0.25">
      <c r="A74" s="196">
        <v>2290</v>
      </c>
      <c r="B74" s="44" t="s">
        <v>97</v>
      </c>
      <c r="C74" s="65" t="s">
        <v>100</v>
      </c>
      <c r="D74" s="55">
        <v>100</v>
      </c>
      <c r="E74" s="55" t="s">
        <v>22</v>
      </c>
      <c r="F74" s="12">
        <v>45561</v>
      </c>
      <c r="G74" s="143">
        <v>45811</v>
      </c>
      <c r="H74" s="12" t="s">
        <v>402</v>
      </c>
      <c r="I74" s="42">
        <v>1512.48</v>
      </c>
      <c r="J74" s="1">
        <v>30</v>
      </c>
      <c r="K74" s="2">
        <f>I74/J74</f>
        <v>50.416000000000004</v>
      </c>
      <c r="L74" s="1">
        <v>0</v>
      </c>
      <c r="M74" s="1">
        <v>0</v>
      </c>
      <c r="N74" s="1">
        <v>0</v>
      </c>
      <c r="O74" s="1">
        <v>31</v>
      </c>
      <c r="P74" s="192">
        <f>L74+M74+N74+O74</f>
        <v>31</v>
      </c>
      <c r="Q74" s="42">
        <f>K74*50%*L74</f>
        <v>0</v>
      </c>
      <c r="R74" s="42">
        <f>K74*60%*M74</f>
        <v>0</v>
      </c>
      <c r="S74" s="42">
        <f>K74*60%*N74</f>
        <v>0</v>
      </c>
      <c r="T74" s="42">
        <f>K74*75%*O74</f>
        <v>1172.1720000000003</v>
      </c>
      <c r="U74" s="42">
        <f>S74+T74</f>
        <v>1172.1720000000003</v>
      </c>
      <c r="V74" s="42">
        <f>K74*(M74+O74+L74+N74)*100%</f>
        <v>1562.8960000000002</v>
      </c>
    </row>
    <row r="75" spans="1:22" s="185" customFormat="1" ht="15" customHeight="1" x14ac:dyDescent="0.25">
      <c r="A75" s="193" t="s">
        <v>117</v>
      </c>
      <c r="B75" s="177"/>
      <c r="C75" s="178"/>
      <c r="D75" s="179"/>
      <c r="E75" s="180"/>
      <c r="F75" s="194"/>
      <c r="G75" s="181"/>
      <c r="H75" s="194"/>
      <c r="I75" s="182"/>
      <c r="J75" s="183"/>
      <c r="K75" s="184"/>
      <c r="L75" s="183"/>
      <c r="M75" s="183"/>
      <c r="N75" s="183"/>
      <c r="O75" s="183"/>
      <c r="P75" s="192"/>
      <c r="Q75" s="182"/>
      <c r="R75" s="182"/>
      <c r="S75" s="182"/>
      <c r="T75" s="182"/>
      <c r="U75" s="182"/>
      <c r="V75" s="182"/>
    </row>
    <row r="76" spans="1:22" x14ac:dyDescent="0.25">
      <c r="A76" s="89">
        <v>2290</v>
      </c>
      <c r="B76" s="68" t="s">
        <v>113</v>
      </c>
      <c r="C76" s="66" t="s">
        <v>114</v>
      </c>
      <c r="D76" s="205">
        <v>100</v>
      </c>
      <c r="E76" s="205" t="s">
        <v>22</v>
      </c>
      <c r="F76" s="141">
        <v>45697</v>
      </c>
      <c r="G76" s="141"/>
      <c r="H76" s="147">
        <v>45808</v>
      </c>
      <c r="I76" s="85"/>
      <c r="J76" s="85"/>
      <c r="K76" s="85"/>
      <c r="L76" s="199"/>
      <c r="M76" s="199"/>
      <c r="N76" s="199"/>
      <c r="O76" s="85"/>
      <c r="P76" s="83"/>
      <c r="Q76" s="83" t="s">
        <v>92</v>
      </c>
      <c r="R76" s="68"/>
      <c r="S76" s="68"/>
      <c r="T76" s="68"/>
      <c r="U76" s="85"/>
      <c r="V76" s="68"/>
    </row>
    <row r="77" spans="1:22" x14ac:dyDescent="0.25">
      <c r="A77" s="89">
        <v>2290</v>
      </c>
      <c r="B77" s="68" t="s">
        <v>113</v>
      </c>
      <c r="C77" s="66" t="s">
        <v>114</v>
      </c>
      <c r="D77" s="205">
        <v>100</v>
      </c>
      <c r="E77" s="205" t="s">
        <v>22</v>
      </c>
      <c r="F77" s="141">
        <v>45809</v>
      </c>
      <c r="G77" s="141"/>
      <c r="H77" s="147">
        <v>45827</v>
      </c>
      <c r="I77" s="85"/>
      <c r="J77" s="85"/>
      <c r="K77" s="85"/>
      <c r="L77" s="199"/>
      <c r="M77" s="199"/>
      <c r="N77" s="199"/>
      <c r="O77" s="85"/>
      <c r="P77" s="83"/>
      <c r="Q77" s="83" t="s">
        <v>72</v>
      </c>
      <c r="R77" s="68"/>
      <c r="S77" s="68"/>
      <c r="T77" s="68"/>
      <c r="U77" s="85"/>
      <c r="V77" s="68"/>
    </row>
    <row r="78" spans="1:22" x14ac:dyDescent="0.25">
      <c r="A78" s="193" t="s">
        <v>333</v>
      </c>
      <c r="B78" s="177"/>
      <c r="C78" s="178"/>
      <c r="D78" s="179"/>
      <c r="E78" s="180"/>
      <c r="F78" s="194"/>
      <c r="G78" s="181"/>
      <c r="H78" s="194"/>
      <c r="I78" s="231"/>
      <c r="J78" s="232"/>
      <c r="K78" s="233"/>
      <c r="L78" s="183"/>
      <c r="M78" s="183"/>
      <c r="N78" s="183"/>
      <c r="O78" s="183"/>
      <c r="P78" s="192"/>
      <c r="Q78" s="182"/>
      <c r="R78" s="182"/>
      <c r="S78" s="182"/>
      <c r="T78" s="182"/>
      <c r="U78" s="182"/>
      <c r="V78" s="182"/>
    </row>
    <row r="79" spans="1:22" x14ac:dyDescent="0.25">
      <c r="A79" s="197">
        <v>2290</v>
      </c>
      <c r="B79" s="9" t="s">
        <v>54</v>
      </c>
      <c r="C79" s="51"/>
      <c r="D79" s="56"/>
      <c r="E79" s="56"/>
      <c r="F79" s="142"/>
      <c r="G79" s="142"/>
      <c r="H79" s="52"/>
      <c r="I79" s="53"/>
      <c r="J79" s="52"/>
      <c r="K79" s="53"/>
      <c r="L79" s="52"/>
      <c r="M79" s="52"/>
      <c r="N79" s="52"/>
      <c r="O79" s="52"/>
      <c r="P79" s="192">
        <f t="shared" ref="P79:P87" si="10">L79+M79+N79+O79</f>
        <v>0</v>
      </c>
      <c r="Q79" s="10"/>
      <c r="R79" s="10"/>
      <c r="S79" s="10"/>
      <c r="T79" s="10"/>
      <c r="U79" s="11">
        <f>SUM(U62:U75)</f>
        <v>3622.7493701013518</v>
      </c>
      <c r="V79" s="10"/>
    </row>
    <row r="80" spans="1:22" s="185" customFormat="1" x14ac:dyDescent="0.25">
      <c r="A80" s="196">
        <v>2350</v>
      </c>
      <c r="B80" s="44" t="s">
        <v>93</v>
      </c>
      <c r="C80" s="65" t="s">
        <v>94</v>
      </c>
      <c r="D80" s="55">
        <v>100</v>
      </c>
      <c r="E80" s="55" t="s">
        <v>22</v>
      </c>
      <c r="F80" s="12">
        <v>45443</v>
      </c>
      <c r="G80" s="143">
        <v>45807</v>
      </c>
      <c r="H80" s="12" t="s">
        <v>435</v>
      </c>
      <c r="I80" s="186">
        <v>1323</v>
      </c>
      <c r="J80" s="1">
        <v>30</v>
      </c>
      <c r="K80" s="2">
        <f>I80/J80</f>
        <v>44.1</v>
      </c>
      <c r="L80" s="1">
        <v>0</v>
      </c>
      <c r="M80" s="1">
        <v>0</v>
      </c>
      <c r="N80" s="1">
        <v>0</v>
      </c>
      <c r="O80" s="1">
        <v>31</v>
      </c>
      <c r="P80" s="192">
        <f>L80+M80+N80+O80</f>
        <v>31</v>
      </c>
      <c r="Q80" s="42">
        <f>K80*50%*L80</f>
        <v>0</v>
      </c>
      <c r="R80" s="42">
        <f>K80*60%*M80</f>
        <v>0</v>
      </c>
      <c r="S80" s="42">
        <f>K80*60%*N80</f>
        <v>0</v>
      </c>
      <c r="T80" s="42">
        <f>K80*75%*O80</f>
        <v>1025.325</v>
      </c>
      <c r="U80" s="42">
        <f>S80+T80</f>
        <v>1025.325</v>
      </c>
      <c r="V80" s="42">
        <f>K80*(M80+O80+L80+N80)*100%</f>
        <v>1367.1000000000001</v>
      </c>
    </row>
    <row r="81" spans="1:22" s="185" customFormat="1" x14ac:dyDescent="0.25">
      <c r="A81" s="196">
        <v>2350</v>
      </c>
      <c r="B81" s="44" t="s">
        <v>66</v>
      </c>
      <c r="C81" s="65" t="s">
        <v>67</v>
      </c>
      <c r="D81" s="55">
        <v>200</v>
      </c>
      <c r="E81" s="55" t="s">
        <v>22</v>
      </c>
      <c r="F81" s="12">
        <v>45789</v>
      </c>
      <c r="G81" s="143"/>
      <c r="H81" s="203">
        <v>45790</v>
      </c>
      <c r="I81" s="42">
        <v>3025.08</v>
      </c>
      <c r="J81" s="1">
        <v>90</v>
      </c>
      <c r="K81" s="2">
        <f>I81/J81</f>
        <v>33.612000000000002</v>
      </c>
      <c r="L81" s="1">
        <v>2</v>
      </c>
      <c r="M81" s="1">
        <v>0</v>
      </c>
      <c r="N81" s="1">
        <v>0</v>
      </c>
      <c r="O81" s="1">
        <v>0</v>
      </c>
      <c r="P81" s="192">
        <f t="shared" si="10"/>
        <v>2</v>
      </c>
      <c r="Q81" s="42">
        <f>K81*50%*L81</f>
        <v>33.612000000000002</v>
      </c>
      <c r="R81" s="42">
        <f>K81*60%*M81</f>
        <v>0</v>
      </c>
      <c r="S81" s="42">
        <f>K81*60%*N81</f>
        <v>0</v>
      </c>
      <c r="T81" s="42">
        <f>K81*75%*O81</f>
        <v>0</v>
      </c>
      <c r="U81" s="42">
        <f>S81+T81</f>
        <v>0</v>
      </c>
      <c r="V81" s="42">
        <f>K81*(M81+O81+L81+N81)*100%</f>
        <v>67.224000000000004</v>
      </c>
    </row>
    <row r="82" spans="1:22" x14ac:dyDescent="0.25">
      <c r="A82" s="197">
        <v>2350</v>
      </c>
      <c r="B82" s="9" t="s">
        <v>78</v>
      </c>
      <c r="C82" s="51"/>
      <c r="D82" s="56"/>
      <c r="E82" s="56"/>
      <c r="F82" s="142"/>
      <c r="G82" s="142"/>
      <c r="H82" s="52"/>
      <c r="I82" s="53"/>
      <c r="J82" s="52"/>
      <c r="K82" s="53"/>
      <c r="L82" s="52"/>
      <c r="M82" s="52"/>
      <c r="N82" s="52"/>
      <c r="O82" s="52"/>
      <c r="P82" s="192">
        <f t="shared" si="10"/>
        <v>0</v>
      </c>
      <c r="Q82" s="10"/>
      <c r="R82" s="10"/>
      <c r="S82" s="10"/>
      <c r="T82" s="10"/>
      <c r="U82" s="11">
        <f>SUM(U80:U81)</f>
        <v>1025.325</v>
      </c>
      <c r="V82" s="10"/>
    </row>
    <row r="83" spans="1:22" s="185" customFormat="1" x14ac:dyDescent="0.25">
      <c r="A83" s="89">
        <v>2393</v>
      </c>
      <c r="B83" s="68" t="s">
        <v>319</v>
      </c>
      <c r="C83" s="66">
        <v>381048696676</v>
      </c>
      <c r="D83" s="205">
        <v>100</v>
      </c>
      <c r="E83" s="84"/>
      <c r="F83" s="141">
        <v>45742</v>
      </c>
      <c r="G83" s="141"/>
      <c r="H83" s="147">
        <v>45797</v>
      </c>
      <c r="I83" s="85"/>
      <c r="J83" s="85"/>
      <c r="K83" s="85"/>
      <c r="L83" s="85"/>
      <c r="M83" s="85"/>
      <c r="N83" s="85"/>
      <c r="O83" s="85"/>
      <c r="P83" s="192">
        <f t="shared" si="10"/>
        <v>0</v>
      </c>
      <c r="Q83" s="83" t="s">
        <v>48</v>
      </c>
      <c r="R83" s="68"/>
      <c r="S83" s="68"/>
      <c r="T83" s="68"/>
      <c r="U83" s="85"/>
      <c r="V83" s="68"/>
    </row>
    <row r="84" spans="1:22" s="185" customFormat="1" x14ac:dyDescent="0.25">
      <c r="A84" s="193" t="s">
        <v>342</v>
      </c>
      <c r="B84" s="177"/>
      <c r="C84" s="178"/>
      <c r="D84" s="179"/>
      <c r="E84" s="180"/>
      <c r="F84" s="194"/>
      <c r="G84" s="181"/>
      <c r="H84" s="194" t="s">
        <v>429</v>
      </c>
      <c r="I84" s="224"/>
      <c r="J84" s="224"/>
      <c r="K84" s="224"/>
      <c r="L84" s="224"/>
      <c r="M84" s="224"/>
      <c r="N84" s="224"/>
      <c r="O84" s="224"/>
      <c r="P84" s="183"/>
      <c r="Q84" s="177"/>
      <c r="R84" s="225"/>
      <c r="S84" s="225"/>
      <c r="T84" s="225"/>
      <c r="U84" s="224"/>
      <c r="V84" s="225"/>
    </row>
    <row r="85" spans="1:22" x14ac:dyDescent="0.25">
      <c r="A85" s="195">
        <v>2393</v>
      </c>
      <c r="B85" s="9" t="s">
        <v>319</v>
      </c>
      <c r="C85" s="51"/>
      <c r="D85" s="56"/>
      <c r="E85" s="56"/>
      <c r="F85" s="142"/>
      <c r="G85" s="142"/>
      <c r="H85" s="52"/>
      <c r="I85" s="53"/>
      <c r="J85" s="52"/>
      <c r="K85" s="53"/>
      <c r="L85" s="52"/>
      <c r="M85" s="52"/>
      <c r="N85" s="52"/>
      <c r="O85" s="52"/>
      <c r="P85" s="192">
        <f t="shared" si="10"/>
        <v>0</v>
      </c>
      <c r="Q85" s="10"/>
      <c r="R85" s="10"/>
      <c r="S85" s="10"/>
      <c r="T85" s="10"/>
      <c r="U85" s="11">
        <f>SUM(U83)</f>
        <v>0</v>
      </c>
      <c r="V85" s="10"/>
    </row>
    <row r="86" spans="1:22" x14ac:dyDescent="0.25">
      <c r="A86" s="196">
        <v>2421</v>
      </c>
      <c r="B86" s="44" t="s">
        <v>383</v>
      </c>
      <c r="C86" s="65" t="s">
        <v>384</v>
      </c>
      <c r="D86" s="55">
        <v>100</v>
      </c>
      <c r="E86" s="55" t="s">
        <v>22</v>
      </c>
      <c r="F86" s="12">
        <v>45772</v>
      </c>
      <c r="G86" s="143">
        <v>45807</v>
      </c>
      <c r="H86" s="12" t="s">
        <v>436</v>
      </c>
      <c r="I86" s="42">
        <v>1520.28</v>
      </c>
      <c r="J86" s="1">
        <v>30</v>
      </c>
      <c r="K86" s="2">
        <f>I86/J86</f>
        <v>50.676000000000002</v>
      </c>
      <c r="L86" s="1">
        <v>0</v>
      </c>
      <c r="M86" s="1">
        <v>9</v>
      </c>
      <c r="N86" s="1">
        <v>5</v>
      </c>
      <c r="O86" s="1">
        <v>17</v>
      </c>
      <c r="P86" s="192">
        <f t="shared" si="10"/>
        <v>31</v>
      </c>
      <c r="Q86" s="42">
        <f>K86*50%*L86</f>
        <v>0</v>
      </c>
      <c r="R86" s="42">
        <f>K86*60%*M86</f>
        <v>273.65039999999999</v>
      </c>
      <c r="S86" s="42">
        <f>K86*60%*N86</f>
        <v>152.02799999999999</v>
      </c>
      <c r="T86" s="42">
        <f>K86*75%*O86</f>
        <v>646.11900000000014</v>
      </c>
      <c r="U86" s="42">
        <f>S86+T86</f>
        <v>798.14700000000016</v>
      </c>
      <c r="V86" s="42">
        <f>K86*(M86+O86+L86+N86)*100%</f>
        <v>1570.9560000000001</v>
      </c>
    </row>
    <row r="87" spans="1:22" x14ac:dyDescent="0.25">
      <c r="A87" s="195">
        <v>2421</v>
      </c>
      <c r="B87" s="9" t="s">
        <v>382</v>
      </c>
      <c r="C87" s="51"/>
      <c r="D87" s="56"/>
      <c r="E87" s="56"/>
      <c r="F87" s="142"/>
      <c r="G87" s="142"/>
      <c r="H87" s="52"/>
      <c r="I87" s="53"/>
      <c r="J87" s="52"/>
      <c r="K87" s="53"/>
      <c r="L87" s="52"/>
      <c r="M87" s="52"/>
      <c r="N87" s="52"/>
      <c r="O87" s="52"/>
      <c r="P87" s="192">
        <f t="shared" si="10"/>
        <v>0</v>
      </c>
      <c r="Q87" s="10"/>
      <c r="R87" s="10"/>
      <c r="S87" s="10"/>
      <c r="T87" s="10"/>
      <c r="U87" s="11">
        <f>SUM(U86)</f>
        <v>798.14700000000016</v>
      </c>
      <c r="V87" s="10"/>
    </row>
    <row r="88" spans="1:22" x14ac:dyDescent="0.25">
      <c r="A88" s="91"/>
      <c r="B88" s="14" t="s">
        <v>24</v>
      </c>
      <c r="C88" s="15"/>
      <c r="D88" s="57"/>
      <c r="E88" s="57"/>
      <c r="F88" s="145"/>
      <c r="G88" s="145"/>
      <c r="H88" s="67"/>
      <c r="I88" s="16"/>
      <c r="J88" s="17"/>
      <c r="K88" s="17"/>
      <c r="L88" s="17"/>
      <c r="M88" s="17"/>
      <c r="N88" s="17"/>
      <c r="O88" s="17"/>
      <c r="P88" s="18"/>
      <c r="Q88" s="16"/>
      <c r="R88" s="43"/>
      <c r="S88" s="43"/>
      <c r="T88" s="43"/>
      <c r="U88" s="43"/>
      <c r="V88" s="43"/>
    </row>
    <row r="89" spans="1:22" ht="14.25" customHeight="1" x14ac:dyDescent="0.25">
      <c r="A89" s="90">
        <v>1846</v>
      </c>
      <c r="B89" s="8" t="s">
        <v>282</v>
      </c>
      <c r="C89" s="65" t="s">
        <v>283</v>
      </c>
      <c r="D89" s="75" t="s">
        <v>52</v>
      </c>
      <c r="E89" s="55" t="s">
        <v>22</v>
      </c>
      <c r="F89" s="12">
        <v>45727</v>
      </c>
      <c r="G89" s="143"/>
      <c r="H89" s="203">
        <v>45783</v>
      </c>
      <c r="I89" s="42">
        <v>1437.9</v>
      </c>
      <c r="J89" s="1">
        <v>30</v>
      </c>
      <c r="K89" s="2">
        <f>I89/J89</f>
        <v>47.93</v>
      </c>
      <c r="L89" s="1">
        <v>0</v>
      </c>
      <c r="M89" s="1">
        <v>0</v>
      </c>
      <c r="N89" s="1">
        <v>0</v>
      </c>
      <c r="O89" s="1">
        <v>0</v>
      </c>
      <c r="P89" s="192">
        <f>L89+M89+N89+O89</f>
        <v>0</v>
      </c>
      <c r="Q89" s="42">
        <f>K89*50%*L89</f>
        <v>0</v>
      </c>
      <c r="R89" s="42">
        <f>K89*60%*M89</f>
        <v>0</v>
      </c>
      <c r="S89" s="42">
        <f>K89*60%*N89</f>
        <v>0</v>
      </c>
      <c r="T89" s="42">
        <f>K89*75%*O89</f>
        <v>0</v>
      </c>
      <c r="U89" s="42">
        <v>0</v>
      </c>
      <c r="V89" s="42">
        <v>0</v>
      </c>
    </row>
    <row r="90" spans="1:22" x14ac:dyDescent="0.25">
      <c r="A90" s="195">
        <v>1846</v>
      </c>
      <c r="B90" s="9" t="s">
        <v>138</v>
      </c>
      <c r="C90" s="51">
        <v>38120237336</v>
      </c>
      <c r="D90" s="56"/>
      <c r="E90" s="56"/>
      <c r="F90" s="142"/>
      <c r="G90" s="142"/>
      <c r="H90" s="52"/>
      <c r="I90" s="53"/>
      <c r="J90" s="52"/>
      <c r="K90" s="53"/>
      <c r="L90" s="52"/>
      <c r="M90" s="52"/>
      <c r="N90" s="52"/>
      <c r="O90" s="52"/>
      <c r="P90" s="192">
        <f>L90+M90+N90+O90</f>
        <v>0</v>
      </c>
      <c r="Q90" s="10"/>
      <c r="R90" s="10"/>
      <c r="S90" s="10"/>
      <c r="T90" s="10"/>
      <c r="U90" s="11">
        <f>SUM(U89)</f>
        <v>0</v>
      </c>
      <c r="V90" s="10"/>
    </row>
    <row r="91" spans="1:22" x14ac:dyDescent="0.25">
      <c r="A91" s="187">
        <v>1903</v>
      </c>
      <c r="B91" s="44" t="s">
        <v>362</v>
      </c>
      <c r="C91" s="65" t="s">
        <v>363</v>
      </c>
      <c r="D91" s="75" t="s">
        <v>52</v>
      </c>
      <c r="E91" s="55" t="s">
        <v>22</v>
      </c>
      <c r="F91" s="12">
        <v>45762</v>
      </c>
      <c r="G91" s="143">
        <v>45818</v>
      </c>
      <c r="H91" s="12" t="s">
        <v>420</v>
      </c>
      <c r="I91" s="42">
        <v>2182.0500000000002</v>
      </c>
      <c r="J91" s="1">
        <v>30</v>
      </c>
      <c r="K91" s="2">
        <f>I91/J91</f>
        <v>72.734999999999999</v>
      </c>
      <c r="L91" s="1">
        <v>0</v>
      </c>
      <c r="M91" s="1">
        <v>0</v>
      </c>
      <c r="N91" s="1">
        <v>0</v>
      </c>
      <c r="O91" s="1">
        <v>0</v>
      </c>
      <c r="P91" s="192">
        <f>L91+M91+N91+O91</f>
        <v>0</v>
      </c>
      <c r="Q91" s="42">
        <f>K91*50%*L91</f>
        <v>0</v>
      </c>
      <c r="R91" s="42">
        <f>K91*60%*M91</f>
        <v>0</v>
      </c>
      <c r="S91" s="42">
        <f>K91*60%*N91</f>
        <v>0</v>
      </c>
      <c r="T91" s="42">
        <f>K91*75%*O91</f>
        <v>0</v>
      </c>
      <c r="U91" s="42">
        <f>S91+T91</f>
        <v>0</v>
      </c>
      <c r="V91" s="42">
        <f>K91*(M91+O91+L91+N91)*100%</f>
        <v>0</v>
      </c>
    </row>
    <row r="92" spans="1:22" x14ac:dyDescent="0.25">
      <c r="A92" s="195">
        <v>1903</v>
      </c>
      <c r="B92" s="9" t="s">
        <v>143</v>
      </c>
      <c r="C92" s="51"/>
      <c r="D92" s="56"/>
      <c r="E92" s="56"/>
      <c r="F92" s="142"/>
      <c r="G92" s="142"/>
      <c r="H92" s="52"/>
      <c r="I92" s="53"/>
      <c r="J92" s="52"/>
      <c r="K92" s="53"/>
      <c r="L92" s="52"/>
      <c r="M92" s="52"/>
      <c r="N92" s="52"/>
      <c r="O92" s="52"/>
      <c r="P92" s="192">
        <f>L92+M92+N92+O92</f>
        <v>0</v>
      </c>
      <c r="Q92" s="10"/>
      <c r="R92" s="10"/>
      <c r="S92" s="10"/>
      <c r="T92" s="10"/>
      <c r="U92" s="11">
        <f>SUM(U83:U91)</f>
        <v>1596.2940000000003</v>
      </c>
      <c r="V92" s="10"/>
    </row>
    <row r="93" spans="1:22" x14ac:dyDescent="0.25">
      <c r="A93" s="90">
        <v>2442</v>
      </c>
      <c r="B93" s="8" t="s">
        <v>82</v>
      </c>
      <c r="C93" s="65" t="s">
        <v>83</v>
      </c>
      <c r="D93" s="55"/>
      <c r="E93" s="55" t="s">
        <v>71</v>
      </c>
      <c r="F93" s="12">
        <v>45385</v>
      </c>
      <c r="G93" s="144">
        <v>45784</v>
      </c>
      <c r="H93" s="146" t="s">
        <v>340</v>
      </c>
      <c r="I93" s="19"/>
      <c r="J93" s="20"/>
      <c r="K93" s="20"/>
      <c r="L93" s="100" t="s">
        <v>91</v>
      </c>
      <c r="M93" s="86"/>
      <c r="N93" s="86"/>
      <c r="O93" s="86"/>
      <c r="P93" s="73"/>
      <c r="Q93" s="73"/>
      <c r="R93" s="73"/>
      <c r="S93" s="73"/>
      <c r="T93" s="73"/>
      <c r="U93" s="86"/>
      <c r="V93" s="74"/>
    </row>
    <row r="94" spans="1:22" x14ac:dyDescent="0.25">
      <c r="A94" s="92">
        <v>2442</v>
      </c>
      <c r="B94" s="21" t="s">
        <v>84</v>
      </c>
      <c r="C94" s="22"/>
      <c r="D94" s="13"/>
      <c r="E94" s="13"/>
      <c r="F94" s="70"/>
      <c r="G94" s="70"/>
      <c r="H94" s="13"/>
      <c r="I94" s="41"/>
      <c r="J94" s="13"/>
      <c r="K94" s="13"/>
      <c r="L94" s="13"/>
      <c r="M94" s="13"/>
      <c r="N94" s="13"/>
      <c r="O94" s="13"/>
      <c r="P94" s="13"/>
      <c r="Q94" s="198"/>
      <c r="R94" s="198"/>
      <c r="S94" s="198"/>
      <c r="T94" s="198"/>
      <c r="U94" s="198">
        <v>0</v>
      </c>
      <c r="V94" s="198"/>
    </row>
    <row r="95" spans="1:22" ht="15.75" thickBot="1" x14ac:dyDescent="0.3">
      <c r="A95" s="87"/>
      <c r="C95" s="23"/>
      <c r="D95" s="58"/>
      <c r="F95" s="23"/>
      <c r="G95" s="23"/>
      <c r="H95" s="23"/>
      <c r="I95" s="72"/>
      <c r="J95" s="23"/>
      <c r="K95" s="23"/>
      <c r="L95" s="23"/>
      <c r="M95" s="23"/>
      <c r="N95" s="23"/>
      <c r="O95" s="23"/>
      <c r="P95" s="23"/>
      <c r="Q95" s="72"/>
      <c r="R95" s="72"/>
      <c r="S95" s="72"/>
      <c r="T95" s="72"/>
      <c r="U95" s="72"/>
      <c r="V95" s="72"/>
    </row>
    <row r="96" spans="1:22" ht="15.75" thickBot="1" x14ac:dyDescent="0.3">
      <c r="A96" s="87"/>
      <c r="C96" s="23"/>
      <c r="D96" s="58"/>
      <c r="E96" s="23"/>
      <c r="F96" s="23"/>
      <c r="G96" s="23"/>
      <c r="H96" s="160" t="s">
        <v>25</v>
      </c>
      <c r="I96" s="161"/>
      <c r="J96" s="101"/>
      <c r="K96" s="102"/>
      <c r="L96" s="103"/>
      <c r="M96" s="104"/>
      <c r="N96" s="38"/>
      <c r="O96" s="38"/>
      <c r="P96" s="105"/>
      <c r="Q96" s="106"/>
      <c r="R96" s="107"/>
      <c r="S96" s="108"/>
      <c r="T96" s="108"/>
      <c r="U96" s="25"/>
      <c r="V96" s="109"/>
    </row>
    <row r="97" spans="1:22" x14ac:dyDescent="0.25">
      <c r="A97" s="93"/>
      <c r="B97" s="46"/>
      <c r="C97" s="46" t="s">
        <v>26</v>
      </c>
      <c r="D97" s="59"/>
      <c r="E97" s="46"/>
      <c r="F97" s="46"/>
      <c r="G97" s="47"/>
      <c r="H97" s="162"/>
      <c r="I97" s="163"/>
      <c r="J97" s="79" t="s">
        <v>27</v>
      </c>
      <c r="K97" s="110"/>
      <c r="L97" s="111"/>
      <c r="M97" s="110"/>
      <c r="N97" s="111"/>
      <c r="O97" s="111"/>
      <c r="P97" s="112"/>
      <c r="Q97" s="113"/>
      <c r="R97" s="110"/>
      <c r="S97" s="113"/>
      <c r="T97" s="114"/>
      <c r="U97" s="45"/>
      <c r="V97" s="115"/>
    </row>
    <row r="98" spans="1:22" x14ac:dyDescent="0.25">
      <c r="A98" s="94"/>
      <c r="B98" s="27"/>
      <c r="C98" s="27" t="s">
        <v>28</v>
      </c>
      <c r="D98" s="60"/>
      <c r="E98" s="28"/>
      <c r="F98" s="27"/>
      <c r="G98" s="48"/>
      <c r="H98" s="164" t="s">
        <v>29</v>
      </c>
      <c r="I98" s="165"/>
      <c r="J98" s="117" t="s">
        <v>30</v>
      </c>
      <c r="K98" s="116"/>
      <c r="L98" s="118"/>
      <c r="M98" s="116"/>
      <c r="N98" s="118"/>
      <c r="O98" s="118"/>
      <c r="P98" s="119"/>
      <c r="Q98" s="120"/>
      <c r="R98" s="116"/>
      <c r="S98" s="120"/>
      <c r="T98" s="121"/>
      <c r="U98" s="29"/>
      <c r="V98" s="122"/>
    </row>
    <row r="99" spans="1:22" ht="15.75" thickBot="1" x14ac:dyDescent="0.3">
      <c r="A99" s="95"/>
      <c r="B99" s="30"/>
      <c r="C99" s="30" t="s">
        <v>31</v>
      </c>
      <c r="D99" s="61"/>
      <c r="E99" s="30"/>
      <c r="F99" s="30"/>
      <c r="G99" s="49"/>
      <c r="H99" s="166"/>
      <c r="I99" s="167"/>
      <c r="J99" s="82" t="s">
        <v>32</v>
      </c>
      <c r="K99" s="123"/>
      <c r="L99" s="124"/>
      <c r="M99" s="123"/>
      <c r="N99" s="124"/>
      <c r="O99" s="124"/>
      <c r="P99" s="125"/>
      <c r="Q99" s="123"/>
      <c r="R99" s="123"/>
      <c r="S99" s="123"/>
      <c r="T99" s="126"/>
      <c r="U99" s="31"/>
      <c r="V99" s="127"/>
    </row>
    <row r="100" spans="1:22" x14ac:dyDescent="0.25">
      <c r="A100" s="156"/>
      <c r="B100" s="157"/>
      <c r="C100" s="157" t="s">
        <v>33</v>
      </c>
      <c r="D100" s="158"/>
      <c r="E100" s="157"/>
      <c r="F100" s="157"/>
      <c r="G100" s="159"/>
      <c r="H100" s="168" t="s">
        <v>34</v>
      </c>
      <c r="I100" s="169"/>
      <c r="J100" s="129"/>
      <c r="K100" s="129"/>
      <c r="L100" s="129"/>
      <c r="M100" s="129"/>
      <c r="N100" s="129"/>
      <c r="O100" s="129"/>
      <c r="P100" s="130"/>
      <c r="Q100" s="128"/>
      <c r="R100" s="128"/>
      <c r="S100" s="128"/>
      <c r="T100" s="131"/>
      <c r="U100" s="32"/>
      <c r="V100" s="132"/>
    </row>
    <row r="101" spans="1:22" ht="15.75" thickBot="1" x14ac:dyDescent="0.3">
      <c r="A101" s="96"/>
      <c r="B101" s="201"/>
      <c r="C101" s="76" t="s">
        <v>35</v>
      </c>
      <c r="D101" s="77"/>
      <c r="E101" s="76"/>
      <c r="F101" s="76"/>
      <c r="G101" s="78"/>
      <c r="H101" s="170" t="s">
        <v>36</v>
      </c>
      <c r="I101" s="171"/>
      <c r="J101" s="134"/>
      <c r="K101" s="134"/>
      <c r="L101" s="134"/>
      <c r="M101" s="134"/>
      <c r="N101" s="134"/>
      <c r="O101" s="134"/>
      <c r="P101" s="135"/>
      <c r="Q101" s="133"/>
      <c r="R101" s="133"/>
      <c r="S101" s="133"/>
      <c r="T101" s="136"/>
      <c r="U101" s="33"/>
      <c r="V101" s="137"/>
    </row>
    <row r="102" spans="1:22" ht="15.75" thickBot="1" x14ac:dyDescent="0.3">
      <c r="A102" s="97"/>
      <c r="B102" s="34"/>
      <c r="C102" s="34" t="s">
        <v>37</v>
      </c>
      <c r="D102" s="62"/>
      <c r="E102" s="34"/>
      <c r="F102" s="34"/>
      <c r="G102" s="50"/>
      <c r="H102" s="172" t="s">
        <v>38</v>
      </c>
      <c r="I102" s="165"/>
      <c r="J102" s="117" t="s">
        <v>30</v>
      </c>
      <c r="K102" s="116"/>
      <c r="L102" s="118"/>
      <c r="M102" s="116"/>
      <c r="N102" s="118"/>
      <c r="O102" s="118"/>
      <c r="P102" s="119"/>
      <c r="Q102" s="120"/>
      <c r="R102" s="116"/>
      <c r="S102" s="120"/>
      <c r="T102" s="121"/>
      <c r="U102" s="29"/>
      <c r="V102" s="122"/>
    </row>
    <row r="103" spans="1:22" ht="15.75" thickBot="1" x14ac:dyDescent="0.3">
      <c r="A103" s="98"/>
      <c r="B103" s="35" t="s">
        <v>39</v>
      </c>
      <c r="C103" s="36"/>
      <c r="D103" s="63"/>
      <c r="E103" s="36"/>
      <c r="F103" s="36"/>
      <c r="G103" s="37"/>
      <c r="H103" s="173"/>
      <c r="I103" s="174"/>
      <c r="J103" s="80" t="s">
        <v>40</v>
      </c>
      <c r="K103" s="104"/>
      <c r="L103" s="103"/>
      <c r="M103" s="104"/>
      <c r="N103" s="103"/>
      <c r="O103" s="103"/>
      <c r="P103" s="138"/>
      <c r="Q103" s="104"/>
      <c r="R103" s="104"/>
      <c r="S103" s="104"/>
      <c r="T103" s="139"/>
      <c r="U103" s="26"/>
      <c r="V103" s="140"/>
    </row>
    <row r="104" spans="1:22" ht="15.75" thickBot="1" x14ac:dyDescent="0.3">
      <c r="A104" s="148"/>
      <c r="B104" s="152" t="s">
        <v>57</v>
      </c>
      <c r="C104" s="149"/>
      <c r="D104" s="150"/>
      <c r="E104" s="149"/>
      <c r="F104" s="149"/>
      <c r="G104" s="151"/>
      <c r="H104" s="173"/>
      <c r="I104" s="174"/>
      <c r="J104" s="80" t="s">
        <v>41</v>
      </c>
      <c r="K104" s="104"/>
      <c r="L104" s="103"/>
      <c r="M104" s="104"/>
      <c r="N104" s="103"/>
      <c r="O104" s="103"/>
      <c r="P104" s="138"/>
      <c r="Q104" s="104"/>
      <c r="R104" s="104"/>
      <c r="S104" s="104"/>
      <c r="T104" s="139"/>
      <c r="U104" s="26"/>
      <c r="V104" s="140"/>
    </row>
    <row r="105" spans="1:22" ht="15.75" thickBot="1" x14ac:dyDescent="0.3">
      <c r="A105" s="290" t="s">
        <v>123</v>
      </c>
      <c r="B105" s="291"/>
      <c r="C105" s="291"/>
      <c r="D105" s="291"/>
      <c r="E105" s="291"/>
      <c r="F105" s="291"/>
      <c r="G105" s="292"/>
      <c r="H105" s="166"/>
      <c r="I105" s="167"/>
      <c r="J105" s="82" t="s">
        <v>42</v>
      </c>
      <c r="K105" s="123"/>
      <c r="L105" s="124"/>
      <c r="M105" s="123"/>
      <c r="N105" s="124"/>
      <c r="O105" s="124"/>
      <c r="P105" s="125"/>
      <c r="Q105" s="123"/>
      <c r="R105" s="123"/>
      <c r="S105" s="123"/>
      <c r="T105" s="126"/>
      <c r="U105" s="31"/>
      <c r="V105" s="127"/>
    </row>
    <row r="106" spans="1:22" x14ac:dyDescent="0.25">
      <c r="A106" s="87"/>
      <c r="C106" s="23"/>
      <c r="D106" s="58"/>
      <c r="E106" s="23"/>
      <c r="F106" s="23"/>
      <c r="G106" s="23"/>
      <c r="H106" s="172" t="s">
        <v>43</v>
      </c>
      <c r="I106" s="165"/>
      <c r="J106" s="117" t="s">
        <v>44</v>
      </c>
      <c r="K106" s="116"/>
      <c r="L106" s="118"/>
      <c r="M106" s="116"/>
      <c r="N106" s="118"/>
      <c r="O106" s="118"/>
      <c r="P106" s="119"/>
      <c r="Q106" s="120"/>
      <c r="R106" s="116"/>
      <c r="S106" s="120"/>
      <c r="T106" s="121"/>
      <c r="U106" s="29"/>
      <c r="V106" s="122"/>
    </row>
    <row r="107" spans="1:22" x14ac:dyDescent="0.25">
      <c r="A107" s="99"/>
      <c r="B107" s="38"/>
      <c r="C107" s="39"/>
      <c r="D107" s="64"/>
      <c r="E107" s="24"/>
      <c r="F107" s="71"/>
      <c r="G107" s="71"/>
      <c r="H107" s="173"/>
      <c r="I107" s="174"/>
      <c r="J107" s="80" t="s">
        <v>45</v>
      </c>
      <c r="K107" s="104"/>
      <c r="L107" s="103"/>
      <c r="M107" s="104"/>
      <c r="N107" s="103"/>
      <c r="O107" s="103"/>
      <c r="P107" s="138"/>
      <c r="Q107" s="104"/>
      <c r="R107" s="104"/>
      <c r="S107" s="104"/>
      <c r="T107" s="139"/>
      <c r="U107" s="26"/>
      <c r="V107" s="140"/>
    </row>
    <row r="108" spans="1:22" x14ac:dyDescent="0.25">
      <c r="A108" s="87"/>
      <c r="C108" s="23"/>
      <c r="D108" s="58"/>
      <c r="E108" s="23"/>
      <c r="F108" s="23"/>
      <c r="G108" s="23"/>
      <c r="H108" s="173"/>
      <c r="I108" s="174"/>
      <c r="J108" s="80" t="s">
        <v>46</v>
      </c>
      <c r="K108" s="104"/>
      <c r="L108" s="103"/>
      <c r="M108" s="104"/>
      <c r="N108" s="103"/>
      <c r="O108" s="103"/>
      <c r="P108" s="138"/>
      <c r="Q108" s="104"/>
      <c r="R108" s="104"/>
      <c r="S108" s="104"/>
      <c r="T108" s="139"/>
      <c r="U108" s="26"/>
      <c r="V108" s="140"/>
    </row>
    <row r="109" spans="1:22" ht="15.75" thickBot="1" x14ac:dyDescent="0.3">
      <c r="A109" s="87"/>
      <c r="C109" s="23"/>
      <c r="D109" s="58"/>
      <c r="E109" s="23"/>
      <c r="F109" s="23"/>
      <c r="G109" s="23"/>
      <c r="H109" s="175"/>
      <c r="I109" s="176"/>
      <c r="J109" s="82" t="s">
        <v>47</v>
      </c>
      <c r="K109" s="123"/>
      <c r="L109" s="124"/>
      <c r="M109" s="123"/>
      <c r="N109" s="124"/>
      <c r="O109" s="124"/>
      <c r="P109" s="125"/>
      <c r="Q109" s="123"/>
      <c r="R109" s="123"/>
      <c r="S109" s="123"/>
      <c r="T109" s="126"/>
      <c r="U109" s="31"/>
      <c r="V109" s="127"/>
    </row>
  </sheetData>
  <mergeCells count="1">
    <mergeCell ref="A105:G105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9"/>
  <sheetViews>
    <sheetView topLeftCell="A48" zoomScale="120" zoomScaleNormal="120" workbookViewId="0">
      <selection activeCell="B45" sqref="B45"/>
    </sheetView>
  </sheetViews>
  <sheetFormatPr baseColWidth="10" defaultRowHeight="15" x14ac:dyDescent="0.25"/>
  <cols>
    <col min="1" max="1" width="4.140625" customWidth="1"/>
    <col min="2" max="2" width="21.5703125" customWidth="1"/>
    <col min="3" max="3" width="11.42578125" customWidth="1"/>
    <col min="4" max="4" width="3.5703125" style="23" customWidth="1"/>
    <col min="5" max="5" width="2.85546875" customWidth="1"/>
    <col min="6" max="7" width="8.85546875" customWidth="1"/>
    <col min="8" max="8" width="10.42578125" customWidth="1"/>
    <col min="9" max="9" width="7.14062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1" width="8.5703125" customWidth="1"/>
    <col min="22" max="22" width="7.42578125" customWidth="1"/>
  </cols>
  <sheetData>
    <row r="1" spans="1:22" x14ac:dyDescent="0.25">
      <c r="A1" s="87"/>
      <c r="B1" s="81" t="s">
        <v>449</v>
      </c>
      <c r="C1" s="4">
        <v>45838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2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2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2" ht="14.1" customHeight="1" x14ac:dyDescent="0.25">
      <c r="A4" s="89">
        <v>8</v>
      </c>
      <c r="B4" s="68" t="s">
        <v>421</v>
      </c>
      <c r="C4" s="226" t="s">
        <v>422</v>
      </c>
      <c r="D4" s="227" t="s">
        <v>52</v>
      </c>
      <c r="E4" s="205" t="s">
        <v>22</v>
      </c>
      <c r="F4" s="141">
        <v>45796</v>
      </c>
      <c r="G4" s="228"/>
      <c r="H4" s="147"/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88</v>
      </c>
      <c r="R4" s="68"/>
      <c r="S4" s="68"/>
      <c r="T4" s="68"/>
      <c r="U4" s="85"/>
      <c r="V4" s="68"/>
    </row>
    <row r="5" spans="1:22" s="185" customFormat="1" ht="15" customHeight="1" x14ac:dyDescent="0.25">
      <c r="A5" s="193" t="s">
        <v>423</v>
      </c>
      <c r="B5" s="177"/>
      <c r="C5" s="178"/>
      <c r="D5" s="179"/>
      <c r="E5" s="180"/>
      <c r="F5" s="194"/>
      <c r="G5" s="181"/>
      <c r="H5" s="194"/>
      <c r="I5" s="182"/>
      <c r="J5" s="183"/>
      <c r="K5" s="184"/>
      <c r="L5" s="183"/>
      <c r="M5" s="183"/>
      <c r="N5" s="183"/>
      <c r="O5" s="183"/>
      <c r="P5" s="192">
        <f>L5+M5+N5+O5</f>
        <v>0</v>
      </c>
      <c r="Q5" s="182"/>
      <c r="R5" s="182"/>
      <c r="S5" s="182"/>
      <c r="T5" s="182"/>
      <c r="U5" s="182"/>
      <c r="V5" s="182"/>
    </row>
    <row r="6" spans="1:22" x14ac:dyDescent="0.25">
      <c r="A6" s="195">
        <v>8</v>
      </c>
      <c r="B6" s="9" t="s">
        <v>489</v>
      </c>
      <c r="C6" s="51"/>
      <c r="D6" s="56"/>
      <c r="E6" s="56"/>
      <c r="F6" s="142"/>
      <c r="G6" s="142"/>
      <c r="H6" s="52"/>
      <c r="I6" s="53"/>
      <c r="J6" s="52"/>
      <c r="K6" s="53"/>
      <c r="L6" s="52"/>
      <c r="M6" s="52"/>
      <c r="N6" s="52"/>
      <c r="O6" s="52"/>
      <c r="P6" s="192"/>
      <c r="Q6" s="10"/>
      <c r="R6" s="10"/>
      <c r="S6" s="10"/>
      <c r="T6" s="10"/>
      <c r="U6" s="11"/>
      <c r="V6" s="10"/>
    </row>
    <row r="7" spans="1:22" ht="14.25" customHeight="1" x14ac:dyDescent="0.25">
      <c r="A7" s="90">
        <v>585</v>
      </c>
      <c r="B7" s="8" t="s">
        <v>491</v>
      </c>
      <c r="C7" s="65" t="s">
        <v>492</v>
      </c>
      <c r="D7" s="75" t="s">
        <v>50</v>
      </c>
      <c r="E7" s="55" t="s">
        <v>22</v>
      </c>
      <c r="F7" s="12">
        <v>45834</v>
      </c>
      <c r="G7" s="143"/>
      <c r="H7" s="203"/>
      <c r="I7" s="208">
        <v>1674.25</v>
      </c>
      <c r="J7" s="1">
        <v>30</v>
      </c>
      <c r="K7" s="2">
        <f>I7/J7</f>
        <v>55.80833333333333</v>
      </c>
      <c r="L7" s="1">
        <v>3</v>
      </c>
      <c r="M7" s="1">
        <v>2</v>
      </c>
      <c r="N7" s="1">
        <v>0</v>
      </c>
      <c r="O7" s="1">
        <v>0</v>
      </c>
      <c r="P7" s="192">
        <f>L7+M7+N7+O7</f>
        <v>5</v>
      </c>
      <c r="Q7" s="42">
        <f>K7*50%*L7</f>
        <v>83.712499999999991</v>
      </c>
      <c r="R7" s="42">
        <f>K7*60%*M7</f>
        <v>66.97</v>
      </c>
      <c r="S7" s="42">
        <f>K7*60%*N7</f>
        <v>0</v>
      </c>
      <c r="T7" s="42">
        <f>K7*75%*O7</f>
        <v>0</v>
      </c>
      <c r="U7" s="42">
        <f>S7+T7</f>
        <v>0</v>
      </c>
      <c r="V7" s="42">
        <f>K7*(M7+O7+L7+N7)*100%</f>
        <v>279.04166666666663</v>
      </c>
    </row>
    <row r="8" spans="1:22" x14ac:dyDescent="0.25">
      <c r="A8" s="195">
        <v>585</v>
      </c>
      <c r="B8" s="9" t="s">
        <v>490</v>
      </c>
      <c r="C8" s="51"/>
      <c r="D8" s="56"/>
      <c r="E8" s="56"/>
      <c r="F8" s="142"/>
      <c r="G8" s="142"/>
      <c r="H8" s="52"/>
      <c r="I8" s="53"/>
      <c r="J8" s="52"/>
      <c r="K8" s="53"/>
      <c r="L8" s="52"/>
      <c r="M8" s="52"/>
      <c r="N8" s="52"/>
      <c r="O8" s="52"/>
      <c r="P8" s="192">
        <f>L8+M8+N8+O8</f>
        <v>0</v>
      </c>
      <c r="Q8" s="10"/>
      <c r="R8" s="10"/>
      <c r="S8" s="10"/>
      <c r="T8" s="10"/>
      <c r="U8" s="11">
        <f>SUM(U1:U5)</f>
        <v>0</v>
      </c>
      <c r="V8" s="10"/>
    </row>
    <row r="9" spans="1:22" ht="14.25" customHeight="1" x14ac:dyDescent="0.25">
      <c r="A9" s="90">
        <v>717</v>
      </c>
      <c r="B9" s="8" t="s">
        <v>479</v>
      </c>
      <c r="C9" s="65" t="s">
        <v>211</v>
      </c>
      <c r="D9" s="75" t="s">
        <v>52</v>
      </c>
      <c r="E9" s="55" t="s">
        <v>22</v>
      </c>
      <c r="F9" s="12">
        <v>45832</v>
      </c>
      <c r="G9" s="143"/>
      <c r="H9" s="203"/>
      <c r="I9" s="208">
        <v>1549.81</v>
      </c>
      <c r="J9" s="1">
        <v>30</v>
      </c>
      <c r="K9" s="2">
        <f>I9/J9</f>
        <v>51.660333333333334</v>
      </c>
      <c r="L9" s="1">
        <v>3</v>
      </c>
      <c r="M9" s="1">
        <v>4</v>
      </c>
      <c r="N9" s="1">
        <v>0</v>
      </c>
      <c r="O9" s="1">
        <v>0</v>
      </c>
      <c r="P9" s="192">
        <f>L9+M9+N9+O9</f>
        <v>7</v>
      </c>
      <c r="Q9" s="42">
        <f>K9*50%*L9</f>
        <v>77.490499999999997</v>
      </c>
      <c r="R9" s="42">
        <f>K9*60%*M9</f>
        <v>123.98479999999999</v>
      </c>
      <c r="S9" s="42">
        <f>K9*60%*N9</f>
        <v>0</v>
      </c>
      <c r="T9" s="42">
        <f>K9*75%*O9</f>
        <v>0</v>
      </c>
      <c r="U9" s="42">
        <f>S9+T9</f>
        <v>0</v>
      </c>
      <c r="V9" s="42">
        <f>K9*(M9+O9+L9+N9)*100%</f>
        <v>361.62233333333336</v>
      </c>
    </row>
    <row r="10" spans="1:22" ht="14.1" customHeight="1" x14ac:dyDescent="0.25">
      <c r="A10" s="89">
        <v>717</v>
      </c>
      <c r="B10" s="68" t="s">
        <v>122</v>
      </c>
      <c r="C10" s="226" t="s">
        <v>56</v>
      </c>
      <c r="D10" s="227" t="s">
        <v>52</v>
      </c>
      <c r="E10" s="205" t="s">
        <v>22</v>
      </c>
      <c r="F10" s="141">
        <v>45767</v>
      </c>
      <c r="G10" s="228"/>
      <c r="H10" s="147">
        <v>45878</v>
      </c>
      <c r="I10" s="229"/>
      <c r="J10" s="85"/>
      <c r="K10" s="230"/>
      <c r="L10" s="85"/>
      <c r="M10" s="85"/>
      <c r="N10" s="85"/>
      <c r="O10" s="85"/>
      <c r="P10" s="192"/>
      <c r="Q10" s="83" t="s">
        <v>92</v>
      </c>
      <c r="R10" s="68"/>
      <c r="S10" s="68"/>
      <c r="T10" s="68"/>
      <c r="U10" s="85"/>
      <c r="V10" s="68"/>
    </row>
    <row r="11" spans="1:22" ht="14.1" customHeight="1" x14ac:dyDescent="0.25">
      <c r="A11" s="89">
        <v>717</v>
      </c>
      <c r="B11" s="68" t="s">
        <v>122</v>
      </c>
      <c r="C11" s="226" t="s">
        <v>56</v>
      </c>
      <c r="D11" s="227" t="s">
        <v>52</v>
      </c>
      <c r="E11" s="205" t="s">
        <v>22</v>
      </c>
      <c r="F11" s="141">
        <v>45879</v>
      </c>
      <c r="G11" s="228"/>
      <c r="H11" s="147">
        <v>45900</v>
      </c>
      <c r="I11" s="229"/>
      <c r="J11" s="85"/>
      <c r="K11" s="230"/>
      <c r="L11" s="85"/>
      <c r="M11" s="85"/>
      <c r="N11" s="85"/>
      <c r="O11" s="85"/>
      <c r="P11" s="192"/>
      <c r="Q11" s="83" t="s">
        <v>72</v>
      </c>
      <c r="R11" s="68"/>
      <c r="S11" s="68"/>
      <c r="T11" s="68"/>
      <c r="U11" s="85"/>
      <c r="V11" s="68"/>
    </row>
    <row r="12" spans="1:22" ht="14.1" customHeight="1" x14ac:dyDescent="0.25">
      <c r="A12" s="193" t="s">
        <v>417</v>
      </c>
      <c r="B12" s="177"/>
      <c r="C12" s="178"/>
      <c r="D12" s="179"/>
      <c r="E12" s="180"/>
      <c r="F12" s="194"/>
      <c r="G12" s="181"/>
      <c r="H12" s="194"/>
      <c r="I12" s="220" t="s">
        <v>450</v>
      </c>
      <c r="J12" s="183"/>
      <c r="K12" s="184"/>
      <c r="L12" s="183"/>
      <c r="M12" s="183"/>
      <c r="N12" s="183"/>
      <c r="O12" s="183"/>
      <c r="P12" s="192"/>
      <c r="Q12" s="182"/>
      <c r="R12" s="182"/>
      <c r="S12" s="182"/>
      <c r="T12" s="182"/>
      <c r="U12" s="182"/>
      <c r="V12" s="182"/>
    </row>
    <row r="13" spans="1:22" x14ac:dyDescent="0.25">
      <c r="A13" s="195">
        <v>717</v>
      </c>
      <c r="B13" s="9" t="s">
        <v>49</v>
      </c>
      <c r="C13" s="51"/>
      <c r="D13" s="56"/>
      <c r="E13" s="56"/>
      <c r="F13" s="142"/>
      <c r="G13" s="142"/>
      <c r="H13" s="52"/>
      <c r="I13" s="53"/>
      <c r="J13" s="52"/>
      <c r="K13" s="53"/>
      <c r="L13" s="52"/>
      <c r="M13" s="52"/>
      <c r="N13" s="52"/>
      <c r="O13" s="52"/>
      <c r="P13" s="192">
        <f t="shared" ref="P13:P19" si="0">L13+M13+N13+O13</f>
        <v>0</v>
      </c>
      <c r="Q13" s="10"/>
      <c r="R13" s="10"/>
      <c r="S13" s="10"/>
      <c r="T13" s="10"/>
      <c r="U13" s="11">
        <f>SUM(U10:U10)</f>
        <v>0</v>
      </c>
      <c r="V13" s="10"/>
    </row>
    <row r="14" spans="1:22" ht="14.25" customHeight="1" x14ac:dyDescent="0.25">
      <c r="A14" s="90">
        <v>1378</v>
      </c>
      <c r="B14" s="8" t="s">
        <v>454</v>
      </c>
      <c r="C14" s="65" t="s">
        <v>455</v>
      </c>
      <c r="D14" s="75" t="s">
        <v>52</v>
      </c>
      <c r="E14" s="55" t="s">
        <v>22</v>
      </c>
      <c r="F14" s="12">
        <v>45825</v>
      </c>
      <c r="G14" s="143"/>
      <c r="H14" s="203">
        <v>45826</v>
      </c>
      <c r="I14" s="208">
        <v>1381.5</v>
      </c>
      <c r="J14" s="1">
        <v>30</v>
      </c>
      <c r="K14" s="2">
        <f>I14/J14</f>
        <v>46.05</v>
      </c>
      <c r="L14" s="1">
        <v>2</v>
      </c>
      <c r="M14" s="1">
        <v>0</v>
      </c>
      <c r="N14" s="1">
        <v>0</v>
      </c>
      <c r="O14" s="1">
        <v>0</v>
      </c>
      <c r="P14" s="192">
        <f t="shared" si="0"/>
        <v>2</v>
      </c>
      <c r="Q14" s="42">
        <f>K14*50%*L14</f>
        <v>46.05</v>
      </c>
      <c r="R14" s="42">
        <f>K14*60%*M14</f>
        <v>0</v>
      </c>
      <c r="S14" s="42">
        <f>K14*60%*N14</f>
        <v>0</v>
      </c>
      <c r="T14" s="42">
        <f>K14*75%*O14</f>
        <v>0</v>
      </c>
      <c r="U14" s="42">
        <f>S14+T14</f>
        <v>0</v>
      </c>
      <c r="V14" s="42">
        <f>K14*(M14+O14+L14+N14)*100%</f>
        <v>92.1</v>
      </c>
    </row>
    <row r="15" spans="1:22" ht="14.25" customHeight="1" x14ac:dyDescent="0.25">
      <c r="A15" s="90">
        <v>1378</v>
      </c>
      <c r="B15" s="8" t="s">
        <v>64</v>
      </c>
      <c r="C15" s="65" t="s">
        <v>65</v>
      </c>
      <c r="D15" s="75" t="s">
        <v>52</v>
      </c>
      <c r="E15" s="55" t="s">
        <v>22</v>
      </c>
      <c r="F15" s="12">
        <v>45299</v>
      </c>
      <c r="G15" s="143"/>
      <c r="H15" s="203">
        <v>45814</v>
      </c>
      <c r="I15" s="186">
        <v>1260</v>
      </c>
      <c r="J15" s="1">
        <v>30</v>
      </c>
      <c r="K15" s="2">
        <f t="shared" ref="K15:K23" si="1">I15/J15</f>
        <v>42</v>
      </c>
      <c r="L15" s="1">
        <v>0</v>
      </c>
      <c r="M15" s="1">
        <v>0</v>
      </c>
      <c r="N15" s="1">
        <v>0</v>
      </c>
      <c r="O15" s="1">
        <v>6</v>
      </c>
      <c r="P15" s="192">
        <f t="shared" si="0"/>
        <v>6</v>
      </c>
      <c r="Q15" s="42">
        <f t="shared" ref="Q15:Q23" si="2">K15*50%*L15</f>
        <v>0</v>
      </c>
      <c r="R15" s="42">
        <f t="shared" ref="R15:R23" si="3">K15*60%*M15</f>
        <v>0</v>
      </c>
      <c r="S15" s="42">
        <f t="shared" ref="S15:S23" si="4">K15*60%*N15</f>
        <v>0</v>
      </c>
      <c r="T15" s="42">
        <f t="shared" ref="T15:T23" si="5">K15*75%*O15</f>
        <v>189</v>
      </c>
      <c r="U15" s="42">
        <f t="shared" ref="U15:U23" si="6">S15+T15</f>
        <v>189</v>
      </c>
      <c r="V15" s="42">
        <f t="shared" ref="V15:V23" si="7">K15*(M15+O15+L15+N15)*100%</f>
        <v>252</v>
      </c>
    </row>
    <row r="16" spans="1:22" x14ac:dyDescent="0.25">
      <c r="A16" s="90">
        <v>1378</v>
      </c>
      <c r="B16" s="8" t="s">
        <v>226</v>
      </c>
      <c r="C16" s="65" t="s">
        <v>227</v>
      </c>
      <c r="D16" s="75" t="s">
        <v>52</v>
      </c>
      <c r="E16" s="55" t="s">
        <v>22</v>
      </c>
      <c r="F16" s="12">
        <v>45698</v>
      </c>
      <c r="G16" s="143">
        <v>45845</v>
      </c>
      <c r="H16" s="12" t="s">
        <v>453</v>
      </c>
      <c r="I16" s="208">
        <v>1381.5</v>
      </c>
      <c r="J16" s="1">
        <v>30</v>
      </c>
      <c r="K16" s="2">
        <f t="shared" si="1"/>
        <v>46.05</v>
      </c>
      <c r="L16" s="1">
        <v>0</v>
      </c>
      <c r="M16" s="1">
        <v>0</v>
      </c>
      <c r="N16" s="1">
        <v>0</v>
      </c>
      <c r="O16" s="1">
        <v>30</v>
      </c>
      <c r="P16" s="192">
        <f t="shared" si="0"/>
        <v>30</v>
      </c>
      <c r="Q16" s="42">
        <f t="shared" si="2"/>
        <v>0</v>
      </c>
      <c r="R16" s="42">
        <f t="shared" si="3"/>
        <v>0</v>
      </c>
      <c r="S16" s="42">
        <f t="shared" si="4"/>
        <v>0</v>
      </c>
      <c r="T16" s="42">
        <f t="shared" si="5"/>
        <v>1036.1249999999998</v>
      </c>
      <c r="U16" s="42">
        <f t="shared" si="6"/>
        <v>1036.1249999999998</v>
      </c>
      <c r="V16" s="42">
        <f t="shared" si="7"/>
        <v>1381.5</v>
      </c>
    </row>
    <row r="17" spans="1:22" x14ac:dyDescent="0.25">
      <c r="A17" s="193" t="s">
        <v>465</v>
      </c>
      <c r="B17" s="177"/>
      <c r="C17" s="178"/>
      <c r="D17" s="179"/>
      <c r="E17" s="180"/>
      <c r="F17" s="194"/>
      <c r="G17" s="181"/>
      <c r="H17" s="194"/>
      <c r="I17" s="182"/>
      <c r="J17" s="183"/>
      <c r="K17" s="184"/>
      <c r="L17" s="183"/>
      <c r="M17" s="183"/>
      <c r="N17" s="183"/>
      <c r="O17" s="183"/>
      <c r="P17" s="192">
        <f>L17+M17+N17+O17</f>
        <v>0</v>
      </c>
      <c r="Q17" s="182"/>
      <c r="R17" s="182"/>
      <c r="S17" s="182"/>
      <c r="T17" s="182"/>
      <c r="U17" s="182"/>
      <c r="V17" s="182"/>
    </row>
    <row r="18" spans="1:22" x14ac:dyDescent="0.25">
      <c r="A18" s="90">
        <v>1378</v>
      </c>
      <c r="B18" s="8" t="s">
        <v>69</v>
      </c>
      <c r="C18" s="65" t="s">
        <v>70</v>
      </c>
      <c r="D18" s="75" t="s">
        <v>50</v>
      </c>
      <c r="E18" s="55" t="s">
        <v>22</v>
      </c>
      <c r="F18" s="12">
        <v>45768</v>
      </c>
      <c r="G18" s="143">
        <v>45852</v>
      </c>
      <c r="H18" s="12" t="s">
        <v>472</v>
      </c>
      <c r="I18" s="208">
        <v>1381.23</v>
      </c>
      <c r="J18" s="1">
        <v>30</v>
      </c>
      <c r="K18" s="2">
        <f t="shared" si="1"/>
        <v>46.041000000000004</v>
      </c>
      <c r="L18" s="1">
        <v>0</v>
      </c>
      <c r="M18" s="1">
        <v>0</v>
      </c>
      <c r="N18" s="1">
        <v>0</v>
      </c>
      <c r="O18" s="1">
        <v>30</v>
      </c>
      <c r="P18" s="192">
        <f t="shared" si="0"/>
        <v>30</v>
      </c>
      <c r="Q18" s="42">
        <f t="shared" si="2"/>
        <v>0</v>
      </c>
      <c r="R18" s="42">
        <f t="shared" si="3"/>
        <v>0</v>
      </c>
      <c r="S18" s="42">
        <f t="shared" si="4"/>
        <v>0</v>
      </c>
      <c r="T18" s="42">
        <f t="shared" si="5"/>
        <v>1035.9225000000001</v>
      </c>
      <c r="U18" s="42">
        <f t="shared" si="6"/>
        <v>1035.9225000000001</v>
      </c>
      <c r="V18" s="42">
        <f t="shared" si="7"/>
        <v>1381.23</v>
      </c>
    </row>
    <row r="19" spans="1:22" x14ac:dyDescent="0.25">
      <c r="A19" s="90">
        <v>1378</v>
      </c>
      <c r="B19" s="8" t="s">
        <v>321</v>
      </c>
      <c r="C19" s="65" t="s">
        <v>322</v>
      </c>
      <c r="D19" s="75" t="s">
        <v>50</v>
      </c>
      <c r="E19" s="55" t="s">
        <v>22</v>
      </c>
      <c r="F19" s="12">
        <v>45743</v>
      </c>
      <c r="G19" s="143">
        <v>45848</v>
      </c>
      <c r="H19" s="12" t="s">
        <v>462</v>
      </c>
      <c r="I19" s="208">
        <v>1381.5</v>
      </c>
      <c r="J19" s="1">
        <v>30</v>
      </c>
      <c r="K19" s="2">
        <f t="shared" si="1"/>
        <v>46.05</v>
      </c>
      <c r="L19" s="1">
        <v>0</v>
      </c>
      <c r="M19" s="1">
        <v>0</v>
      </c>
      <c r="N19" s="1">
        <v>0</v>
      </c>
      <c r="O19" s="1">
        <v>30</v>
      </c>
      <c r="P19" s="192">
        <f t="shared" si="0"/>
        <v>30</v>
      </c>
      <c r="Q19" s="42">
        <f t="shared" si="2"/>
        <v>0</v>
      </c>
      <c r="R19" s="42">
        <f t="shared" si="3"/>
        <v>0</v>
      </c>
      <c r="S19" s="42">
        <f t="shared" si="4"/>
        <v>0</v>
      </c>
      <c r="T19" s="42">
        <f t="shared" si="5"/>
        <v>1036.1249999999998</v>
      </c>
      <c r="U19" s="42">
        <f t="shared" si="6"/>
        <v>1036.1249999999998</v>
      </c>
      <c r="V19" s="42">
        <f t="shared" si="7"/>
        <v>1381.5</v>
      </c>
    </row>
    <row r="20" spans="1:22" x14ac:dyDescent="0.25">
      <c r="A20" s="193" t="s">
        <v>467</v>
      </c>
      <c r="B20" s="177"/>
      <c r="C20" s="178"/>
      <c r="D20" s="179"/>
      <c r="E20" s="180"/>
      <c r="F20" s="194"/>
      <c r="G20" s="181"/>
      <c r="H20" s="194"/>
      <c r="I20" s="182"/>
      <c r="J20" s="183"/>
      <c r="K20" s="184"/>
      <c r="L20" s="183"/>
      <c r="M20" s="183"/>
      <c r="N20" s="183"/>
      <c r="O20" s="183"/>
      <c r="P20" s="192">
        <f>L20+M20+N20+O20</f>
        <v>0</v>
      </c>
      <c r="Q20" s="182"/>
      <c r="R20" s="182"/>
      <c r="S20" s="182"/>
      <c r="T20" s="182"/>
      <c r="U20" s="182"/>
      <c r="V20" s="182"/>
    </row>
    <row r="21" spans="1:22" x14ac:dyDescent="0.25">
      <c r="A21" s="90">
        <v>1378</v>
      </c>
      <c r="B21" s="8" t="s">
        <v>124</v>
      </c>
      <c r="C21" s="65" t="s">
        <v>68</v>
      </c>
      <c r="D21" s="75" t="s">
        <v>50</v>
      </c>
      <c r="E21" s="55" t="s">
        <v>22</v>
      </c>
      <c r="F21" s="12">
        <v>45608</v>
      </c>
      <c r="G21" s="143">
        <v>45867</v>
      </c>
      <c r="H21" s="12" t="s">
        <v>478</v>
      </c>
      <c r="I21" s="186">
        <v>1323</v>
      </c>
      <c r="J21" s="1">
        <v>30</v>
      </c>
      <c r="K21" s="2">
        <f t="shared" si="1"/>
        <v>44.1</v>
      </c>
      <c r="L21" s="1">
        <v>0</v>
      </c>
      <c r="M21" s="1">
        <v>0</v>
      </c>
      <c r="N21" s="1">
        <v>0</v>
      </c>
      <c r="O21" s="1">
        <v>30</v>
      </c>
      <c r="P21" s="192">
        <f t="shared" ref="P21:P32" si="8">L21+M21+N21+O21</f>
        <v>30</v>
      </c>
      <c r="Q21" s="42">
        <f t="shared" si="2"/>
        <v>0</v>
      </c>
      <c r="R21" s="42">
        <f t="shared" si="3"/>
        <v>0</v>
      </c>
      <c r="S21" s="42">
        <f t="shared" si="4"/>
        <v>0</v>
      </c>
      <c r="T21" s="42">
        <f t="shared" si="5"/>
        <v>992.25000000000011</v>
      </c>
      <c r="U21" s="42">
        <f t="shared" si="6"/>
        <v>992.25000000000011</v>
      </c>
      <c r="V21" s="42">
        <f t="shared" si="7"/>
        <v>1323</v>
      </c>
    </row>
    <row r="22" spans="1:22" x14ac:dyDescent="0.25">
      <c r="A22" s="193" t="s">
        <v>466</v>
      </c>
      <c r="B22" s="177"/>
      <c r="C22" s="178"/>
      <c r="D22" s="179"/>
      <c r="E22" s="180"/>
      <c r="F22" s="194"/>
      <c r="G22" s="181"/>
      <c r="H22" s="194"/>
      <c r="I22" s="182"/>
      <c r="J22" s="183"/>
      <c r="K22" s="184"/>
      <c r="L22" s="183"/>
      <c r="M22" s="183"/>
      <c r="N22" s="183"/>
      <c r="O22" s="183"/>
      <c r="P22" s="192">
        <f>L22+M22+N22+O22</f>
        <v>0</v>
      </c>
      <c r="Q22" s="182"/>
      <c r="R22" s="182"/>
      <c r="S22" s="182"/>
      <c r="T22" s="182"/>
      <c r="U22" s="182"/>
      <c r="V22" s="182"/>
    </row>
    <row r="23" spans="1:22" ht="14.25" customHeight="1" x14ac:dyDescent="0.25">
      <c r="A23" s="90">
        <v>1378</v>
      </c>
      <c r="B23" s="8" t="s">
        <v>115</v>
      </c>
      <c r="C23" s="65" t="s">
        <v>116</v>
      </c>
      <c r="D23" s="75" t="s">
        <v>52</v>
      </c>
      <c r="E23" s="55" t="s">
        <v>22</v>
      </c>
      <c r="F23" s="12">
        <v>45618</v>
      </c>
      <c r="G23" s="143">
        <v>45852</v>
      </c>
      <c r="H23" s="12" t="s">
        <v>473</v>
      </c>
      <c r="I23" s="186">
        <v>1323</v>
      </c>
      <c r="J23" s="1">
        <v>30</v>
      </c>
      <c r="K23" s="2">
        <f t="shared" si="1"/>
        <v>44.1</v>
      </c>
      <c r="L23" s="1">
        <v>0</v>
      </c>
      <c r="M23" s="1">
        <v>0</v>
      </c>
      <c r="N23" s="1">
        <v>0</v>
      </c>
      <c r="O23" s="1">
        <v>30</v>
      </c>
      <c r="P23" s="192">
        <f t="shared" si="8"/>
        <v>30</v>
      </c>
      <c r="Q23" s="42">
        <f t="shared" si="2"/>
        <v>0</v>
      </c>
      <c r="R23" s="42">
        <f t="shared" si="3"/>
        <v>0</v>
      </c>
      <c r="S23" s="42">
        <f t="shared" si="4"/>
        <v>0</v>
      </c>
      <c r="T23" s="42">
        <f t="shared" si="5"/>
        <v>992.25000000000011</v>
      </c>
      <c r="U23" s="42">
        <f t="shared" si="6"/>
        <v>992.25000000000011</v>
      </c>
      <c r="V23" s="42">
        <f t="shared" si="7"/>
        <v>1323</v>
      </c>
    </row>
    <row r="24" spans="1:22" x14ac:dyDescent="0.25">
      <c r="A24" s="193" t="s">
        <v>483</v>
      </c>
      <c r="B24" s="177"/>
      <c r="C24" s="178"/>
      <c r="D24" s="179"/>
      <c r="E24" s="180"/>
      <c r="F24" s="194"/>
      <c r="G24" s="181"/>
      <c r="H24" s="194"/>
      <c r="I24" s="220" t="s">
        <v>484</v>
      </c>
      <c r="J24" s="183"/>
      <c r="K24" s="184"/>
      <c r="L24" s="183"/>
      <c r="M24" s="183"/>
      <c r="N24" s="183"/>
      <c r="O24" s="183"/>
      <c r="P24" s="192">
        <f>L24+M24+N24+O24</f>
        <v>0</v>
      </c>
      <c r="Q24" s="182"/>
      <c r="R24" s="182"/>
      <c r="S24" s="182"/>
      <c r="T24" s="182"/>
      <c r="U24" s="182"/>
      <c r="V24" s="182"/>
    </row>
    <row r="25" spans="1:22" x14ac:dyDescent="0.25">
      <c r="A25" s="195">
        <v>1378</v>
      </c>
      <c r="B25" s="9" t="s">
        <v>23</v>
      </c>
      <c r="C25" s="51">
        <v>38102537361</v>
      </c>
      <c r="D25" s="56"/>
      <c r="E25" s="56"/>
      <c r="F25" s="142"/>
      <c r="G25" s="142"/>
      <c r="H25" s="52"/>
      <c r="I25" s="53"/>
      <c r="J25" s="52"/>
      <c r="K25" s="53"/>
      <c r="L25" s="52"/>
      <c r="M25" s="52"/>
      <c r="N25" s="52"/>
      <c r="O25" s="52"/>
      <c r="P25" s="192">
        <f t="shared" si="8"/>
        <v>0</v>
      </c>
      <c r="Q25" s="10"/>
      <c r="R25" s="10"/>
      <c r="S25" s="10"/>
      <c r="T25" s="10"/>
      <c r="U25" s="11">
        <f>SUM(U14:U23)</f>
        <v>5281.6724999999997</v>
      </c>
      <c r="V25" s="10"/>
    </row>
    <row r="26" spans="1:22" x14ac:dyDescent="0.25">
      <c r="A26" s="187">
        <v>1628</v>
      </c>
      <c r="B26" s="44" t="s">
        <v>105</v>
      </c>
      <c r="C26" s="65" t="s">
        <v>106</v>
      </c>
      <c r="D26" s="75" t="s">
        <v>52</v>
      </c>
      <c r="E26" s="55" t="s">
        <v>22</v>
      </c>
      <c r="F26" s="12">
        <v>45536</v>
      </c>
      <c r="G26" s="143">
        <v>45870</v>
      </c>
      <c r="H26" s="12" t="s">
        <v>488</v>
      </c>
      <c r="I26" s="42">
        <v>1500</v>
      </c>
      <c r="J26" s="1">
        <v>30</v>
      </c>
      <c r="K26" s="2">
        <f>I26/J26</f>
        <v>50</v>
      </c>
      <c r="L26" s="1">
        <v>0</v>
      </c>
      <c r="M26" s="1">
        <v>0</v>
      </c>
      <c r="N26" s="1">
        <v>0</v>
      </c>
      <c r="O26" s="1">
        <v>30</v>
      </c>
      <c r="P26" s="192">
        <f t="shared" si="8"/>
        <v>30</v>
      </c>
      <c r="Q26" s="42">
        <f>K26*50%*L26</f>
        <v>0</v>
      </c>
      <c r="R26" s="42">
        <f>K26*60%*M26</f>
        <v>0</v>
      </c>
      <c r="S26" s="42">
        <f>K26*60%*N26</f>
        <v>0</v>
      </c>
      <c r="T26" s="42">
        <f>K26*75%*O26</f>
        <v>1125</v>
      </c>
      <c r="U26" s="42">
        <f>S26+T26</f>
        <v>1125</v>
      </c>
      <c r="V26" s="42">
        <f>K26*(M26+O26+L26+N26)*100%</f>
        <v>1500</v>
      </c>
    </row>
    <row r="27" spans="1:22" s="185" customFormat="1" x14ac:dyDescent="0.25">
      <c r="A27" s="193" t="s">
        <v>112</v>
      </c>
      <c r="B27" s="177"/>
      <c r="C27" s="178"/>
      <c r="D27" s="179"/>
      <c r="E27" s="180"/>
      <c r="F27" s="194"/>
      <c r="G27" s="181"/>
      <c r="H27" s="194"/>
      <c r="I27" s="182"/>
      <c r="J27" s="183"/>
      <c r="K27" s="184"/>
      <c r="L27" s="183"/>
      <c r="M27" s="183"/>
      <c r="N27" s="183"/>
      <c r="O27" s="183"/>
      <c r="P27" s="192">
        <f t="shared" si="8"/>
        <v>0</v>
      </c>
      <c r="Q27" s="182"/>
      <c r="R27" s="182"/>
      <c r="S27" s="182"/>
      <c r="T27" s="182"/>
      <c r="U27" s="182"/>
      <c r="V27" s="182"/>
    </row>
    <row r="28" spans="1:22" x14ac:dyDescent="0.25">
      <c r="A28" s="187">
        <v>1628</v>
      </c>
      <c r="B28" s="44" t="s">
        <v>463</v>
      </c>
      <c r="C28" s="65" t="s">
        <v>464</v>
      </c>
      <c r="D28" s="75" t="s">
        <v>50</v>
      </c>
      <c r="E28" s="55" t="s">
        <v>22</v>
      </c>
      <c r="F28" s="12">
        <v>45824</v>
      </c>
      <c r="G28" s="143">
        <v>45845</v>
      </c>
      <c r="H28" s="12" t="s">
        <v>475</v>
      </c>
      <c r="I28" s="42">
        <v>1772.59</v>
      </c>
      <c r="J28" s="1">
        <v>30</v>
      </c>
      <c r="K28" s="2">
        <f>I28/J28</f>
        <v>59.086333333333329</v>
      </c>
      <c r="L28" s="1">
        <v>3</v>
      </c>
      <c r="M28" s="1">
        <v>12</v>
      </c>
      <c r="N28" s="1">
        <v>0</v>
      </c>
      <c r="O28" s="1">
        <v>0</v>
      </c>
      <c r="P28" s="192">
        <f>L28+M28+N28+O28</f>
        <v>15</v>
      </c>
      <c r="Q28" s="42">
        <f>K28*50%*L28</f>
        <v>88.629499999999993</v>
      </c>
      <c r="R28" s="42">
        <f>K28*60%*M28</f>
        <v>425.42160000000001</v>
      </c>
      <c r="S28" s="42">
        <f>K28*60%*N28</f>
        <v>0</v>
      </c>
      <c r="T28" s="42">
        <f>K28*75%*O28</f>
        <v>0</v>
      </c>
      <c r="U28" s="42">
        <f>S28+T28</f>
        <v>0</v>
      </c>
      <c r="V28" s="42">
        <f>K28*(M28+O28+L28+N28)*100%</f>
        <v>886.29499999999996</v>
      </c>
    </row>
    <row r="29" spans="1:22" ht="14.1" customHeight="1" x14ac:dyDescent="0.25">
      <c r="A29" s="195">
        <v>1628</v>
      </c>
      <c r="B29" s="9" t="s">
        <v>104</v>
      </c>
      <c r="C29" s="51"/>
      <c r="D29" s="56"/>
      <c r="E29" s="56"/>
      <c r="F29" s="142"/>
      <c r="G29" s="142"/>
      <c r="H29" s="52"/>
      <c r="I29" s="53"/>
      <c r="J29" s="52"/>
      <c r="K29" s="53"/>
      <c r="L29" s="52"/>
      <c r="M29" s="52"/>
      <c r="N29" s="52"/>
      <c r="O29" s="52"/>
      <c r="P29" s="192">
        <f t="shared" si="8"/>
        <v>0</v>
      </c>
      <c r="Q29" s="10"/>
      <c r="R29" s="10"/>
      <c r="S29" s="10"/>
      <c r="T29" s="10"/>
      <c r="U29" s="11">
        <f>SUM(U26:U27)</f>
        <v>1125</v>
      </c>
      <c r="V29" s="10"/>
    </row>
    <row r="30" spans="1:22" ht="14.25" customHeight="1" x14ac:dyDescent="0.25">
      <c r="A30" s="90">
        <v>1846</v>
      </c>
      <c r="B30" s="8" t="s">
        <v>139</v>
      </c>
      <c r="C30" s="65" t="s">
        <v>140</v>
      </c>
      <c r="D30" s="75" t="s">
        <v>51</v>
      </c>
      <c r="E30" s="55" t="s">
        <v>22</v>
      </c>
      <c r="F30" s="12">
        <v>45659</v>
      </c>
      <c r="G30" s="143">
        <v>45848</v>
      </c>
      <c r="H30" s="12" t="s">
        <v>461</v>
      </c>
      <c r="I30" s="186">
        <v>2108.3200000000002</v>
      </c>
      <c r="J30" s="1">
        <v>92</v>
      </c>
      <c r="K30" s="2">
        <f>I30/J30</f>
        <v>22.916521739130438</v>
      </c>
      <c r="L30" s="1">
        <v>0</v>
      </c>
      <c r="M30" s="1">
        <v>0</v>
      </c>
      <c r="N30" s="1">
        <v>0</v>
      </c>
      <c r="O30" s="1">
        <v>30</v>
      </c>
      <c r="P30" s="192">
        <f t="shared" si="8"/>
        <v>30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515.62173913043478</v>
      </c>
      <c r="U30" s="42">
        <f>S30+T30</f>
        <v>515.62173913043478</v>
      </c>
      <c r="V30" s="42">
        <f>K30*(M30+O30+L30+N30)*100%</f>
        <v>687.49565217391319</v>
      </c>
    </row>
    <row r="31" spans="1:22" ht="14.1" customHeight="1" x14ac:dyDescent="0.25">
      <c r="A31" s="195">
        <v>1846</v>
      </c>
      <c r="B31" s="9" t="s">
        <v>138</v>
      </c>
      <c r="C31" s="51">
        <v>38120237336</v>
      </c>
      <c r="D31" s="56"/>
      <c r="E31" s="56"/>
      <c r="F31" s="142"/>
      <c r="G31" s="142"/>
      <c r="H31" s="52"/>
      <c r="I31" s="53"/>
      <c r="J31" s="52"/>
      <c r="K31" s="53"/>
      <c r="L31" s="52"/>
      <c r="M31" s="52"/>
      <c r="N31" s="52"/>
      <c r="O31" s="52"/>
      <c r="P31" s="192">
        <f t="shared" si="8"/>
        <v>0</v>
      </c>
      <c r="Q31" s="10"/>
      <c r="R31" s="10"/>
      <c r="S31" s="10"/>
      <c r="T31" s="10"/>
      <c r="U31" s="11">
        <f>SUM(U30)</f>
        <v>515.62173913043478</v>
      </c>
      <c r="V31" s="10"/>
    </row>
    <row r="32" spans="1:22" x14ac:dyDescent="0.25">
      <c r="A32" s="187">
        <v>1903</v>
      </c>
      <c r="B32" s="44" t="s">
        <v>89</v>
      </c>
      <c r="C32" s="65" t="s">
        <v>90</v>
      </c>
      <c r="D32" s="75" t="s">
        <v>51</v>
      </c>
      <c r="E32" s="55" t="s">
        <v>22</v>
      </c>
      <c r="F32" s="12">
        <v>45418</v>
      </c>
      <c r="G32" s="143">
        <v>45817</v>
      </c>
      <c r="H32" s="12" t="s">
        <v>385</v>
      </c>
      <c r="I32" s="218">
        <v>1809.18</v>
      </c>
      <c r="J32" s="1">
        <v>79</v>
      </c>
      <c r="K32" s="2">
        <f>I32/J32</f>
        <v>22.901012658227849</v>
      </c>
      <c r="L32" s="1">
        <v>0</v>
      </c>
      <c r="M32" s="1">
        <v>0</v>
      </c>
      <c r="N32" s="1">
        <v>0</v>
      </c>
      <c r="O32" s="1">
        <v>30</v>
      </c>
      <c r="P32" s="192">
        <f t="shared" si="8"/>
        <v>30</v>
      </c>
      <c r="Q32" s="42">
        <f>K32*50%*L32</f>
        <v>0</v>
      </c>
      <c r="R32" s="42">
        <f>K32*60%*M32</f>
        <v>0</v>
      </c>
      <c r="S32" s="42">
        <f>K32*60%*N32</f>
        <v>0</v>
      </c>
      <c r="T32" s="42">
        <f>K32*75%*O32</f>
        <v>515.27278481012661</v>
      </c>
      <c r="U32" s="42">
        <f>S32+T32</f>
        <v>515.27278481012661</v>
      </c>
      <c r="V32" s="42">
        <f>K32*(M32+O32+L32+N32)*100%</f>
        <v>687.03037974683548</v>
      </c>
    </row>
    <row r="33" spans="1:22" x14ac:dyDescent="0.25">
      <c r="A33" s="193" t="s">
        <v>300</v>
      </c>
      <c r="B33" s="177"/>
      <c r="C33" s="178"/>
      <c r="D33" s="179"/>
      <c r="E33" s="180"/>
      <c r="F33" s="194"/>
      <c r="G33" s="181"/>
      <c r="H33" s="194"/>
      <c r="I33" s="182"/>
      <c r="J33" s="183"/>
      <c r="K33" s="184"/>
      <c r="L33" s="183"/>
      <c r="M33" s="183"/>
      <c r="N33" s="183"/>
      <c r="O33" s="183"/>
      <c r="P33" s="192"/>
      <c r="Q33" s="182"/>
      <c r="R33" s="182"/>
      <c r="S33" s="182"/>
      <c r="T33" s="182"/>
      <c r="U33" s="182"/>
      <c r="V33" s="182"/>
    </row>
    <row r="34" spans="1:22" x14ac:dyDescent="0.25">
      <c r="A34" s="187">
        <v>1903</v>
      </c>
      <c r="B34" s="44" t="s">
        <v>459</v>
      </c>
      <c r="C34" s="65" t="s">
        <v>460</v>
      </c>
      <c r="D34" s="75" t="s">
        <v>50</v>
      </c>
      <c r="E34" s="55" t="s">
        <v>22</v>
      </c>
      <c r="F34" s="12">
        <v>45827</v>
      </c>
      <c r="G34" s="143"/>
      <c r="H34" s="203">
        <v>45831</v>
      </c>
      <c r="I34" s="42">
        <v>1420</v>
      </c>
      <c r="J34" s="1">
        <v>30</v>
      </c>
      <c r="K34" s="2">
        <f>I34/J34</f>
        <v>47.333333333333336</v>
      </c>
      <c r="L34" s="1">
        <v>3</v>
      </c>
      <c r="M34" s="1">
        <v>2</v>
      </c>
      <c r="N34" s="1">
        <v>0</v>
      </c>
      <c r="O34" s="1">
        <v>0</v>
      </c>
      <c r="P34" s="192">
        <f>L34+M34+N34+O34</f>
        <v>5</v>
      </c>
      <c r="Q34" s="42">
        <f>K34*50%*L34</f>
        <v>71</v>
      </c>
      <c r="R34" s="42">
        <f>K34*60%*M34</f>
        <v>56.800000000000004</v>
      </c>
      <c r="S34" s="42">
        <f>K34*60%*N34</f>
        <v>0</v>
      </c>
      <c r="T34" s="42">
        <f>K34*75%*O34</f>
        <v>0</v>
      </c>
      <c r="U34" s="42">
        <f>S34+T34</f>
        <v>0</v>
      </c>
      <c r="V34" s="42">
        <f>K34*(M34+O34+L34+N34)*100%</f>
        <v>236.66666666666669</v>
      </c>
    </row>
    <row r="35" spans="1:22" x14ac:dyDescent="0.25">
      <c r="A35" s="187">
        <v>1903</v>
      </c>
      <c r="B35" s="44" t="s">
        <v>288</v>
      </c>
      <c r="C35" s="65" t="s">
        <v>289</v>
      </c>
      <c r="D35" s="75" t="s">
        <v>51</v>
      </c>
      <c r="E35" s="55" t="s">
        <v>22</v>
      </c>
      <c r="F35" s="12">
        <v>45824</v>
      </c>
      <c r="G35" s="143"/>
      <c r="H35" s="203">
        <v>45827</v>
      </c>
      <c r="I35" s="42">
        <v>3821.7</v>
      </c>
      <c r="J35" s="1">
        <v>89</v>
      </c>
      <c r="K35" s="2">
        <f>I35/J35</f>
        <v>42.940449438202243</v>
      </c>
      <c r="L35" s="1">
        <v>3</v>
      </c>
      <c r="M35" s="1">
        <v>1</v>
      </c>
      <c r="N35" s="1">
        <v>0</v>
      </c>
      <c r="O35" s="1">
        <v>0</v>
      </c>
      <c r="P35" s="192">
        <f t="shared" ref="P35:P49" si="9">L35+M35+N35+O35</f>
        <v>4</v>
      </c>
      <c r="Q35" s="42">
        <f>K35*50%*L35</f>
        <v>64.410674157303362</v>
      </c>
      <c r="R35" s="42">
        <f>K35*60%*M35</f>
        <v>25.764269662921347</v>
      </c>
      <c r="S35" s="42">
        <f>K35*60%*N35</f>
        <v>0</v>
      </c>
      <c r="T35" s="42">
        <f>K35*75%*O35</f>
        <v>0</v>
      </c>
      <c r="U35" s="42">
        <f>S35+T35</f>
        <v>0</v>
      </c>
      <c r="V35" s="42">
        <f>K35*(M35+O35+L35+N35)*100%</f>
        <v>171.76179775280897</v>
      </c>
    </row>
    <row r="36" spans="1:22" x14ac:dyDescent="0.25">
      <c r="A36" s="187">
        <v>1903</v>
      </c>
      <c r="B36" s="44" t="s">
        <v>288</v>
      </c>
      <c r="C36" s="65" t="s">
        <v>289</v>
      </c>
      <c r="D36" s="75" t="s">
        <v>51</v>
      </c>
      <c r="E36" s="55" t="s">
        <v>22</v>
      </c>
      <c r="F36" s="12">
        <v>45831</v>
      </c>
      <c r="G36" s="143"/>
      <c r="H36" s="203">
        <v>45831</v>
      </c>
      <c r="I36" s="42">
        <v>3821.7</v>
      </c>
      <c r="J36" s="1">
        <v>89</v>
      </c>
      <c r="K36" s="2">
        <f>I36/J36</f>
        <v>42.940449438202243</v>
      </c>
      <c r="L36" s="1">
        <v>1</v>
      </c>
      <c r="M36" s="1">
        <v>0</v>
      </c>
      <c r="N36" s="1">
        <v>0</v>
      </c>
      <c r="O36" s="1">
        <v>0</v>
      </c>
      <c r="P36" s="192">
        <f>L36+M36+N36+O36</f>
        <v>1</v>
      </c>
      <c r="Q36" s="42">
        <f>K36*50%*L36</f>
        <v>21.470224719101122</v>
      </c>
      <c r="R36" s="42">
        <f>K36*60%*M36</f>
        <v>0</v>
      </c>
      <c r="S36" s="42">
        <f>K36*60%*N36</f>
        <v>0</v>
      </c>
      <c r="T36" s="42">
        <f>K36*75%*O36</f>
        <v>0</v>
      </c>
      <c r="U36" s="42">
        <f>S36+T36</f>
        <v>0</v>
      </c>
      <c r="V36" s="42">
        <f>K36*(M36+O36+L36+N36)*100%</f>
        <v>42.940449438202243</v>
      </c>
    </row>
    <row r="37" spans="1:22" x14ac:dyDescent="0.25">
      <c r="A37" s="89">
        <v>1903</v>
      </c>
      <c r="B37" s="68" t="s">
        <v>162</v>
      </c>
      <c r="C37" s="66">
        <v>381022239019</v>
      </c>
      <c r="D37" s="205">
        <v>189</v>
      </c>
      <c r="E37" s="205" t="s">
        <v>22</v>
      </c>
      <c r="F37" s="141">
        <v>45839</v>
      </c>
      <c r="G37" s="141"/>
      <c r="H37" s="141">
        <v>45857</v>
      </c>
      <c r="I37" s="85"/>
      <c r="J37" s="85"/>
      <c r="K37" s="85"/>
      <c r="L37" s="85"/>
      <c r="M37" s="85"/>
      <c r="N37" s="85"/>
      <c r="O37" s="85"/>
      <c r="P37" s="192">
        <f t="shared" si="9"/>
        <v>0</v>
      </c>
      <c r="Q37" s="83" t="s">
        <v>72</v>
      </c>
      <c r="R37" s="68"/>
      <c r="S37" s="68" t="s">
        <v>246</v>
      </c>
      <c r="T37" s="68"/>
      <c r="U37" s="85"/>
      <c r="V37" s="68"/>
    </row>
    <row r="38" spans="1:22" s="190" customFormat="1" ht="14.1" customHeight="1" x14ac:dyDescent="0.25">
      <c r="A38" s="193" t="s">
        <v>430</v>
      </c>
      <c r="B38" s="177"/>
      <c r="C38" s="178"/>
      <c r="D38" s="179"/>
      <c r="E38" s="180"/>
      <c r="F38" s="194"/>
      <c r="G38" s="181"/>
      <c r="H38" s="194"/>
      <c r="I38" s="220"/>
      <c r="J38" s="183"/>
      <c r="K38" s="184"/>
      <c r="L38" s="183"/>
      <c r="M38" s="183"/>
      <c r="N38" s="183"/>
      <c r="O38" s="183"/>
      <c r="P38" s="192">
        <f t="shared" si="9"/>
        <v>0</v>
      </c>
      <c r="Q38" s="182"/>
      <c r="R38" s="182"/>
      <c r="S38" s="182"/>
      <c r="T38" s="182"/>
      <c r="U38" s="182"/>
      <c r="V38" s="182"/>
    </row>
    <row r="39" spans="1:22" x14ac:dyDescent="0.25">
      <c r="A39" s="187">
        <v>1903</v>
      </c>
      <c r="B39" s="44" t="s">
        <v>447</v>
      </c>
      <c r="C39" s="65" t="s">
        <v>448</v>
      </c>
      <c r="D39" s="75" t="s">
        <v>51</v>
      </c>
      <c r="E39" s="55" t="s">
        <v>22</v>
      </c>
      <c r="F39" s="12">
        <v>45813</v>
      </c>
      <c r="G39" s="143">
        <v>45862</v>
      </c>
      <c r="H39" s="12" t="s">
        <v>456</v>
      </c>
      <c r="I39" s="1">
        <v>3755.95</v>
      </c>
      <c r="J39" s="1">
        <v>89</v>
      </c>
      <c r="K39" s="2">
        <f>I39/J39</f>
        <v>42.201685393258423</v>
      </c>
      <c r="L39" s="1">
        <v>3</v>
      </c>
      <c r="M39" s="1">
        <v>12</v>
      </c>
      <c r="N39" s="1">
        <v>5</v>
      </c>
      <c r="O39" s="1">
        <v>6</v>
      </c>
      <c r="P39" s="192">
        <f t="shared" si="9"/>
        <v>26</v>
      </c>
      <c r="Q39" s="42">
        <f>K39*50%*L39</f>
        <v>63.30252808988763</v>
      </c>
      <c r="R39" s="42">
        <f>K39*60%*M39</f>
        <v>303.8521348314606</v>
      </c>
      <c r="S39" s="42">
        <f>K39*60%*N39</f>
        <v>126.60505617977526</v>
      </c>
      <c r="T39" s="42">
        <f>K39*75%*O39</f>
        <v>189.90758426966289</v>
      </c>
      <c r="U39" s="42">
        <f>S39+T39</f>
        <v>316.51264044943815</v>
      </c>
      <c r="V39" s="42">
        <f>K39*(M39+O39+L39+N39)*100%</f>
        <v>1097.243820224719</v>
      </c>
    </row>
    <row r="40" spans="1:22" x14ac:dyDescent="0.25">
      <c r="A40" s="193" t="s">
        <v>451</v>
      </c>
      <c r="B40" s="177"/>
      <c r="C40" s="178"/>
      <c r="D40" s="179"/>
      <c r="E40" s="180"/>
      <c r="F40" s="194"/>
      <c r="G40" s="181"/>
      <c r="H40" s="194"/>
      <c r="I40" s="220" t="s">
        <v>484</v>
      </c>
      <c r="J40" s="183"/>
      <c r="K40" s="184"/>
      <c r="L40" s="183"/>
      <c r="M40" s="183"/>
      <c r="N40" s="183"/>
      <c r="O40" s="183"/>
      <c r="P40" s="192">
        <f t="shared" si="9"/>
        <v>0</v>
      </c>
      <c r="Q40" s="182"/>
      <c r="R40" s="182"/>
      <c r="S40" s="182"/>
      <c r="T40" s="182"/>
      <c r="U40" s="182"/>
      <c r="V40" s="182"/>
    </row>
    <row r="41" spans="1:22" x14ac:dyDescent="0.25">
      <c r="A41" s="187">
        <v>1903</v>
      </c>
      <c r="B41" s="44" t="s">
        <v>190</v>
      </c>
      <c r="C41" s="65" t="s">
        <v>191</v>
      </c>
      <c r="D41" s="75" t="s">
        <v>51</v>
      </c>
      <c r="E41" s="55" t="s">
        <v>22</v>
      </c>
      <c r="F41" s="12">
        <v>45685</v>
      </c>
      <c r="G41" s="143">
        <v>45845</v>
      </c>
      <c r="H41" s="12" t="s">
        <v>445</v>
      </c>
      <c r="I41" s="218">
        <v>669.48</v>
      </c>
      <c r="J41" s="1">
        <v>31</v>
      </c>
      <c r="K41" s="2">
        <f>I41/J41</f>
        <v>21.596129032258066</v>
      </c>
      <c r="L41" s="1">
        <v>0</v>
      </c>
      <c r="M41" s="1">
        <v>0</v>
      </c>
      <c r="N41" s="1">
        <v>0</v>
      </c>
      <c r="O41" s="1">
        <v>30</v>
      </c>
      <c r="P41" s="192">
        <f t="shared" si="9"/>
        <v>30</v>
      </c>
      <c r="Q41" s="42">
        <f>K41*50%*L41</f>
        <v>0</v>
      </c>
      <c r="R41" s="42">
        <f>K41*60%*M41</f>
        <v>0</v>
      </c>
      <c r="S41" s="42">
        <f>K41*60%*N41</f>
        <v>0</v>
      </c>
      <c r="T41" s="42">
        <f>K41*75%*O41</f>
        <v>485.91290322580653</v>
      </c>
      <c r="U41" s="42">
        <f>S41+T41</f>
        <v>485.91290322580653</v>
      </c>
      <c r="V41" s="42">
        <f>K41*(M41+O41+L41+N41)*100%</f>
        <v>647.88387096774193</v>
      </c>
    </row>
    <row r="42" spans="1:22" x14ac:dyDescent="0.25">
      <c r="A42" s="193" t="s">
        <v>352</v>
      </c>
      <c r="B42" s="177"/>
      <c r="C42" s="178"/>
      <c r="D42" s="179"/>
      <c r="E42" s="180"/>
      <c r="F42" s="194"/>
      <c r="G42" s="181"/>
      <c r="H42" s="194"/>
      <c r="I42" s="182"/>
      <c r="J42" s="183"/>
      <c r="K42" s="184"/>
      <c r="L42" s="183"/>
      <c r="M42" s="183"/>
      <c r="N42" s="183"/>
      <c r="O42" s="183"/>
      <c r="P42" s="192">
        <f t="shared" si="9"/>
        <v>0</v>
      </c>
      <c r="Q42" s="182"/>
      <c r="R42" s="182"/>
      <c r="S42" s="182"/>
      <c r="T42" s="182"/>
      <c r="U42" s="182"/>
      <c r="V42" s="182"/>
    </row>
    <row r="43" spans="1:22" x14ac:dyDescent="0.25">
      <c r="A43" s="195">
        <v>1903</v>
      </c>
      <c r="B43" s="9" t="s">
        <v>143</v>
      </c>
      <c r="C43" s="51"/>
      <c r="D43" s="56"/>
      <c r="E43" s="56"/>
      <c r="F43" s="142"/>
      <c r="G43" s="142"/>
      <c r="H43" s="52"/>
      <c r="I43" s="53"/>
      <c r="J43" s="52"/>
      <c r="K43" s="53"/>
      <c r="L43" s="52"/>
      <c r="M43" s="52"/>
      <c r="N43" s="52"/>
      <c r="O43" s="52"/>
      <c r="P43" s="192">
        <f t="shared" si="9"/>
        <v>0</v>
      </c>
      <c r="Q43" s="10"/>
      <c r="R43" s="10"/>
      <c r="S43" s="10"/>
      <c r="T43" s="10"/>
      <c r="U43" s="11">
        <f>SUM(U32:U41)</f>
        <v>1317.6983284853713</v>
      </c>
      <c r="V43" s="10"/>
    </row>
    <row r="44" spans="1:22" ht="14.1" customHeight="1" x14ac:dyDescent="0.25">
      <c r="A44" s="187">
        <v>1985</v>
      </c>
      <c r="B44" s="44" t="s">
        <v>433</v>
      </c>
      <c r="C44" s="207" t="s">
        <v>434</v>
      </c>
      <c r="D44" s="75" t="s">
        <v>405</v>
      </c>
      <c r="E44" s="55" t="s">
        <v>22</v>
      </c>
      <c r="F44" s="12">
        <v>45799</v>
      </c>
      <c r="G44" s="143"/>
      <c r="H44" s="203">
        <v>45813</v>
      </c>
      <c r="I44" s="1">
        <v>1048.32</v>
      </c>
      <c r="J44" s="1">
        <v>30</v>
      </c>
      <c r="K44" s="2">
        <f>I44/J44</f>
        <v>34.943999999999996</v>
      </c>
      <c r="L44" s="1">
        <v>0</v>
      </c>
      <c r="M44" s="1">
        <f>12-7</f>
        <v>5</v>
      </c>
      <c r="N44" s="1">
        <v>0</v>
      </c>
      <c r="O44" s="1">
        <v>0</v>
      </c>
      <c r="P44" s="192">
        <f t="shared" si="9"/>
        <v>5</v>
      </c>
      <c r="Q44" s="42">
        <f>K44*50%*L44</f>
        <v>0</v>
      </c>
      <c r="R44" s="42">
        <f>K44*60%*M44</f>
        <v>104.83199999999998</v>
      </c>
      <c r="S44" s="42">
        <f>K44*60%*N44</f>
        <v>0</v>
      </c>
      <c r="T44" s="42">
        <f>K44*75%*O44</f>
        <v>0</v>
      </c>
      <c r="U44" s="42">
        <f>S44+T44</f>
        <v>0</v>
      </c>
      <c r="V44" s="42">
        <f>K44*(M44+O44+L44+N44)*100%</f>
        <v>174.71999999999997</v>
      </c>
    </row>
    <row r="45" spans="1:22" x14ac:dyDescent="0.25">
      <c r="A45" s="195">
        <v>1985</v>
      </c>
      <c r="B45" s="9" t="s">
        <v>212</v>
      </c>
      <c r="C45" s="51"/>
      <c r="D45" s="56"/>
      <c r="E45" s="56"/>
      <c r="F45" s="142"/>
      <c r="G45" s="142"/>
      <c r="H45" s="52"/>
      <c r="I45" s="53"/>
      <c r="J45" s="52"/>
      <c r="K45" s="53"/>
      <c r="L45" s="52"/>
      <c r="M45" s="52"/>
      <c r="N45" s="52"/>
      <c r="O45" s="52"/>
      <c r="P45" s="192">
        <f t="shared" si="9"/>
        <v>0</v>
      </c>
      <c r="Q45" s="10"/>
      <c r="R45" s="10"/>
      <c r="S45" s="10"/>
      <c r="T45" s="10"/>
      <c r="U45" s="11">
        <f>SUM(U44)</f>
        <v>0</v>
      </c>
      <c r="V45" s="10"/>
    </row>
    <row r="46" spans="1:22" x14ac:dyDescent="0.25">
      <c r="A46" s="196">
        <v>2281</v>
      </c>
      <c r="B46" s="44" t="s">
        <v>329</v>
      </c>
      <c r="C46" s="65" t="s">
        <v>330</v>
      </c>
      <c r="D46" s="55">
        <v>100</v>
      </c>
      <c r="E46" s="55" t="s">
        <v>22</v>
      </c>
      <c r="F46" s="12">
        <v>45826</v>
      </c>
      <c r="G46" s="239"/>
      <c r="H46" s="203">
        <v>45835</v>
      </c>
      <c r="I46" s="42">
        <v>1679.97</v>
      </c>
      <c r="J46" s="1">
        <v>30</v>
      </c>
      <c r="K46" s="2">
        <f>I46/J46</f>
        <v>55.999000000000002</v>
      </c>
      <c r="L46" s="1">
        <v>3</v>
      </c>
      <c r="M46" s="1">
        <v>7</v>
      </c>
      <c r="N46" s="1">
        <v>0</v>
      </c>
      <c r="O46" s="1">
        <v>0</v>
      </c>
      <c r="P46" s="192">
        <f>L46+M46+N46+O46</f>
        <v>10</v>
      </c>
      <c r="Q46" s="42">
        <f>K46*50%*L46</f>
        <v>83.998500000000007</v>
      </c>
      <c r="R46" s="42">
        <f>K46*60%*M46</f>
        <v>235.19580000000002</v>
      </c>
      <c r="S46" s="42">
        <f>K46*60%*N46</f>
        <v>0</v>
      </c>
      <c r="T46" s="42">
        <f>K46*75%*O46</f>
        <v>0</v>
      </c>
      <c r="U46" s="42">
        <f>S46+T46</f>
        <v>0</v>
      </c>
      <c r="V46" s="42">
        <f>K46*(M46+O46+L46+N46)*100%</f>
        <v>559.99</v>
      </c>
    </row>
    <row r="47" spans="1:22" x14ac:dyDescent="0.25">
      <c r="A47" s="196">
        <v>2281</v>
      </c>
      <c r="B47" s="44" t="s">
        <v>79</v>
      </c>
      <c r="C47" s="65" t="s">
        <v>73</v>
      </c>
      <c r="D47" s="55">
        <v>189</v>
      </c>
      <c r="E47" s="55" t="s">
        <v>22</v>
      </c>
      <c r="F47" s="12">
        <v>45363</v>
      </c>
      <c r="G47" s="143">
        <v>45762</v>
      </c>
      <c r="H47" s="12" t="s">
        <v>280</v>
      </c>
      <c r="I47" s="42">
        <v>1901.68</v>
      </c>
      <c r="J47" s="1">
        <v>30</v>
      </c>
      <c r="K47" s="2">
        <f>I47/J47</f>
        <v>63.389333333333333</v>
      </c>
      <c r="L47" s="1">
        <v>0</v>
      </c>
      <c r="M47" s="1">
        <v>0</v>
      </c>
      <c r="N47" s="1">
        <v>0</v>
      </c>
      <c r="O47" s="1">
        <v>30</v>
      </c>
      <c r="P47" s="192">
        <f t="shared" si="9"/>
        <v>30</v>
      </c>
      <c r="Q47" s="42">
        <f>K47*50%*L47</f>
        <v>0</v>
      </c>
      <c r="R47" s="42">
        <f>K47*60%*M47</f>
        <v>0</v>
      </c>
      <c r="S47" s="42">
        <f>K47*60%*N47</f>
        <v>0</v>
      </c>
      <c r="T47" s="42">
        <f>K47*75%*O47</f>
        <v>1426.26</v>
      </c>
      <c r="U47" s="42">
        <f>S47+T47</f>
        <v>1426.26</v>
      </c>
      <c r="V47" s="42">
        <f>K47*(M47+O47+L47+N47)*100%</f>
        <v>1901.68</v>
      </c>
    </row>
    <row r="48" spans="1:22" s="185" customFormat="1" ht="15" customHeight="1" x14ac:dyDescent="0.25">
      <c r="A48" s="195">
        <v>2281</v>
      </c>
      <c r="B48" s="9" t="s">
        <v>60</v>
      </c>
      <c r="C48" s="51"/>
      <c r="D48" s="56"/>
      <c r="E48" s="56"/>
      <c r="F48" s="142"/>
      <c r="G48" s="142"/>
      <c r="H48" s="52"/>
      <c r="I48" s="53"/>
      <c r="J48" s="52"/>
      <c r="K48" s="53"/>
      <c r="L48" s="52"/>
      <c r="M48" s="52"/>
      <c r="N48" s="52"/>
      <c r="O48" s="52"/>
      <c r="P48" s="192">
        <f t="shared" si="9"/>
        <v>0</v>
      </c>
      <c r="Q48" s="10"/>
      <c r="R48" s="10"/>
      <c r="S48" s="10"/>
      <c r="T48" s="10"/>
      <c r="U48" s="11">
        <f>SUM(U47:U47)</f>
        <v>1426.26</v>
      </c>
      <c r="V48" s="10"/>
    </row>
    <row r="49" spans="1:23" x14ac:dyDescent="0.25">
      <c r="A49" s="196">
        <v>2290</v>
      </c>
      <c r="B49" s="44" t="s">
        <v>406</v>
      </c>
      <c r="C49" s="65" t="s">
        <v>407</v>
      </c>
      <c r="D49" s="55">
        <v>100</v>
      </c>
      <c r="E49" s="55" t="s">
        <v>22</v>
      </c>
      <c r="F49" s="12">
        <v>45791</v>
      </c>
      <c r="G49" s="143">
        <v>45846</v>
      </c>
      <c r="H49" s="12" t="s">
        <v>477</v>
      </c>
      <c r="I49" s="42">
        <v>1547.48</v>
      </c>
      <c r="J49" s="1">
        <v>30</v>
      </c>
      <c r="K49" s="2">
        <f>I49/J49</f>
        <v>51.582666666666668</v>
      </c>
      <c r="L49" s="1">
        <v>0</v>
      </c>
      <c r="M49" s="1">
        <v>0</v>
      </c>
      <c r="N49" s="1">
        <v>2</v>
      </c>
      <c r="O49" s="1">
        <v>28</v>
      </c>
      <c r="P49" s="192">
        <f t="shared" si="9"/>
        <v>30</v>
      </c>
      <c r="Q49" s="42">
        <f>K49*50%*L49</f>
        <v>0</v>
      </c>
      <c r="R49" s="42">
        <f>K49*60%*M49</f>
        <v>0</v>
      </c>
      <c r="S49" s="42">
        <f>K49*60%*N49</f>
        <v>61.8992</v>
      </c>
      <c r="T49" s="42">
        <f>K49*75%*O49</f>
        <v>1083.2359999999999</v>
      </c>
      <c r="U49" s="42">
        <f>S49+T49</f>
        <v>1145.1351999999999</v>
      </c>
      <c r="V49" s="42">
        <f>K49*(M49+O49+L49+N49)*100%</f>
        <v>1547.48</v>
      </c>
      <c r="W49" s="241"/>
    </row>
    <row r="50" spans="1:23" s="185" customFormat="1" ht="14.25" customHeight="1" x14ac:dyDescent="0.25">
      <c r="A50" s="193" t="s">
        <v>414</v>
      </c>
      <c r="B50" s="177"/>
      <c r="C50" s="178"/>
      <c r="D50" s="179"/>
      <c r="E50" s="180"/>
      <c r="F50" s="194"/>
      <c r="G50" s="181"/>
      <c r="H50" s="194"/>
      <c r="I50" s="182"/>
      <c r="J50" s="183"/>
      <c r="K50" s="184"/>
      <c r="L50" s="183"/>
      <c r="M50" s="183"/>
      <c r="N50" s="183"/>
      <c r="O50" s="183"/>
      <c r="P50" s="192"/>
      <c r="Q50" s="182"/>
      <c r="R50" s="182"/>
      <c r="S50" s="182"/>
      <c r="T50" s="182"/>
      <c r="U50" s="182"/>
      <c r="V50" s="182"/>
    </row>
    <row r="51" spans="1:23" x14ac:dyDescent="0.25">
      <c r="A51" s="196">
        <v>2290</v>
      </c>
      <c r="B51" s="44" t="s">
        <v>98</v>
      </c>
      <c r="C51" s="65" t="s">
        <v>99</v>
      </c>
      <c r="D51" s="55">
        <v>100</v>
      </c>
      <c r="E51" s="55" t="s">
        <v>22</v>
      </c>
      <c r="F51" s="12">
        <v>45607</v>
      </c>
      <c r="G51" s="143">
        <v>45852</v>
      </c>
      <c r="H51" s="12" t="s">
        <v>471</v>
      </c>
      <c r="I51" s="42">
        <v>1500.04</v>
      </c>
      <c r="J51" s="1">
        <v>30</v>
      </c>
      <c r="K51" s="2">
        <f>I51/J51</f>
        <v>50.001333333333335</v>
      </c>
      <c r="L51" s="1">
        <v>0</v>
      </c>
      <c r="M51" s="1">
        <v>0</v>
      </c>
      <c r="N51" s="1">
        <v>0</v>
      </c>
      <c r="O51" s="1">
        <v>30</v>
      </c>
      <c r="P51" s="192">
        <f>L51+M51+N51+O51</f>
        <v>30</v>
      </c>
      <c r="Q51" s="42">
        <f>K51*50%*L51</f>
        <v>0</v>
      </c>
      <c r="R51" s="42">
        <f>K51*60%*M51</f>
        <v>0</v>
      </c>
      <c r="S51" s="42">
        <f>K51*60%*N51</f>
        <v>0</v>
      </c>
      <c r="T51" s="42">
        <f>K51*75%*O51</f>
        <v>1125.0300000000002</v>
      </c>
      <c r="U51" s="42">
        <f>S51+T51</f>
        <v>1125.0300000000002</v>
      </c>
      <c r="V51" s="42">
        <f>K51*(M51+O51+L51+N51)*100%</f>
        <v>1500.04</v>
      </c>
      <c r="W51" s="241"/>
    </row>
    <row r="52" spans="1:23" x14ac:dyDescent="0.25">
      <c r="A52" s="193" t="s">
        <v>469</v>
      </c>
      <c r="B52" s="177"/>
      <c r="C52" s="178"/>
      <c r="D52" s="179"/>
      <c r="E52" s="180"/>
      <c r="F52" s="194"/>
      <c r="G52" s="181"/>
      <c r="H52" s="194"/>
      <c r="I52" s="182"/>
      <c r="J52" s="183"/>
      <c r="K52" s="184"/>
      <c r="L52" s="183"/>
      <c r="M52" s="183"/>
      <c r="N52" s="183"/>
      <c r="O52" s="183"/>
      <c r="P52" s="192"/>
      <c r="Q52" s="182"/>
      <c r="R52" s="182"/>
      <c r="S52" s="182"/>
      <c r="T52" s="182"/>
      <c r="U52" s="182"/>
      <c r="V52" s="182"/>
    </row>
    <row r="53" spans="1:23" s="185" customFormat="1" ht="14.25" customHeight="1" x14ac:dyDescent="0.25">
      <c r="A53" s="196">
        <v>2290</v>
      </c>
      <c r="B53" s="44" t="s">
        <v>230</v>
      </c>
      <c r="C53" s="65" t="s">
        <v>231</v>
      </c>
      <c r="D53" s="55">
        <v>100</v>
      </c>
      <c r="E53" s="55" t="s">
        <v>22</v>
      </c>
      <c r="F53" s="12">
        <v>45694</v>
      </c>
      <c r="G53" s="143">
        <v>45841</v>
      </c>
      <c r="H53" s="12" t="s">
        <v>452</v>
      </c>
      <c r="I53" s="42">
        <v>1771.25</v>
      </c>
      <c r="J53" s="1">
        <v>74</v>
      </c>
      <c r="K53" s="2">
        <f>I53/J53</f>
        <v>23.935810810810811</v>
      </c>
      <c r="L53" s="1">
        <v>0</v>
      </c>
      <c r="M53" s="1">
        <v>0</v>
      </c>
      <c r="N53" s="1">
        <v>0</v>
      </c>
      <c r="O53" s="1">
        <v>30</v>
      </c>
      <c r="P53" s="192">
        <f>L53+M53+N53+O53</f>
        <v>30</v>
      </c>
      <c r="Q53" s="42">
        <f>K53*50%*L53</f>
        <v>0</v>
      </c>
      <c r="R53" s="42">
        <f>K53*60%*M53</f>
        <v>0</v>
      </c>
      <c r="S53" s="42">
        <f>K53*60%*N53</f>
        <v>0</v>
      </c>
      <c r="T53" s="42">
        <f>K53*75%*O53</f>
        <v>538.55574324324323</v>
      </c>
      <c r="U53" s="42">
        <f>S53+T53</f>
        <v>538.55574324324323</v>
      </c>
      <c r="V53" s="42">
        <f>K53*(M53+O53+L53+N53)*100%</f>
        <v>718.07432432432427</v>
      </c>
      <c r="W53" s="241"/>
    </row>
    <row r="54" spans="1:23" s="185" customFormat="1" ht="15" customHeight="1" x14ac:dyDescent="0.25">
      <c r="A54" s="209">
        <v>2290</v>
      </c>
      <c r="B54" s="210" t="s">
        <v>427</v>
      </c>
      <c r="C54" s="211" t="s">
        <v>437</v>
      </c>
      <c r="D54" s="212">
        <v>100</v>
      </c>
      <c r="E54" s="212" t="s">
        <v>22</v>
      </c>
      <c r="F54" s="213">
        <v>45797</v>
      </c>
      <c r="G54" s="237">
        <v>45860</v>
      </c>
      <c r="H54" s="213" t="s">
        <v>476</v>
      </c>
      <c r="I54" s="214">
        <v>1547.49</v>
      </c>
      <c r="J54" s="215">
        <v>27</v>
      </c>
      <c r="K54" s="216">
        <v>51.62</v>
      </c>
      <c r="L54" s="215">
        <v>0</v>
      </c>
      <c r="M54" s="215">
        <v>0</v>
      </c>
      <c r="N54" s="215">
        <v>0</v>
      </c>
      <c r="O54" s="215">
        <v>30</v>
      </c>
      <c r="P54" s="238">
        <f>L54+M54+N54+O54</f>
        <v>30</v>
      </c>
      <c r="Q54" s="214">
        <f>K54*50%*L54</f>
        <v>0</v>
      </c>
      <c r="R54" s="214">
        <f>K54*60%*M54</f>
        <v>0</v>
      </c>
      <c r="S54" s="214">
        <f>K54*60%*N54</f>
        <v>0</v>
      </c>
      <c r="T54" s="214">
        <f>K54*75%*O54</f>
        <v>1161.4499999999998</v>
      </c>
      <c r="U54" s="214">
        <f>S54+T54</f>
        <v>1161.4499999999998</v>
      </c>
      <c r="V54" s="214">
        <f>K54*(M54+O54+L54+N54)*100%</f>
        <v>1548.6</v>
      </c>
      <c r="W54" s="242"/>
    </row>
    <row r="55" spans="1:23" s="185" customFormat="1" ht="15" customHeight="1" x14ac:dyDescent="0.25">
      <c r="A55" s="193" t="s">
        <v>468</v>
      </c>
      <c r="B55" s="177"/>
      <c r="C55" s="178"/>
      <c r="D55" s="179"/>
      <c r="E55" s="180"/>
      <c r="F55" s="194"/>
      <c r="G55" s="181"/>
      <c r="H55" s="194"/>
      <c r="I55" s="182"/>
      <c r="J55" s="183"/>
      <c r="K55" s="184"/>
      <c r="L55" s="183"/>
      <c r="M55" s="183"/>
      <c r="N55" s="183"/>
      <c r="O55" s="183"/>
      <c r="P55" s="192"/>
      <c r="Q55" s="182"/>
      <c r="R55" s="182"/>
      <c r="S55" s="182"/>
      <c r="T55" s="182"/>
      <c r="U55" s="182"/>
      <c r="V55" s="182"/>
    </row>
    <row r="56" spans="1:23" x14ac:dyDescent="0.25">
      <c r="A56" s="196">
        <v>2290</v>
      </c>
      <c r="B56" s="44" t="s">
        <v>97</v>
      </c>
      <c r="C56" s="65" t="s">
        <v>100</v>
      </c>
      <c r="D56" s="55">
        <v>100</v>
      </c>
      <c r="E56" s="55" t="s">
        <v>22</v>
      </c>
      <c r="F56" s="12">
        <v>45561</v>
      </c>
      <c r="G56" s="143">
        <v>45832</v>
      </c>
      <c r="H56" s="12" t="s">
        <v>446</v>
      </c>
      <c r="I56" s="42">
        <v>1512.48</v>
      </c>
      <c r="J56" s="1">
        <v>30</v>
      </c>
      <c r="K56" s="2">
        <f>I56/J56</f>
        <v>50.416000000000004</v>
      </c>
      <c r="L56" s="1">
        <v>0</v>
      </c>
      <c r="M56" s="1">
        <v>0</v>
      </c>
      <c r="N56" s="1">
        <v>0</v>
      </c>
      <c r="O56" s="1">
        <v>30</v>
      </c>
      <c r="P56" s="192">
        <f>L56+M56+N56+O56</f>
        <v>30</v>
      </c>
      <c r="Q56" s="42">
        <f>K56*50%*L56</f>
        <v>0</v>
      </c>
      <c r="R56" s="42">
        <f>K56*60%*M56</f>
        <v>0</v>
      </c>
      <c r="S56" s="42">
        <f>K56*60%*N56</f>
        <v>0</v>
      </c>
      <c r="T56" s="42">
        <f>K56*75%*O56</f>
        <v>1134.3600000000001</v>
      </c>
      <c r="U56" s="42">
        <f>S56+T56</f>
        <v>1134.3600000000001</v>
      </c>
      <c r="V56" s="42">
        <f>K56*(M56+O56+L56+N56)*100%</f>
        <v>1512.48</v>
      </c>
      <c r="W56" s="241"/>
    </row>
    <row r="57" spans="1:23" s="185" customFormat="1" ht="15" customHeight="1" x14ac:dyDescent="0.25">
      <c r="A57" s="193" t="s">
        <v>117</v>
      </c>
      <c r="B57" s="177"/>
      <c r="C57" s="178"/>
      <c r="D57" s="179"/>
      <c r="E57" s="180"/>
      <c r="F57" s="194"/>
      <c r="G57" s="181"/>
      <c r="H57" s="194"/>
      <c r="I57" s="182"/>
      <c r="J57" s="183"/>
      <c r="K57" s="184"/>
      <c r="L57" s="183"/>
      <c r="M57" s="183"/>
      <c r="N57" s="183"/>
      <c r="O57" s="183"/>
      <c r="P57" s="192"/>
      <c r="Q57" s="182"/>
      <c r="R57" s="182"/>
      <c r="S57" s="182"/>
      <c r="T57" s="182"/>
      <c r="U57" s="182"/>
      <c r="V57" s="182"/>
    </row>
    <row r="58" spans="1:23" s="185" customFormat="1" ht="15" customHeight="1" x14ac:dyDescent="0.25">
      <c r="A58" s="196">
        <v>2290</v>
      </c>
      <c r="B58" s="44" t="s">
        <v>457</v>
      </c>
      <c r="C58" s="65" t="s">
        <v>458</v>
      </c>
      <c r="D58" s="55">
        <v>200</v>
      </c>
      <c r="E58" s="55" t="s">
        <v>22</v>
      </c>
      <c r="F58" s="12">
        <v>45828</v>
      </c>
      <c r="G58" s="143"/>
      <c r="H58" s="203">
        <v>45831</v>
      </c>
      <c r="I58" s="42">
        <v>531.89</v>
      </c>
      <c r="J58" s="1">
        <v>27</v>
      </c>
      <c r="K58" s="2">
        <f>I58/J58</f>
        <v>19.69962962962963</v>
      </c>
      <c r="L58" s="1">
        <v>3</v>
      </c>
      <c r="M58" s="1">
        <v>1</v>
      </c>
      <c r="N58" s="1">
        <v>0</v>
      </c>
      <c r="O58" s="1">
        <v>0</v>
      </c>
      <c r="P58" s="192">
        <f>L58+M58+N58+O58</f>
        <v>4</v>
      </c>
      <c r="Q58" s="42">
        <f>K58*50%*L58</f>
        <v>29.549444444444447</v>
      </c>
      <c r="R58" s="42">
        <f>K58*60%*M58</f>
        <v>11.819777777777778</v>
      </c>
      <c r="S58" s="42">
        <f>K58*60%*N58</f>
        <v>0</v>
      </c>
      <c r="T58" s="42">
        <f>K58*75%*O58</f>
        <v>0</v>
      </c>
      <c r="U58" s="42">
        <f>S58+T58</f>
        <v>0</v>
      </c>
      <c r="V58" s="42">
        <f>K58*(M58+O58+L58+N58)*100%</f>
        <v>78.79851851851852</v>
      </c>
    </row>
    <row r="59" spans="1:23" x14ac:dyDescent="0.25">
      <c r="A59" s="89">
        <v>2290</v>
      </c>
      <c r="B59" s="68" t="s">
        <v>113</v>
      </c>
      <c r="C59" s="66" t="s">
        <v>114</v>
      </c>
      <c r="D59" s="205">
        <v>100</v>
      </c>
      <c r="E59" s="205" t="s">
        <v>22</v>
      </c>
      <c r="F59" s="141">
        <v>45809</v>
      </c>
      <c r="G59" s="141"/>
      <c r="H59" s="147">
        <v>45827</v>
      </c>
      <c r="I59" s="85"/>
      <c r="J59" s="85"/>
      <c r="K59" s="85"/>
      <c r="L59" s="199"/>
      <c r="M59" s="199"/>
      <c r="N59" s="199"/>
      <c r="O59" s="85"/>
      <c r="P59" s="83"/>
      <c r="Q59" s="83" t="s">
        <v>72</v>
      </c>
      <c r="R59" s="68"/>
      <c r="S59" s="68"/>
      <c r="T59" s="68"/>
      <c r="U59" s="85"/>
      <c r="V59" s="68"/>
    </row>
    <row r="60" spans="1:23" x14ac:dyDescent="0.25">
      <c r="A60" s="193" t="s">
        <v>333</v>
      </c>
      <c r="B60" s="177"/>
      <c r="C60" s="178"/>
      <c r="D60" s="179"/>
      <c r="E60" s="180"/>
      <c r="F60" s="194"/>
      <c r="G60" s="181"/>
      <c r="H60" s="194"/>
      <c r="I60" s="234"/>
      <c r="J60" s="235"/>
      <c r="K60" s="236"/>
      <c r="L60" s="183"/>
      <c r="M60" s="183"/>
      <c r="N60" s="183"/>
      <c r="O60" s="183"/>
      <c r="P60" s="192"/>
      <c r="Q60" s="182"/>
      <c r="R60" s="182"/>
      <c r="S60" s="182"/>
      <c r="T60" s="182"/>
      <c r="U60" s="182"/>
      <c r="V60" s="182"/>
    </row>
    <row r="61" spans="1:23" x14ac:dyDescent="0.25">
      <c r="A61" s="197">
        <v>2290</v>
      </c>
      <c r="B61" s="9" t="s">
        <v>54</v>
      </c>
      <c r="C61" s="51"/>
      <c r="D61" s="56"/>
      <c r="E61" s="56"/>
      <c r="F61" s="142"/>
      <c r="G61" s="142"/>
      <c r="H61" s="52"/>
      <c r="I61" s="53"/>
      <c r="J61" s="52"/>
      <c r="K61" s="53"/>
      <c r="L61" s="52"/>
      <c r="M61" s="52"/>
      <c r="N61" s="52"/>
      <c r="O61" s="52"/>
      <c r="P61" s="192">
        <f t="shared" ref="P61:P69" si="10">L61+M61+N61+O61</f>
        <v>0</v>
      </c>
      <c r="Q61" s="10"/>
      <c r="R61" s="10"/>
      <c r="S61" s="10"/>
      <c r="T61" s="10"/>
      <c r="U61" s="11">
        <f>SUM(U49:U57)</f>
        <v>5104.5309432432441</v>
      </c>
      <c r="V61" s="10"/>
    </row>
    <row r="62" spans="1:23" s="185" customFormat="1" x14ac:dyDescent="0.25">
      <c r="A62" s="196">
        <v>2350</v>
      </c>
      <c r="B62" s="44" t="s">
        <v>93</v>
      </c>
      <c r="C62" s="65" t="s">
        <v>94</v>
      </c>
      <c r="D62" s="55">
        <v>100</v>
      </c>
      <c r="E62" s="55" t="s">
        <v>22</v>
      </c>
      <c r="F62" s="12">
        <v>45443</v>
      </c>
      <c r="G62" s="143">
        <v>45807</v>
      </c>
      <c r="H62" s="12" t="s">
        <v>435</v>
      </c>
      <c r="I62" s="186">
        <v>1323</v>
      </c>
      <c r="J62" s="1">
        <v>30</v>
      </c>
      <c r="K62" s="2">
        <f>I62/J62</f>
        <v>44.1</v>
      </c>
      <c r="L62" s="1">
        <v>0</v>
      </c>
      <c r="M62" s="1">
        <v>0</v>
      </c>
      <c r="N62" s="1">
        <v>0</v>
      </c>
      <c r="O62" s="1">
        <v>30</v>
      </c>
      <c r="P62" s="192">
        <f t="shared" si="10"/>
        <v>30</v>
      </c>
      <c r="Q62" s="42">
        <f>K62*50%*L62</f>
        <v>0</v>
      </c>
      <c r="R62" s="42">
        <f>K62*60%*M62</f>
        <v>0</v>
      </c>
      <c r="S62" s="42">
        <f>K62*60%*N62</f>
        <v>0</v>
      </c>
      <c r="T62" s="42">
        <f>K62*75%*O62</f>
        <v>992.25000000000011</v>
      </c>
      <c r="U62" s="42">
        <f>S62+T62</f>
        <v>992.25000000000011</v>
      </c>
      <c r="V62" s="42">
        <f>K62*(M62+O62+L62+N62)*100%</f>
        <v>1323</v>
      </c>
      <c r="W62" s="241"/>
    </row>
    <row r="63" spans="1:23" x14ac:dyDescent="0.25">
      <c r="A63" s="197">
        <v>2350</v>
      </c>
      <c r="B63" s="9" t="s">
        <v>78</v>
      </c>
      <c r="C63" s="51"/>
      <c r="D63" s="56"/>
      <c r="E63" s="56"/>
      <c r="F63" s="142"/>
      <c r="G63" s="142"/>
      <c r="H63" s="52"/>
      <c r="I63" s="53"/>
      <c r="J63" s="52"/>
      <c r="K63" s="53"/>
      <c r="L63" s="52"/>
      <c r="M63" s="52"/>
      <c r="N63" s="52"/>
      <c r="O63" s="52"/>
      <c r="P63" s="192">
        <f t="shared" si="10"/>
        <v>0</v>
      </c>
      <c r="Q63" s="10"/>
      <c r="R63" s="10"/>
      <c r="S63" s="10"/>
      <c r="T63" s="10"/>
      <c r="U63" s="11">
        <f>SUM(U62:U62)</f>
        <v>992.25000000000011</v>
      </c>
      <c r="V63" s="10"/>
    </row>
    <row r="64" spans="1:23" x14ac:dyDescent="0.25">
      <c r="A64" s="196">
        <v>2421</v>
      </c>
      <c r="B64" s="44" t="s">
        <v>383</v>
      </c>
      <c r="C64" s="65" t="s">
        <v>384</v>
      </c>
      <c r="D64" s="55">
        <v>100</v>
      </c>
      <c r="E64" s="55" t="s">
        <v>22</v>
      </c>
      <c r="F64" s="12">
        <v>45772</v>
      </c>
      <c r="G64" s="143">
        <v>45849</v>
      </c>
      <c r="H64" s="12" t="s">
        <v>474</v>
      </c>
      <c r="I64" s="42">
        <v>1520.28</v>
      </c>
      <c r="J64" s="1">
        <v>30</v>
      </c>
      <c r="K64" s="2">
        <f>I64/J64</f>
        <v>50.676000000000002</v>
      </c>
      <c r="L64" s="1">
        <v>0</v>
      </c>
      <c r="M64" s="1">
        <v>0</v>
      </c>
      <c r="N64" s="1">
        <v>0</v>
      </c>
      <c r="O64" s="1">
        <v>30</v>
      </c>
      <c r="P64" s="192">
        <f t="shared" si="10"/>
        <v>30</v>
      </c>
      <c r="Q64" s="42">
        <f>K64*50%*L64</f>
        <v>0</v>
      </c>
      <c r="R64" s="42">
        <f>K64*60%*M64</f>
        <v>0</v>
      </c>
      <c r="S64" s="42">
        <f>K64*60%*N64</f>
        <v>0</v>
      </c>
      <c r="T64" s="42">
        <f>K64*75%*O64</f>
        <v>1140.21</v>
      </c>
      <c r="U64" s="42">
        <f>S64+T64</f>
        <v>1140.21</v>
      </c>
      <c r="V64" s="42">
        <f>K64*(M64+O64+L64+N64)*100%</f>
        <v>1520.28</v>
      </c>
    </row>
    <row r="65" spans="1:22" x14ac:dyDescent="0.25">
      <c r="A65" s="195">
        <v>2421</v>
      </c>
      <c r="B65" s="9" t="s">
        <v>382</v>
      </c>
      <c r="C65" s="51"/>
      <c r="D65" s="56"/>
      <c r="E65" s="56"/>
      <c r="F65" s="142"/>
      <c r="G65" s="142"/>
      <c r="H65" s="52"/>
      <c r="I65" s="53"/>
      <c r="J65" s="52"/>
      <c r="K65" s="53"/>
      <c r="L65" s="52"/>
      <c r="M65" s="52"/>
      <c r="N65" s="52"/>
      <c r="O65" s="52"/>
      <c r="P65" s="192">
        <f t="shared" si="10"/>
        <v>0</v>
      </c>
      <c r="Q65" s="10"/>
      <c r="R65" s="10"/>
      <c r="S65" s="10"/>
      <c r="T65" s="10"/>
      <c r="U65" s="11">
        <f>SUM(U64)</f>
        <v>1140.21</v>
      </c>
      <c r="V65" s="10"/>
    </row>
    <row r="66" spans="1:22" x14ac:dyDescent="0.25">
      <c r="A66" s="196">
        <v>2516</v>
      </c>
      <c r="B66" s="44" t="s">
        <v>486</v>
      </c>
      <c r="C66" s="65" t="s">
        <v>487</v>
      </c>
      <c r="D66" s="55">
        <v>100</v>
      </c>
      <c r="E66" s="55" t="s">
        <v>22</v>
      </c>
      <c r="F66" s="12">
        <v>45833</v>
      </c>
      <c r="G66" s="143">
        <v>45840</v>
      </c>
      <c r="H66" s="12"/>
      <c r="I66" s="42">
        <v>1535.72</v>
      </c>
      <c r="J66" s="1">
        <v>30</v>
      </c>
      <c r="K66" s="2">
        <f>I66/J66</f>
        <v>51.190666666666665</v>
      </c>
      <c r="L66" s="1">
        <v>3</v>
      </c>
      <c r="M66" s="1">
        <v>3</v>
      </c>
      <c r="N66" s="1">
        <v>0</v>
      </c>
      <c r="O66" s="1">
        <v>0</v>
      </c>
      <c r="P66" s="192">
        <f>L66+M66+N66+O66</f>
        <v>6</v>
      </c>
      <c r="Q66" s="42">
        <f>K66*50%*L66</f>
        <v>76.786000000000001</v>
      </c>
      <c r="R66" s="42">
        <f>K66*60%*M66</f>
        <v>92.143199999999993</v>
      </c>
      <c r="S66" s="42">
        <f>K66*60%*N66</f>
        <v>0</v>
      </c>
      <c r="T66" s="42">
        <f>K66*75%*O66</f>
        <v>0</v>
      </c>
      <c r="U66" s="42">
        <f>S66+T66</f>
        <v>0</v>
      </c>
      <c r="V66" s="42">
        <f>K66*(M66+O66+L66+N66)*100%</f>
        <v>307.14400000000001</v>
      </c>
    </row>
    <row r="67" spans="1:22" x14ac:dyDescent="0.25">
      <c r="A67" s="195">
        <v>2427</v>
      </c>
      <c r="B67" s="9" t="s">
        <v>485</v>
      </c>
      <c r="C67" s="51"/>
      <c r="D67" s="56"/>
      <c r="E67" s="56"/>
      <c r="F67" s="142"/>
      <c r="G67" s="142"/>
      <c r="H67" s="52"/>
      <c r="I67" s="53"/>
      <c r="J67" s="52"/>
      <c r="K67" s="53"/>
      <c r="L67" s="52"/>
      <c r="M67" s="52"/>
      <c r="N67" s="52"/>
      <c r="O67" s="52"/>
      <c r="P67" s="192">
        <f>L67+M67+N67+O67</f>
        <v>0</v>
      </c>
      <c r="Q67" s="10"/>
      <c r="R67" s="10"/>
      <c r="S67" s="10"/>
      <c r="T67" s="10"/>
      <c r="U67" s="11">
        <f>SUM(U66)</f>
        <v>0</v>
      </c>
      <c r="V67" s="10"/>
    </row>
    <row r="68" spans="1:22" x14ac:dyDescent="0.25">
      <c r="A68" s="196">
        <v>2516</v>
      </c>
      <c r="B68" s="44" t="s">
        <v>481</v>
      </c>
      <c r="C68" s="65" t="s">
        <v>482</v>
      </c>
      <c r="D68" s="55">
        <v>100</v>
      </c>
      <c r="E68" s="55" t="s">
        <v>22</v>
      </c>
      <c r="F68" s="12">
        <v>45831</v>
      </c>
      <c r="G68" s="143"/>
      <c r="H68" s="12"/>
      <c r="I68" s="42">
        <v>1381.34</v>
      </c>
      <c r="J68" s="1">
        <v>30</v>
      </c>
      <c r="K68" s="2">
        <f>I68/J68</f>
        <v>46.044666666666664</v>
      </c>
      <c r="L68" s="1">
        <v>3</v>
      </c>
      <c r="M68" s="1">
        <v>5</v>
      </c>
      <c r="N68" s="1">
        <v>0</v>
      </c>
      <c r="O68" s="1">
        <v>0</v>
      </c>
      <c r="P68" s="192">
        <f t="shared" si="10"/>
        <v>8</v>
      </c>
      <c r="Q68" s="42">
        <f>K68*50%*L68</f>
        <v>69.066999999999993</v>
      </c>
      <c r="R68" s="42">
        <f>K68*60%*M68</f>
        <v>138.13399999999999</v>
      </c>
      <c r="S68" s="42">
        <f>K68*60%*N68</f>
        <v>0</v>
      </c>
      <c r="T68" s="42">
        <f>K68*75%*O68</f>
        <v>0</v>
      </c>
      <c r="U68" s="42">
        <f>S68+T68</f>
        <v>0</v>
      </c>
      <c r="V68" s="42">
        <f>K68*(M68+O68+L68+N68)*100%</f>
        <v>368.35733333333332</v>
      </c>
    </row>
    <row r="69" spans="1:22" x14ac:dyDescent="0.25">
      <c r="A69" s="195">
        <v>2516</v>
      </c>
      <c r="B69" s="9" t="s">
        <v>480</v>
      </c>
      <c r="C69" s="51"/>
      <c r="D69" s="56"/>
      <c r="E69" s="56"/>
      <c r="F69" s="142"/>
      <c r="G69" s="142"/>
      <c r="H69" s="52"/>
      <c r="I69" s="53"/>
      <c r="J69" s="52"/>
      <c r="K69" s="53"/>
      <c r="L69" s="52"/>
      <c r="M69" s="52"/>
      <c r="N69" s="52"/>
      <c r="O69" s="52"/>
      <c r="P69" s="192">
        <f t="shared" si="10"/>
        <v>0</v>
      </c>
      <c r="Q69" s="10"/>
      <c r="R69" s="10"/>
      <c r="S69" s="10"/>
      <c r="T69" s="10"/>
      <c r="U69" s="11">
        <f>SUM(U68)</f>
        <v>0</v>
      </c>
      <c r="V69" s="10"/>
    </row>
    <row r="70" spans="1:22" x14ac:dyDescent="0.25">
      <c r="A70" s="91"/>
      <c r="B70" s="14" t="s">
        <v>24</v>
      </c>
      <c r="C70" s="15"/>
      <c r="D70" s="57"/>
      <c r="E70" s="57"/>
      <c r="F70" s="145"/>
      <c r="G70" s="145"/>
      <c r="H70" s="67"/>
      <c r="I70" s="16"/>
      <c r="J70" s="17"/>
      <c r="K70" s="17"/>
      <c r="L70" s="17"/>
      <c r="M70" s="17"/>
      <c r="N70" s="17"/>
      <c r="O70" s="17"/>
      <c r="P70" s="18"/>
      <c r="Q70" s="16"/>
      <c r="R70" s="43"/>
      <c r="S70" s="43"/>
      <c r="T70" s="43"/>
      <c r="U70" s="43"/>
      <c r="V70" s="43"/>
    </row>
    <row r="71" spans="1:22" x14ac:dyDescent="0.25">
      <c r="A71" s="187">
        <v>1903</v>
      </c>
      <c r="B71" s="44" t="s">
        <v>362</v>
      </c>
      <c r="C71" s="65" t="s">
        <v>363</v>
      </c>
      <c r="D71" s="75" t="s">
        <v>52</v>
      </c>
      <c r="E71" s="55" t="s">
        <v>22</v>
      </c>
      <c r="F71" s="12">
        <v>45762</v>
      </c>
      <c r="G71" s="143"/>
      <c r="H71" s="203">
        <v>45827</v>
      </c>
      <c r="I71" s="42">
        <v>2182.0500000000002</v>
      </c>
      <c r="J71" s="1">
        <v>30</v>
      </c>
      <c r="K71" s="2">
        <f>I71/J71</f>
        <v>72.734999999999999</v>
      </c>
      <c r="L71" s="1"/>
      <c r="M71" s="1"/>
      <c r="N71" s="1"/>
      <c r="O71" s="1"/>
      <c r="P71" s="192">
        <f>L71+M71+N71+O71</f>
        <v>0</v>
      </c>
      <c r="Q71" s="42">
        <f>K71*50%*L71</f>
        <v>0</v>
      </c>
      <c r="R71" s="42">
        <f>K71*60%*M71</f>
        <v>0</v>
      </c>
      <c r="S71" s="42">
        <f>K71*60%*N71</f>
        <v>0</v>
      </c>
      <c r="T71" s="42">
        <f>K71*75%*O71</f>
        <v>0</v>
      </c>
      <c r="U71" s="42">
        <f>S71+T71</f>
        <v>0</v>
      </c>
      <c r="V71" s="42">
        <f>K71*(M71+O71+L71+N71)*100%</f>
        <v>0</v>
      </c>
    </row>
    <row r="72" spans="1:22" x14ac:dyDescent="0.25">
      <c r="A72" s="195">
        <v>1903</v>
      </c>
      <c r="B72" s="9" t="s">
        <v>143</v>
      </c>
      <c r="C72" s="51"/>
      <c r="D72" s="56"/>
      <c r="E72" s="56"/>
      <c r="F72" s="142"/>
      <c r="G72" s="142"/>
      <c r="H72" s="52"/>
      <c r="I72" s="53"/>
      <c r="J72" s="52"/>
      <c r="K72" s="53"/>
      <c r="L72" s="52"/>
      <c r="M72" s="52"/>
      <c r="N72" s="52"/>
      <c r="O72" s="52"/>
      <c r="P72" s="192">
        <f>L72+M72+N72+O72</f>
        <v>0</v>
      </c>
      <c r="Q72" s="10"/>
      <c r="R72" s="10"/>
      <c r="S72" s="10"/>
      <c r="T72" s="10"/>
      <c r="U72" s="11"/>
      <c r="V72" s="10"/>
    </row>
    <row r="73" spans="1:22" x14ac:dyDescent="0.25">
      <c r="A73" s="90">
        <v>2442</v>
      </c>
      <c r="B73" s="8" t="s">
        <v>82</v>
      </c>
      <c r="C73" s="65" t="s">
        <v>83</v>
      </c>
      <c r="D73" s="55"/>
      <c r="E73" s="55" t="s">
        <v>71</v>
      </c>
      <c r="F73" s="12">
        <v>45385</v>
      </c>
      <c r="G73" s="144">
        <v>45784</v>
      </c>
      <c r="H73" s="146" t="s">
        <v>340</v>
      </c>
      <c r="I73" s="19"/>
      <c r="J73" s="20"/>
      <c r="K73" s="20"/>
      <c r="L73" s="100" t="s">
        <v>470</v>
      </c>
      <c r="M73" s="86"/>
      <c r="N73" s="86"/>
      <c r="O73" s="86"/>
      <c r="P73" s="73"/>
      <c r="Q73" s="73"/>
      <c r="R73" s="73"/>
      <c r="S73" s="73"/>
      <c r="T73" s="73"/>
      <c r="U73" s="86"/>
      <c r="V73" s="74"/>
    </row>
    <row r="74" spans="1:22" x14ac:dyDescent="0.25">
      <c r="A74" s="195">
        <v>2442</v>
      </c>
      <c r="B74" s="9" t="s">
        <v>84</v>
      </c>
      <c r="C74" s="51"/>
      <c r="D74" s="56"/>
      <c r="E74" s="56"/>
      <c r="F74" s="142"/>
      <c r="G74" s="142"/>
      <c r="H74" s="52"/>
      <c r="I74" s="53"/>
      <c r="J74" s="52"/>
      <c r="K74" s="53"/>
      <c r="L74" s="52"/>
      <c r="M74" s="52"/>
      <c r="N74" s="52"/>
      <c r="O74" s="52"/>
      <c r="P74" s="192"/>
      <c r="Q74" s="10"/>
      <c r="R74" s="10"/>
      <c r="S74" s="10"/>
      <c r="T74" s="10"/>
      <c r="U74" s="11"/>
      <c r="V74" s="10"/>
    </row>
    <row r="75" spans="1:22" ht="15.75" thickBot="1" x14ac:dyDescent="0.3">
      <c r="A75" s="87"/>
      <c r="C75" s="23"/>
      <c r="D75" s="58"/>
      <c r="F75" s="23"/>
      <c r="G75" s="23"/>
      <c r="H75" s="23"/>
      <c r="I75" s="72"/>
      <c r="J75" s="23"/>
      <c r="K75" s="23"/>
      <c r="L75" s="23"/>
      <c r="M75" s="23"/>
      <c r="N75" s="23"/>
      <c r="O75" s="23"/>
      <c r="P75" s="23"/>
      <c r="Q75" s="72"/>
      <c r="R75" s="72"/>
      <c r="S75" s="72"/>
      <c r="T75" s="72"/>
      <c r="U75" s="72"/>
      <c r="V75" s="72"/>
    </row>
    <row r="76" spans="1:22" ht="15.75" thickBot="1" x14ac:dyDescent="0.3">
      <c r="A76" s="87"/>
      <c r="C76" s="23"/>
      <c r="D76" s="58"/>
      <c r="E76" s="23"/>
      <c r="F76" s="23"/>
      <c r="G76" s="23"/>
      <c r="H76" s="160" t="s">
        <v>25</v>
      </c>
      <c r="I76" s="161"/>
      <c r="J76" s="101"/>
      <c r="K76" s="102"/>
      <c r="L76" s="103"/>
      <c r="M76" s="104"/>
      <c r="N76" s="38"/>
      <c r="O76" s="38"/>
      <c r="P76" s="105"/>
      <c r="Q76" s="106"/>
      <c r="R76" s="107"/>
      <c r="S76" s="108"/>
      <c r="T76" s="108"/>
      <c r="U76" s="25"/>
      <c r="V76" s="109"/>
    </row>
    <row r="77" spans="1:22" x14ac:dyDescent="0.25">
      <c r="A77" s="93"/>
      <c r="B77" s="46"/>
      <c r="C77" s="46" t="s">
        <v>26</v>
      </c>
      <c r="D77" s="59"/>
      <c r="E77" s="46"/>
      <c r="F77" s="46"/>
      <c r="G77" s="47"/>
      <c r="H77" s="162"/>
      <c r="I77" s="163"/>
      <c r="J77" s="79" t="s">
        <v>27</v>
      </c>
      <c r="K77" s="110"/>
      <c r="L77" s="111"/>
      <c r="M77" s="110"/>
      <c r="N77" s="111"/>
      <c r="O77" s="111"/>
      <c r="P77" s="112"/>
      <c r="Q77" s="113"/>
      <c r="R77" s="110"/>
      <c r="S77" s="113"/>
      <c r="T77" s="114"/>
      <c r="U77" s="45"/>
      <c r="V77" s="115"/>
    </row>
    <row r="78" spans="1:22" x14ac:dyDescent="0.25">
      <c r="A78" s="94"/>
      <c r="B78" s="27"/>
      <c r="C78" s="27" t="s">
        <v>28</v>
      </c>
      <c r="D78" s="60"/>
      <c r="E78" s="28"/>
      <c r="F78" s="27"/>
      <c r="G78" s="48"/>
      <c r="H78" s="164" t="s">
        <v>29</v>
      </c>
      <c r="I78" s="165"/>
      <c r="J78" s="117" t="s">
        <v>30</v>
      </c>
      <c r="K78" s="116"/>
      <c r="L78" s="118"/>
      <c r="M78" s="116"/>
      <c r="N78" s="118"/>
      <c r="O78" s="118"/>
      <c r="P78" s="119"/>
      <c r="Q78" s="120"/>
      <c r="R78" s="116"/>
      <c r="S78" s="120"/>
      <c r="T78" s="121"/>
      <c r="U78" s="29"/>
      <c r="V78" s="122"/>
    </row>
    <row r="79" spans="1:22" ht="15.75" thickBot="1" x14ac:dyDescent="0.3">
      <c r="A79" s="95"/>
      <c r="B79" s="30"/>
      <c r="C79" s="30" t="s">
        <v>31</v>
      </c>
      <c r="D79" s="61"/>
      <c r="E79" s="30"/>
      <c r="F79" s="30"/>
      <c r="G79" s="49"/>
      <c r="H79" s="166"/>
      <c r="I79" s="167"/>
      <c r="J79" s="82" t="s">
        <v>32</v>
      </c>
      <c r="K79" s="123"/>
      <c r="L79" s="124"/>
      <c r="M79" s="123"/>
      <c r="N79" s="124"/>
      <c r="O79" s="124"/>
      <c r="P79" s="125"/>
      <c r="Q79" s="123"/>
      <c r="R79" s="123"/>
      <c r="S79" s="123"/>
      <c r="T79" s="126"/>
      <c r="U79" s="31"/>
      <c r="V79" s="127"/>
    </row>
    <row r="80" spans="1:22" x14ac:dyDescent="0.25">
      <c r="A80" s="156"/>
      <c r="B80" s="157"/>
      <c r="C80" s="157" t="s">
        <v>33</v>
      </c>
      <c r="D80" s="158"/>
      <c r="E80" s="157"/>
      <c r="F80" s="157"/>
      <c r="G80" s="159"/>
      <c r="H80" s="168" t="s">
        <v>34</v>
      </c>
      <c r="I80" s="169"/>
      <c r="J80" s="129"/>
      <c r="K80" s="129"/>
      <c r="L80" s="129"/>
      <c r="M80" s="129"/>
      <c r="N80" s="129"/>
      <c r="O80" s="129"/>
      <c r="P80" s="130"/>
      <c r="Q80" s="128"/>
      <c r="R80" s="128"/>
      <c r="S80" s="128"/>
      <c r="T80" s="131"/>
      <c r="U80" s="32"/>
      <c r="V80" s="132"/>
    </row>
    <row r="81" spans="1:22" ht="15.75" thickBot="1" x14ac:dyDescent="0.3">
      <c r="A81" s="96"/>
      <c r="B81" s="201"/>
      <c r="C81" s="76" t="s">
        <v>35</v>
      </c>
      <c r="D81" s="77"/>
      <c r="E81" s="76"/>
      <c r="F81" s="76"/>
      <c r="G81" s="78"/>
      <c r="H81" s="170" t="s">
        <v>36</v>
      </c>
      <c r="I81" s="171"/>
      <c r="J81" s="134"/>
      <c r="K81" s="134"/>
      <c r="L81" s="134"/>
      <c r="M81" s="134"/>
      <c r="N81" s="134"/>
      <c r="O81" s="134"/>
      <c r="P81" s="135"/>
      <c r="Q81" s="133"/>
      <c r="R81" s="133"/>
      <c r="S81" s="133"/>
      <c r="T81" s="136"/>
      <c r="U81" s="33"/>
      <c r="V81" s="137"/>
    </row>
    <row r="82" spans="1:22" ht="15.75" thickBot="1" x14ac:dyDescent="0.3">
      <c r="A82" s="97"/>
      <c r="B82" s="34"/>
      <c r="C82" s="34" t="s">
        <v>37</v>
      </c>
      <c r="D82" s="62"/>
      <c r="E82" s="34"/>
      <c r="F82" s="34"/>
      <c r="G82" s="50"/>
      <c r="H82" s="172" t="s">
        <v>38</v>
      </c>
      <c r="I82" s="165"/>
      <c r="J82" s="117" t="s">
        <v>30</v>
      </c>
      <c r="K82" s="116"/>
      <c r="L82" s="118"/>
      <c r="M82" s="116"/>
      <c r="N82" s="118"/>
      <c r="O82" s="118"/>
      <c r="P82" s="119"/>
      <c r="Q82" s="120"/>
      <c r="R82" s="116"/>
      <c r="S82" s="120"/>
      <c r="T82" s="121"/>
      <c r="U82" s="29"/>
      <c r="V82" s="122"/>
    </row>
    <row r="83" spans="1:22" ht="15.75" thickBot="1" x14ac:dyDescent="0.3">
      <c r="A83" s="98"/>
      <c r="B83" s="35" t="s">
        <v>39</v>
      </c>
      <c r="C83" s="36"/>
      <c r="D83" s="63"/>
      <c r="E83" s="36"/>
      <c r="F83" s="36"/>
      <c r="G83" s="37"/>
      <c r="H83" s="173"/>
      <c r="I83" s="174"/>
      <c r="J83" s="80" t="s">
        <v>40</v>
      </c>
      <c r="K83" s="104"/>
      <c r="L83" s="103"/>
      <c r="M83" s="104"/>
      <c r="N83" s="103"/>
      <c r="O83" s="103"/>
      <c r="P83" s="138"/>
      <c r="Q83" s="104"/>
      <c r="R83" s="104"/>
      <c r="S83" s="104"/>
      <c r="T83" s="139"/>
      <c r="U83" s="26"/>
      <c r="V83" s="140"/>
    </row>
    <row r="84" spans="1:22" ht="15.75" thickBot="1" x14ac:dyDescent="0.3">
      <c r="A84" s="148"/>
      <c r="B84" s="152" t="s">
        <v>57</v>
      </c>
      <c r="C84" s="149"/>
      <c r="D84" s="150"/>
      <c r="E84" s="149"/>
      <c r="F84" s="149"/>
      <c r="G84" s="151"/>
      <c r="H84" s="173"/>
      <c r="I84" s="174"/>
      <c r="J84" s="80" t="s">
        <v>41</v>
      </c>
      <c r="K84" s="104"/>
      <c r="L84" s="103"/>
      <c r="M84" s="104"/>
      <c r="N84" s="103"/>
      <c r="O84" s="103"/>
      <c r="P84" s="138"/>
      <c r="Q84" s="104"/>
      <c r="R84" s="104"/>
      <c r="S84" s="104"/>
      <c r="T84" s="139"/>
      <c r="U84" s="26"/>
      <c r="V84" s="140"/>
    </row>
    <row r="85" spans="1:22" ht="15.75" thickBot="1" x14ac:dyDescent="0.3">
      <c r="A85" s="290" t="s">
        <v>123</v>
      </c>
      <c r="B85" s="291"/>
      <c r="C85" s="291"/>
      <c r="D85" s="291"/>
      <c r="E85" s="291"/>
      <c r="F85" s="291"/>
      <c r="G85" s="292"/>
      <c r="H85" s="166"/>
      <c r="I85" s="167"/>
      <c r="J85" s="82" t="s">
        <v>42</v>
      </c>
      <c r="K85" s="123"/>
      <c r="L85" s="124"/>
      <c r="M85" s="123"/>
      <c r="N85" s="124"/>
      <c r="O85" s="124"/>
      <c r="P85" s="125"/>
      <c r="Q85" s="123"/>
      <c r="R85" s="123"/>
      <c r="S85" s="123"/>
      <c r="T85" s="126"/>
      <c r="U85" s="31"/>
      <c r="V85" s="127"/>
    </row>
    <row r="86" spans="1:22" x14ac:dyDescent="0.25">
      <c r="A86" s="87"/>
      <c r="C86" s="23"/>
      <c r="D86" s="58"/>
      <c r="E86" s="23"/>
      <c r="F86" s="23"/>
      <c r="G86" s="23"/>
      <c r="H86" s="172" t="s">
        <v>43</v>
      </c>
      <c r="I86" s="165"/>
      <c r="J86" s="117" t="s">
        <v>44</v>
      </c>
      <c r="K86" s="116"/>
      <c r="L86" s="118"/>
      <c r="M86" s="116"/>
      <c r="N86" s="118"/>
      <c r="O86" s="118"/>
      <c r="P86" s="119"/>
      <c r="Q86" s="120"/>
      <c r="R86" s="116"/>
      <c r="S86" s="120"/>
      <c r="T86" s="121"/>
      <c r="U86" s="29"/>
      <c r="V86" s="122"/>
    </row>
    <row r="87" spans="1:22" x14ac:dyDescent="0.25">
      <c r="A87" s="99"/>
      <c r="B87" s="38"/>
      <c r="C87" s="39"/>
      <c r="D87" s="64"/>
      <c r="E87" s="24"/>
      <c r="F87" s="71"/>
      <c r="G87" s="71"/>
      <c r="H87" s="173"/>
      <c r="I87" s="174"/>
      <c r="J87" s="80" t="s">
        <v>45</v>
      </c>
      <c r="K87" s="104"/>
      <c r="L87" s="103"/>
      <c r="M87" s="104"/>
      <c r="N87" s="103"/>
      <c r="O87" s="103"/>
      <c r="P87" s="138"/>
      <c r="Q87" s="104"/>
      <c r="R87" s="104"/>
      <c r="S87" s="104"/>
      <c r="T87" s="139"/>
      <c r="U87" s="26"/>
      <c r="V87" s="140"/>
    </row>
    <row r="88" spans="1:22" x14ac:dyDescent="0.25">
      <c r="A88" s="87"/>
      <c r="C88" s="23"/>
      <c r="D88" s="58"/>
      <c r="E88" s="23"/>
      <c r="F88" s="23"/>
      <c r="G88" s="23"/>
      <c r="H88" s="173"/>
      <c r="I88" s="174"/>
      <c r="J88" s="80" t="s">
        <v>46</v>
      </c>
      <c r="K88" s="104"/>
      <c r="L88" s="103"/>
      <c r="M88" s="104"/>
      <c r="N88" s="103"/>
      <c r="O88" s="103"/>
      <c r="P88" s="138"/>
      <c r="Q88" s="104"/>
      <c r="R88" s="104"/>
      <c r="S88" s="104"/>
      <c r="T88" s="139"/>
      <c r="U88" s="26"/>
      <c r="V88" s="140"/>
    </row>
    <row r="89" spans="1:22" ht="15.75" thickBot="1" x14ac:dyDescent="0.3">
      <c r="A89" s="87"/>
      <c r="C89" s="23"/>
      <c r="D89" s="58"/>
      <c r="E89" s="23"/>
      <c r="F89" s="23"/>
      <c r="G89" s="23"/>
      <c r="H89" s="175"/>
      <c r="I89" s="176"/>
      <c r="J89" s="82" t="s">
        <v>47</v>
      </c>
      <c r="K89" s="123"/>
      <c r="L89" s="124"/>
      <c r="M89" s="123"/>
      <c r="N89" s="124"/>
      <c r="O89" s="124"/>
      <c r="P89" s="125"/>
      <c r="Q89" s="123"/>
      <c r="R89" s="123"/>
      <c r="S89" s="123"/>
      <c r="T89" s="126"/>
      <c r="U89" s="31"/>
      <c r="V89" s="127"/>
    </row>
  </sheetData>
  <mergeCells count="1">
    <mergeCell ref="A85:G85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2"/>
  <sheetViews>
    <sheetView zoomScaleNormal="100" workbookViewId="0">
      <selection activeCell="F36" sqref="F36"/>
    </sheetView>
  </sheetViews>
  <sheetFormatPr baseColWidth="10" defaultRowHeight="15" x14ac:dyDescent="0.25"/>
  <cols>
    <col min="1" max="1" width="4.140625" customWidth="1"/>
    <col min="2" max="2" width="21.5703125" customWidth="1"/>
    <col min="3" max="3" width="11.42578125" customWidth="1"/>
    <col min="4" max="4" width="3.5703125" style="23" customWidth="1"/>
    <col min="5" max="5" width="2.85546875" customWidth="1"/>
    <col min="6" max="7" width="8.85546875" customWidth="1"/>
    <col min="8" max="8" width="10.42578125" customWidth="1"/>
    <col min="9" max="9" width="7.14062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1" width="8.5703125" customWidth="1"/>
    <col min="22" max="22" width="7.42578125" customWidth="1"/>
  </cols>
  <sheetData>
    <row r="1" spans="1:23" x14ac:dyDescent="0.25">
      <c r="A1" s="87"/>
      <c r="B1" s="81" t="s">
        <v>493</v>
      </c>
      <c r="C1" s="4">
        <v>45873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3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3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3" ht="14.1" customHeight="1" x14ac:dyDescent="0.25">
      <c r="A4" s="89">
        <v>8</v>
      </c>
      <c r="B4" s="68" t="s">
        <v>512</v>
      </c>
      <c r="C4" s="226" t="s">
        <v>513</v>
      </c>
      <c r="D4" s="227" t="s">
        <v>50</v>
      </c>
      <c r="E4" s="205" t="s">
        <v>22</v>
      </c>
      <c r="F4" s="141">
        <v>45850</v>
      </c>
      <c r="G4" s="228"/>
      <c r="H4" s="147">
        <v>45961</v>
      </c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48</v>
      </c>
      <c r="R4" s="68"/>
      <c r="S4" s="68"/>
      <c r="T4" s="68"/>
      <c r="U4" s="85"/>
      <c r="V4" s="68"/>
    </row>
    <row r="5" spans="1:23" ht="14.1" customHeight="1" x14ac:dyDescent="0.25">
      <c r="A5" s="89">
        <v>8</v>
      </c>
      <c r="B5" s="68" t="s">
        <v>421</v>
      </c>
      <c r="C5" s="226" t="s">
        <v>422</v>
      </c>
      <c r="D5" s="227" t="s">
        <v>52</v>
      </c>
      <c r="E5" s="205" t="s">
        <v>22</v>
      </c>
      <c r="F5" s="141">
        <v>45796</v>
      </c>
      <c r="G5" s="228"/>
      <c r="H5" s="147"/>
      <c r="I5" s="229"/>
      <c r="J5" s="85"/>
      <c r="K5" s="230"/>
      <c r="L5" s="85"/>
      <c r="M5" s="85"/>
      <c r="N5" s="85"/>
      <c r="O5" s="85"/>
      <c r="P5" s="192">
        <f>L5+M5+N5+O5</f>
        <v>0</v>
      </c>
      <c r="Q5" s="83" t="s">
        <v>88</v>
      </c>
      <c r="R5" s="68"/>
      <c r="S5" s="68"/>
      <c r="T5" s="68"/>
      <c r="U5" s="85"/>
      <c r="V5" s="68"/>
    </row>
    <row r="6" spans="1:23" s="185" customFormat="1" ht="15" customHeight="1" x14ac:dyDescent="0.25">
      <c r="A6" s="193" t="s">
        <v>423</v>
      </c>
      <c r="B6" s="177"/>
      <c r="C6" s="178"/>
      <c r="D6" s="179"/>
      <c r="E6" s="180"/>
      <c r="F6" s="194"/>
      <c r="G6" s="181"/>
      <c r="H6" s="194"/>
      <c r="I6" s="182"/>
      <c r="J6" s="183"/>
      <c r="K6" s="184"/>
      <c r="L6" s="183"/>
      <c r="M6" s="183"/>
      <c r="N6" s="183"/>
      <c r="O6" s="183"/>
      <c r="P6" s="192">
        <f>L6+M6+N6+O6</f>
        <v>0</v>
      </c>
      <c r="Q6" s="182"/>
      <c r="R6" s="182"/>
      <c r="S6" s="182"/>
      <c r="T6" s="182"/>
      <c r="U6" s="182"/>
      <c r="V6" s="182"/>
    </row>
    <row r="7" spans="1:23" x14ac:dyDescent="0.25">
      <c r="A7" s="195">
        <v>8</v>
      </c>
      <c r="B7" s="9" t="s">
        <v>489</v>
      </c>
      <c r="C7" s="51"/>
      <c r="D7" s="56"/>
      <c r="E7" s="56"/>
      <c r="F7" s="142"/>
      <c r="G7" s="142"/>
      <c r="H7" s="52"/>
      <c r="I7" s="53"/>
      <c r="J7" s="52"/>
      <c r="K7" s="53"/>
      <c r="L7" s="52"/>
      <c r="M7" s="52"/>
      <c r="N7" s="52"/>
      <c r="O7" s="52"/>
      <c r="P7" s="192"/>
      <c r="Q7" s="10"/>
      <c r="R7" s="10"/>
      <c r="S7" s="10"/>
      <c r="T7" s="10"/>
      <c r="U7" s="11"/>
      <c r="V7" s="10"/>
    </row>
    <row r="8" spans="1:23" ht="14.25" customHeight="1" x14ac:dyDescent="0.25">
      <c r="A8" s="90">
        <v>28</v>
      </c>
      <c r="B8" s="8" t="s">
        <v>397</v>
      </c>
      <c r="C8" s="65" t="s">
        <v>398</v>
      </c>
      <c r="D8" s="75" t="s">
        <v>52</v>
      </c>
      <c r="E8" s="55" t="s">
        <v>22</v>
      </c>
      <c r="F8" s="12">
        <v>45866</v>
      </c>
      <c r="G8" s="143"/>
      <c r="H8" s="12"/>
      <c r="I8" s="208">
        <v>1477.48</v>
      </c>
      <c r="J8" s="1">
        <v>30</v>
      </c>
      <c r="K8" s="2">
        <f>I8/J8</f>
        <v>49.249333333333333</v>
      </c>
      <c r="L8" s="1">
        <v>3</v>
      </c>
      <c r="M8" s="1">
        <v>1</v>
      </c>
      <c r="N8" s="1">
        <v>0</v>
      </c>
      <c r="O8" s="1">
        <v>0</v>
      </c>
      <c r="P8" s="192">
        <f>L8+M8+N8+O8</f>
        <v>4</v>
      </c>
      <c r="Q8" s="42">
        <f>K8*50%*L8</f>
        <v>73.873999999999995</v>
      </c>
      <c r="R8" s="42">
        <f>K8*60%*M8</f>
        <v>29.549599999999998</v>
      </c>
      <c r="S8" s="42">
        <f>K8*60%*N8</f>
        <v>0</v>
      </c>
      <c r="T8" s="42">
        <f>K8*75%*O8</f>
        <v>0</v>
      </c>
      <c r="U8" s="42">
        <f>S8+T8</f>
        <v>0</v>
      </c>
      <c r="V8" s="42">
        <f>K8*(M8+O8+L8+N8)*100%</f>
        <v>196.99733333333333</v>
      </c>
    </row>
    <row r="9" spans="1:23" ht="14.25" customHeight="1" x14ac:dyDescent="0.25">
      <c r="A9" s="90">
        <v>28</v>
      </c>
      <c r="B9" s="8" t="s">
        <v>553</v>
      </c>
      <c r="C9" s="65" t="s">
        <v>554</v>
      </c>
      <c r="D9" s="75" t="s">
        <v>52</v>
      </c>
      <c r="E9" s="55" t="s">
        <v>22</v>
      </c>
      <c r="F9" s="12">
        <v>45865</v>
      </c>
      <c r="G9" s="143"/>
      <c r="H9" s="203">
        <v>45865</v>
      </c>
      <c r="I9" s="208">
        <v>1477.48</v>
      </c>
      <c r="J9" s="1">
        <v>30</v>
      </c>
      <c r="K9" s="2">
        <f>I9/J9</f>
        <v>49.249333333333333</v>
      </c>
      <c r="L9" s="1">
        <v>1</v>
      </c>
      <c r="M9" s="1">
        <v>0</v>
      </c>
      <c r="N9" s="1">
        <v>0</v>
      </c>
      <c r="O9" s="1">
        <v>0</v>
      </c>
      <c r="P9" s="192">
        <f>L9+M9+N9+O9</f>
        <v>1</v>
      </c>
      <c r="Q9" s="42">
        <f>K9*50%*L9</f>
        <v>24.624666666666666</v>
      </c>
      <c r="R9" s="42">
        <f>K9*60%*M9</f>
        <v>0</v>
      </c>
      <c r="S9" s="42">
        <f>K9*60%*N9</f>
        <v>0</v>
      </c>
      <c r="T9" s="42">
        <f>K9*75%*O9</f>
        <v>0</v>
      </c>
      <c r="U9" s="42">
        <f>S9+T9</f>
        <v>0</v>
      </c>
      <c r="V9" s="42">
        <f>K9*(M9+O9+L9+N9)*100%</f>
        <v>49.249333333333333</v>
      </c>
    </row>
    <row r="10" spans="1:23" x14ac:dyDescent="0.25">
      <c r="A10" s="195">
        <v>28</v>
      </c>
      <c r="B10" s="9" t="s">
        <v>396</v>
      </c>
      <c r="C10" s="51"/>
      <c r="D10" s="56"/>
      <c r="E10" s="56"/>
      <c r="F10" s="142"/>
      <c r="G10" s="142"/>
      <c r="H10" s="52"/>
      <c r="I10" s="53"/>
      <c r="J10" s="52"/>
      <c r="K10" s="53"/>
      <c r="L10" s="52"/>
      <c r="M10" s="52"/>
      <c r="N10" s="52"/>
      <c r="O10" s="52"/>
      <c r="P10" s="192"/>
      <c r="Q10" s="10"/>
      <c r="R10" s="10"/>
      <c r="S10" s="10"/>
      <c r="T10" s="10"/>
      <c r="U10" s="11">
        <f>SUM(U8:U9)</f>
        <v>0</v>
      </c>
      <c r="V10" s="10"/>
    </row>
    <row r="11" spans="1:23" ht="14.25" customHeight="1" x14ac:dyDescent="0.25">
      <c r="A11" s="90">
        <v>585</v>
      </c>
      <c r="B11" s="8" t="s">
        <v>491</v>
      </c>
      <c r="C11" s="65" t="s">
        <v>492</v>
      </c>
      <c r="D11" s="75" t="s">
        <v>50</v>
      </c>
      <c r="E11" s="55" t="s">
        <v>22</v>
      </c>
      <c r="F11" s="12">
        <v>45834</v>
      </c>
      <c r="G11" s="143">
        <v>45869</v>
      </c>
      <c r="H11" s="12" t="s">
        <v>564</v>
      </c>
      <c r="I11" s="208">
        <v>1674.25</v>
      </c>
      <c r="J11" s="1">
        <v>30</v>
      </c>
      <c r="K11" s="2">
        <f>I11/J11</f>
        <v>55.80833333333333</v>
      </c>
      <c r="L11" s="1">
        <v>0</v>
      </c>
      <c r="M11" s="1">
        <v>10</v>
      </c>
      <c r="N11" s="1">
        <v>5</v>
      </c>
      <c r="O11" s="1">
        <v>16</v>
      </c>
      <c r="P11" s="192">
        <f>L11+M11+N11+O11</f>
        <v>31</v>
      </c>
      <c r="Q11" s="42">
        <f>K11*50%*L11</f>
        <v>0</v>
      </c>
      <c r="R11" s="42">
        <f>K11*60%*M11</f>
        <v>334.85</v>
      </c>
      <c r="S11" s="42">
        <f>K11*60%*N11</f>
        <v>167.42500000000001</v>
      </c>
      <c r="T11" s="42">
        <f>K11*75%*O11</f>
        <v>669.69999999999993</v>
      </c>
      <c r="U11" s="42">
        <f>S11+T11</f>
        <v>837.125</v>
      </c>
      <c r="V11" s="42">
        <f>K11*(M11+O11+L11+N11)*100%</f>
        <v>1730.0583333333332</v>
      </c>
      <c r="W11" s="241"/>
    </row>
    <row r="12" spans="1:23" x14ac:dyDescent="0.25">
      <c r="A12" s="195">
        <v>585</v>
      </c>
      <c r="B12" s="9" t="s">
        <v>490</v>
      </c>
      <c r="C12" s="51"/>
      <c r="D12" s="56"/>
      <c r="E12" s="56"/>
      <c r="F12" s="142"/>
      <c r="G12" s="142"/>
      <c r="H12" s="52"/>
      <c r="I12" s="53"/>
      <c r="J12" s="52"/>
      <c r="K12" s="53"/>
      <c r="L12" s="52"/>
      <c r="M12" s="52"/>
      <c r="N12" s="52"/>
      <c r="O12" s="52"/>
      <c r="P12" s="192">
        <f>L12+M12+N12+O12</f>
        <v>0</v>
      </c>
      <c r="Q12" s="10"/>
      <c r="R12" s="10"/>
      <c r="S12" s="10"/>
      <c r="T12" s="10"/>
      <c r="U12" s="11">
        <f>SUM(U11)</f>
        <v>837.125</v>
      </c>
      <c r="V12" s="10"/>
    </row>
    <row r="13" spans="1:23" ht="14.25" customHeight="1" x14ac:dyDescent="0.25">
      <c r="A13" s="90">
        <v>717</v>
      </c>
      <c r="B13" s="8" t="s">
        <v>479</v>
      </c>
      <c r="C13" s="65" t="s">
        <v>211</v>
      </c>
      <c r="D13" s="75" t="s">
        <v>52</v>
      </c>
      <c r="E13" s="55" t="s">
        <v>22</v>
      </c>
      <c r="F13" s="12">
        <v>45832</v>
      </c>
      <c r="G13" s="143"/>
      <c r="H13" s="203">
        <v>45841</v>
      </c>
      <c r="I13" s="208">
        <v>1549.81</v>
      </c>
      <c r="J13" s="1">
        <v>30</v>
      </c>
      <c r="K13" s="2">
        <f>I13/J13</f>
        <v>51.660333333333334</v>
      </c>
      <c r="L13" s="1">
        <v>0</v>
      </c>
      <c r="M13" s="1">
        <v>3</v>
      </c>
      <c r="N13" s="1">
        <v>0</v>
      </c>
      <c r="O13" s="1">
        <v>0</v>
      </c>
      <c r="P13" s="192">
        <f>L13+M13+N13+O13</f>
        <v>3</v>
      </c>
      <c r="Q13" s="42">
        <f>K13*50%*L13</f>
        <v>0</v>
      </c>
      <c r="R13" s="42">
        <f>K13*60%*M13</f>
        <v>92.988599999999991</v>
      </c>
      <c r="S13" s="42">
        <f>K13*60%*N13</f>
        <v>0</v>
      </c>
      <c r="T13" s="42">
        <f>K13*75%*O13</f>
        <v>0</v>
      </c>
      <c r="U13" s="42">
        <f>S13+T13</f>
        <v>0</v>
      </c>
      <c r="V13" s="42">
        <f>K13*(M13+O13+L13+N13)*100%</f>
        <v>154.98099999999999</v>
      </c>
    </row>
    <row r="14" spans="1:23" ht="14.1" customHeight="1" x14ac:dyDescent="0.25">
      <c r="A14" s="89">
        <v>717</v>
      </c>
      <c r="B14" s="68" t="s">
        <v>122</v>
      </c>
      <c r="C14" s="226" t="s">
        <v>56</v>
      </c>
      <c r="D14" s="227" t="s">
        <v>52</v>
      </c>
      <c r="E14" s="205" t="s">
        <v>22</v>
      </c>
      <c r="F14" s="141">
        <v>45767</v>
      </c>
      <c r="G14" s="228"/>
      <c r="H14" s="147">
        <v>45878</v>
      </c>
      <c r="I14" s="229"/>
      <c r="J14" s="85"/>
      <c r="K14" s="230"/>
      <c r="L14" s="85"/>
      <c r="M14" s="85"/>
      <c r="N14" s="85"/>
      <c r="O14" s="85"/>
      <c r="P14" s="192"/>
      <c r="Q14" s="83" t="s">
        <v>92</v>
      </c>
      <c r="R14" s="68"/>
      <c r="S14" s="68"/>
      <c r="T14" s="68"/>
      <c r="U14" s="85"/>
      <c r="V14" s="68"/>
    </row>
    <row r="15" spans="1:23" ht="14.1" customHeight="1" x14ac:dyDescent="0.25">
      <c r="A15" s="89">
        <v>717</v>
      </c>
      <c r="B15" s="68" t="s">
        <v>122</v>
      </c>
      <c r="C15" s="226" t="s">
        <v>56</v>
      </c>
      <c r="D15" s="227" t="s">
        <v>52</v>
      </c>
      <c r="E15" s="205" t="s">
        <v>22</v>
      </c>
      <c r="F15" s="141">
        <v>45879</v>
      </c>
      <c r="G15" s="228"/>
      <c r="H15" s="147">
        <v>45900</v>
      </c>
      <c r="I15" s="229"/>
      <c r="J15" s="85"/>
      <c r="K15" s="230"/>
      <c r="L15" s="85"/>
      <c r="M15" s="85"/>
      <c r="N15" s="85"/>
      <c r="O15" s="85"/>
      <c r="P15" s="192"/>
      <c r="Q15" s="83" t="s">
        <v>72</v>
      </c>
      <c r="R15" s="68"/>
      <c r="S15" s="68"/>
      <c r="T15" s="68"/>
      <c r="U15" s="85"/>
      <c r="V15" s="68"/>
    </row>
    <row r="16" spans="1:23" x14ac:dyDescent="0.25">
      <c r="A16" s="195">
        <v>717</v>
      </c>
      <c r="B16" s="9" t="s">
        <v>49</v>
      </c>
      <c r="C16" s="51"/>
      <c r="D16" s="56"/>
      <c r="E16" s="56"/>
      <c r="F16" s="142"/>
      <c r="G16" s="142"/>
      <c r="H16" s="52"/>
      <c r="I16" s="53"/>
      <c r="J16" s="52"/>
      <c r="K16" s="53"/>
      <c r="L16" s="52"/>
      <c r="M16" s="52"/>
      <c r="N16" s="52"/>
      <c r="O16" s="52"/>
      <c r="P16" s="192">
        <f t="shared" ref="P16:P27" si="0">L16+M16+N16+O16</f>
        <v>0</v>
      </c>
      <c r="Q16" s="10"/>
      <c r="R16" s="10"/>
      <c r="S16" s="10"/>
      <c r="T16" s="10"/>
      <c r="U16" s="11">
        <f>SUM(U13:U15)</f>
        <v>0</v>
      </c>
      <c r="V16" s="10"/>
    </row>
    <row r="17" spans="1:22" ht="14.25" customHeight="1" x14ac:dyDescent="0.25">
      <c r="A17" s="90">
        <v>1378</v>
      </c>
      <c r="B17" s="8" t="s">
        <v>535</v>
      </c>
      <c r="C17" s="65" t="s">
        <v>536</v>
      </c>
      <c r="D17" s="75" t="s">
        <v>537</v>
      </c>
      <c r="E17" s="55" t="s">
        <v>22</v>
      </c>
      <c r="F17" s="12">
        <v>45866</v>
      </c>
      <c r="G17" s="143"/>
      <c r="H17" s="203">
        <v>45867</v>
      </c>
      <c r="I17" s="208">
        <v>1059.02</v>
      </c>
      <c r="J17" s="1">
        <v>23</v>
      </c>
      <c r="K17" s="2">
        <f>I17/J17</f>
        <v>46.044347826086955</v>
      </c>
      <c r="L17" s="1">
        <v>2</v>
      </c>
      <c r="M17" s="1">
        <v>0</v>
      </c>
      <c r="N17" s="1">
        <v>0</v>
      </c>
      <c r="O17" s="1">
        <v>0</v>
      </c>
      <c r="P17" s="192">
        <f t="shared" si="0"/>
        <v>2</v>
      </c>
      <c r="Q17" s="42">
        <f>K17*50%*L17</f>
        <v>46.044347826086955</v>
      </c>
      <c r="R17" s="42">
        <f>K17*60%*M17</f>
        <v>0</v>
      </c>
      <c r="S17" s="42">
        <f>K17*60%*N17</f>
        <v>0</v>
      </c>
      <c r="T17" s="42">
        <f>K17*75%*O17</f>
        <v>0</v>
      </c>
      <c r="U17" s="42">
        <f>S17+T17</f>
        <v>0</v>
      </c>
      <c r="V17" s="42">
        <f>K17*(M17+O17+L17+N17)*100%</f>
        <v>92.088695652173911</v>
      </c>
    </row>
    <row r="18" spans="1:22" ht="14.25" customHeight="1" x14ac:dyDescent="0.25">
      <c r="A18" s="90">
        <v>1378</v>
      </c>
      <c r="B18" s="8" t="s">
        <v>543</v>
      </c>
      <c r="C18" s="65" t="s">
        <v>544</v>
      </c>
      <c r="D18" s="75" t="s">
        <v>52</v>
      </c>
      <c r="E18" s="55" t="s">
        <v>22</v>
      </c>
      <c r="F18" s="12">
        <v>45866</v>
      </c>
      <c r="G18" s="143">
        <v>45880</v>
      </c>
      <c r="H18" s="203"/>
      <c r="I18" s="208">
        <v>1381.34</v>
      </c>
      <c r="J18" s="1">
        <v>30</v>
      </c>
      <c r="K18" s="2">
        <f>I18/J18</f>
        <v>46.044666666666664</v>
      </c>
      <c r="L18" s="1">
        <v>2</v>
      </c>
      <c r="M18" s="1">
        <v>1</v>
      </c>
      <c r="N18" s="1">
        <v>0</v>
      </c>
      <c r="O18" s="1">
        <v>0</v>
      </c>
      <c r="P18" s="192">
        <f t="shared" si="0"/>
        <v>3</v>
      </c>
      <c r="Q18" s="42">
        <f>K18*50%*L18</f>
        <v>46.044666666666664</v>
      </c>
      <c r="R18" s="42">
        <f>K18*60%*M18</f>
        <v>27.626799999999999</v>
      </c>
      <c r="S18" s="42">
        <f>K18*60%*N18</f>
        <v>0</v>
      </c>
      <c r="T18" s="42">
        <f>K18*75%*O18</f>
        <v>0</v>
      </c>
      <c r="U18" s="42">
        <f>S18+T18</f>
        <v>0</v>
      </c>
      <c r="V18" s="42">
        <f>K18*(M18+O18+L18+N18)*100%</f>
        <v>138.13399999999999</v>
      </c>
    </row>
    <row r="19" spans="1:22" x14ac:dyDescent="0.25">
      <c r="A19" s="90">
        <v>1378</v>
      </c>
      <c r="B19" s="8" t="s">
        <v>226</v>
      </c>
      <c r="C19" s="65" t="s">
        <v>227</v>
      </c>
      <c r="D19" s="75" t="s">
        <v>52</v>
      </c>
      <c r="E19" s="55" t="s">
        <v>22</v>
      </c>
      <c r="F19" s="12">
        <v>45698</v>
      </c>
      <c r="G19" s="143">
        <v>45887</v>
      </c>
      <c r="H19" s="12" t="s">
        <v>533</v>
      </c>
      <c r="I19" s="208">
        <v>1381.5</v>
      </c>
      <c r="J19" s="1">
        <v>30</v>
      </c>
      <c r="K19" s="2">
        <f>I19/J19</f>
        <v>46.05</v>
      </c>
      <c r="L19" s="1">
        <v>0</v>
      </c>
      <c r="M19" s="1">
        <v>0</v>
      </c>
      <c r="N19" s="1">
        <v>0</v>
      </c>
      <c r="O19" s="1">
        <v>31</v>
      </c>
      <c r="P19" s="192">
        <f t="shared" si="0"/>
        <v>31</v>
      </c>
      <c r="Q19" s="42">
        <f>K19*50%*L19</f>
        <v>0</v>
      </c>
      <c r="R19" s="42">
        <f>K19*60%*M19</f>
        <v>0</v>
      </c>
      <c r="S19" s="42">
        <f>K19*60%*N19</f>
        <v>0</v>
      </c>
      <c r="T19" s="42">
        <f>K19*75%*O19</f>
        <v>1070.6624999999999</v>
      </c>
      <c r="U19" s="42">
        <f>S19+T19</f>
        <v>1070.6624999999999</v>
      </c>
      <c r="V19" s="42">
        <f>K19*(M19+O19+L19+N19)*100%</f>
        <v>1427.55</v>
      </c>
    </row>
    <row r="20" spans="1:22" x14ac:dyDescent="0.25">
      <c r="A20" s="193" t="s">
        <v>498</v>
      </c>
      <c r="B20" s="177"/>
      <c r="C20" s="178"/>
      <c r="D20" s="179"/>
      <c r="E20" s="180"/>
      <c r="F20" s="194"/>
      <c r="G20" s="181"/>
      <c r="H20" s="194"/>
      <c r="I20" s="220"/>
      <c r="J20" s="183"/>
      <c r="K20" s="184"/>
      <c r="L20" s="183"/>
      <c r="M20" s="183"/>
      <c r="N20" s="183"/>
      <c r="O20" s="183"/>
      <c r="P20" s="192">
        <f t="shared" si="0"/>
        <v>0</v>
      </c>
      <c r="Q20" s="182"/>
      <c r="R20" s="182"/>
      <c r="S20" s="182"/>
      <c r="T20" s="182"/>
      <c r="U20" s="182"/>
      <c r="V20" s="182"/>
    </row>
    <row r="21" spans="1:22" x14ac:dyDescent="0.25">
      <c r="A21" s="193" t="s">
        <v>465</v>
      </c>
      <c r="B21" s="177"/>
      <c r="C21" s="178"/>
      <c r="D21" s="179"/>
      <c r="E21" s="180"/>
      <c r="F21" s="194"/>
      <c r="G21" s="181"/>
      <c r="H21" s="194"/>
      <c r="I21" s="220" t="s">
        <v>494</v>
      </c>
      <c r="J21" s="183"/>
      <c r="K21" s="184"/>
      <c r="L21" s="183"/>
      <c r="M21" s="183"/>
      <c r="N21" s="183"/>
      <c r="O21" s="183"/>
      <c r="P21" s="192">
        <f t="shared" si="0"/>
        <v>0</v>
      </c>
      <c r="Q21" s="182"/>
      <c r="R21" s="182"/>
      <c r="S21" s="182"/>
      <c r="T21" s="182"/>
      <c r="U21" s="182"/>
      <c r="V21" s="182"/>
    </row>
    <row r="22" spans="1:22" x14ac:dyDescent="0.25">
      <c r="A22" s="90">
        <v>1378</v>
      </c>
      <c r="B22" s="8" t="s">
        <v>69</v>
      </c>
      <c r="C22" s="65" t="s">
        <v>70</v>
      </c>
      <c r="D22" s="75" t="s">
        <v>50</v>
      </c>
      <c r="E22" s="55" t="s">
        <v>22</v>
      </c>
      <c r="F22" s="12">
        <v>45768</v>
      </c>
      <c r="G22" s="143">
        <v>45873</v>
      </c>
      <c r="H22" s="12" t="s">
        <v>510</v>
      </c>
      <c r="I22" s="208">
        <v>1381.23</v>
      </c>
      <c r="J22" s="1">
        <v>30</v>
      </c>
      <c r="K22" s="2">
        <f>I22/J22</f>
        <v>46.041000000000004</v>
      </c>
      <c r="L22" s="1">
        <v>0</v>
      </c>
      <c r="M22" s="1">
        <v>0</v>
      </c>
      <c r="N22" s="1">
        <v>0</v>
      </c>
      <c r="O22" s="1">
        <v>31</v>
      </c>
      <c r="P22" s="192">
        <f t="shared" si="0"/>
        <v>31</v>
      </c>
      <c r="Q22" s="42">
        <f>K22*50%*L22</f>
        <v>0</v>
      </c>
      <c r="R22" s="42">
        <f>K22*60%*M22</f>
        <v>0</v>
      </c>
      <c r="S22" s="42">
        <f>K22*60%*N22</f>
        <v>0</v>
      </c>
      <c r="T22" s="42">
        <f>K22*75%*O22</f>
        <v>1070.4532500000003</v>
      </c>
      <c r="U22" s="42">
        <f>S22+T22</f>
        <v>1070.4532500000003</v>
      </c>
      <c r="V22" s="42">
        <f>K22*(M22+O22+L22+N22)*100%</f>
        <v>1427.2710000000002</v>
      </c>
    </row>
    <row r="23" spans="1:22" x14ac:dyDescent="0.25">
      <c r="A23" s="193" t="s">
        <v>495</v>
      </c>
      <c r="B23" s="177"/>
      <c r="C23" s="178"/>
      <c r="D23" s="179"/>
      <c r="E23" s="180"/>
      <c r="F23" s="194"/>
      <c r="G23" s="181"/>
      <c r="H23" s="194"/>
      <c r="I23" s="220"/>
      <c r="J23" s="183"/>
      <c r="K23" s="184"/>
      <c r="L23" s="183"/>
      <c r="M23" s="183"/>
      <c r="N23" s="183"/>
      <c r="O23" s="183"/>
      <c r="P23" s="192">
        <f t="shared" si="0"/>
        <v>0</v>
      </c>
      <c r="Q23" s="182"/>
      <c r="R23" s="182"/>
      <c r="S23" s="182"/>
      <c r="T23" s="182"/>
      <c r="U23" s="182"/>
      <c r="V23" s="182"/>
    </row>
    <row r="24" spans="1:22" ht="14.25" customHeight="1" x14ac:dyDescent="0.25">
      <c r="A24" s="90">
        <v>1378</v>
      </c>
      <c r="B24" s="8" t="s">
        <v>545</v>
      </c>
      <c r="C24" s="65" t="s">
        <v>546</v>
      </c>
      <c r="D24" s="75" t="s">
        <v>52</v>
      </c>
      <c r="E24" s="55" t="s">
        <v>568</v>
      </c>
      <c r="F24" s="12">
        <v>45867</v>
      </c>
      <c r="G24" s="143"/>
      <c r="H24" s="203">
        <v>45867</v>
      </c>
      <c r="I24" s="208">
        <v>1381.34</v>
      </c>
      <c r="J24" s="1">
        <v>30</v>
      </c>
      <c r="K24" s="2">
        <f>I24/J24</f>
        <v>46.044666666666664</v>
      </c>
      <c r="L24" s="1">
        <v>0</v>
      </c>
      <c r="M24" s="1">
        <v>0</v>
      </c>
      <c r="N24" s="1">
        <v>0</v>
      </c>
      <c r="O24" s="1">
        <v>0</v>
      </c>
      <c r="P24" s="192">
        <f t="shared" si="0"/>
        <v>0</v>
      </c>
      <c r="Q24" s="42">
        <f>K24*50%*L24</f>
        <v>0</v>
      </c>
      <c r="R24" s="42">
        <f>K24*60%*M24</f>
        <v>0</v>
      </c>
      <c r="S24" s="42">
        <f>K24*60%*N24</f>
        <v>0</v>
      </c>
      <c r="T24" s="42">
        <f>K24*75%*O24</f>
        <v>0</v>
      </c>
      <c r="U24" s="42">
        <f>S24+T24</f>
        <v>0</v>
      </c>
      <c r="V24" s="42">
        <f>K24*(M24+O24+L24+N24)*100%</f>
        <v>0</v>
      </c>
    </row>
    <row r="25" spans="1:22" ht="14.25" customHeight="1" x14ac:dyDescent="0.25">
      <c r="A25" s="90">
        <v>1378</v>
      </c>
      <c r="B25" s="8" t="s">
        <v>545</v>
      </c>
      <c r="C25" s="65" t="s">
        <v>546</v>
      </c>
      <c r="D25" s="75" t="s">
        <v>52</v>
      </c>
      <c r="E25" s="55" t="s">
        <v>568</v>
      </c>
      <c r="F25" s="12">
        <v>45868</v>
      </c>
      <c r="G25" s="143"/>
      <c r="H25" s="203"/>
      <c r="I25" s="208">
        <v>1381.34</v>
      </c>
      <c r="J25" s="1">
        <v>30</v>
      </c>
      <c r="K25" s="2">
        <f>I25/J25</f>
        <v>46.044666666666664</v>
      </c>
      <c r="L25" s="1">
        <v>0</v>
      </c>
      <c r="M25" s="1">
        <v>0</v>
      </c>
      <c r="N25" s="1">
        <v>0</v>
      </c>
      <c r="O25" s="1">
        <v>0</v>
      </c>
      <c r="P25" s="192">
        <f t="shared" si="0"/>
        <v>0</v>
      </c>
      <c r="Q25" s="42">
        <f>K25*50%*L25</f>
        <v>0</v>
      </c>
      <c r="R25" s="42">
        <f>K25*60%*M25</f>
        <v>0</v>
      </c>
      <c r="S25" s="42">
        <f>K25*60%*N25</f>
        <v>0</v>
      </c>
      <c r="T25" s="42">
        <f>K25*75%*O25</f>
        <v>0</v>
      </c>
      <c r="U25" s="42">
        <f>S25+T25</f>
        <v>0</v>
      </c>
      <c r="V25" s="42">
        <f>K25*(M25+O25+L25+N25)*100%</f>
        <v>0</v>
      </c>
    </row>
    <row r="26" spans="1:22" x14ac:dyDescent="0.25">
      <c r="A26" s="90">
        <v>1378</v>
      </c>
      <c r="B26" s="8" t="s">
        <v>321</v>
      </c>
      <c r="C26" s="65" t="s">
        <v>322</v>
      </c>
      <c r="D26" s="75" t="s">
        <v>50</v>
      </c>
      <c r="E26" s="55" t="s">
        <v>22</v>
      </c>
      <c r="F26" s="12">
        <v>45743</v>
      </c>
      <c r="G26" s="143">
        <v>45890</v>
      </c>
      <c r="H26" s="12" t="s">
        <v>560</v>
      </c>
      <c r="I26" s="208">
        <v>1381.5</v>
      </c>
      <c r="J26" s="1">
        <v>30</v>
      </c>
      <c r="K26" s="2">
        <f>I26/J26</f>
        <v>46.05</v>
      </c>
      <c r="L26" s="1">
        <v>0</v>
      </c>
      <c r="M26" s="1">
        <v>0</v>
      </c>
      <c r="N26" s="1">
        <v>0</v>
      </c>
      <c r="O26" s="1">
        <v>31</v>
      </c>
      <c r="P26" s="192">
        <f t="shared" si="0"/>
        <v>31</v>
      </c>
      <c r="Q26" s="42">
        <f>K26*50%*L26</f>
        <v>0</v>
      </c>
      <c r="R26" s="42">
        <f>K26*60%*M26</f>
        <v>0</v>
      </c>
      <c r="S26" s="42">
        <f>K26*60%*N26</f>
        <v>0</v>
      </c>
      <c r="T26" s="42">
        <f>K26*75%*O26</f>
        <v>1070.6624999999999</v>
      </c>
      <c r="U26" s="42">
        <f>S26+T26</f>
        <v>1070.6624999999999</v>
      </c>
      <c r="V26" s="42">
        <f>K26*(M26+O26+L26+N26)*100%</f>
        <v>1427.55</v>
      </c>
    </row>
    <row r="27" spans="1:22" x14ac:dyDescent="0.25">
      <c r="A27" s="193" t="s">
        <v>467</v>
      </c>
      <c r="B27" s="177"/>
      <c r="C27" s="178"/>
      <c r="D27" s="179"/>
      <c r="E27" s="180"/>
      <c r="F27" s="194"/>
      <c r="G27" s="181"/>
      <c r="H27" s="194"/>
      <c r="I27" s="182"/>
      <c r="J27" s="183"/>
      <c r="K27" s="184"/>
      <c r="L27" s="183"/>
      <c r="M27" s="183"/>
      <c r="N27" s="183"/>
      <c r="O27" s="183"/>
      <c r="P27" s="192">
        <f t="shared" si="0"/>
        <v>0</v>
      </c>
      <c r="Q27" s="182"/>
      <c r="R27" s="182"/>
      <c r="S27" s="182"/>
      <c r="T27" s="182"/>
      <c r="U27" s="182"/>
      <c r="V27" s="182"/>
    </row>
    <row r="28" spans="1:22" x14ac:dyDescent="0.25">
      <c r="A28" s="90">
        <v>1378</v>
      </c>
      <c r="B28" s="8" t="s">
        <v>124</v>
      </c>
      <c r="C28" s="65" t="s">
        <v>68</v>
      </c>
      <c r="D28" s="75" t="s">
        <v>50</v>
      </c>
      <c r="E28" s="55" t="s">
        <v>22</v>
      </c>
      <c r="F28" s="12">
        <v>45608</v>
      </c>
      <c r="G28" s="143">
        <v>45902</v>
      </c>
      <c r="H28" s="12" t="s">
        <v>549</v>
      </c>
      <c r="I28" s="186">
        <v>1323</v>
      </c>
      <c r="J28" s="1">
        <v>30</v>
      </c>
      <c r="K28" s="2">
        <f>I28/J28</f>
        <v>44.1</v>
      </c>
      <c r="L28" s="1">
        <v>0</v>
      </c>
      <c r="M28" s="1">
        <v>0</v>
      </c>
      <c r="N28" s="1">
        <v>0</v>
      </c>
      <c r="O28" s="1">
        <v>31</v>
      </c>
      <c r="P28" s="192">
        <f t="shared" ref="P28:P38" si="1">L28+M28+N28+O28</f>
        <v>31</v>
      </c>
      <c r="Q28" s="42">
        <f>K28*50%*L28</f>
        <v>0</v>
      </c>
      <c r="R28" s="42">
        <f>K28*60%*M28</f>
        <v>0</v>
      </c>
      <c r="S28" s="42">
        <f>K28*60%*N28</f>
        <v>0</v>
      </c>
      <c r="T28" s="42">
        <f>K28*75%*O28</f>
        <v>1025.325</v>
      </c>
      <c r="U28" s="42">
        <f>S28+T28</f>
        <v>1025.325</v>
      </c>
      <c r="V28" s="42">
        <f>K28*(M28+O28+L28+N28)*100%</f>
        <v>1367.1000000000001</v>
      </c>
    </row>
    <row r="29" spans="1:22" x14ac:dyDescent="0.25">
      <c r="A29" s="193" t="s">
        <v>496</v>
      </c>
      <c r="B29" s="177"/>
      <c r="C29" s="178"/>
      <c r="D29" s="179"/>
      <c r="E29" s="180"/>
      <c r="F29" s="194"/>
      <c r="G29" s="181"/>
      <c r="H29" s="194"/>
      <c r="I29" s="220" t="s">
        <v>525</v>
      </c>
      <c r="J29" s="183"/>
      <c r="K29" s="184"/>
      <c r="L29" s="183"/>
      <c r="M29" s="183"/>
      <c r="N29" s="183"/>
      <c r="O29" s="183"/>
      <c r="P29" s="192">
        <f t="shared" si="1"/>
        <v>0</v>
      </c>
      <c r="Q29" s="182"/>
      <c r="R29" s="182"/>
      <c r="S29" s="182"/>
      <c r="T29" s="182"/>
      <c r="U29" s="182"/>
      <c r="V29" s="182"/>
    </row>
    <row r="30" spans="1:22" x14ac:dyDescent="0.25">
      <c r="A30" s="193" t="s">
        <v>466</v>
      </c>
      <c r="B30" s="177"/>
      <c r="C30" s="178"/>
      <c r="D30" s="179"/>
      <c r="E30" s="180"/>
      <c r="F30" s="194"/>
      <c r="G30" s="181"/>
      <c r="H30" s="194"/>
      <c r="I30" s="220" t="s">
        <v>524</v>
      </c>
      <c r="J30" s="183"/>
      <c r="K30" s="184"/>
      <c r="L30" s="183"/>
      <c r="M30" s="183"/>
      <c r="N30" s="183"/>
      <c r="O30" s="183"/>
      <c r="P30" s="192">
        <f t="shared" si="1"/>
        <v>0</v>
      </c>
      <c r="Q30" s="182"/>
      <c r="R30" s="182"/>
      <c r="S30" s="182"/>
      <c r="T30" s="182"/>
      <c r="U30" s="182"/>
      <c r="V30" s="182"/>
    </row>
    <row r="31" spans="1:22" ht="14.25" customHeight="1" x14ac:dyDescent="0.25">
      <c r="A31" s="90">
        <v>1378</v>
      </c>
      <c r="B31" s="8" t="s">
        <v>294</v>
      </c>
      <c r="C31" s="65" t="s">
        <v>561</v>
      </c>
      <c r="D31" s="75" t="s">
        <v>50</v>
      </c>
      <c r="E31" s="55" t="s">
        <v>22</v>
      </c>
      <c r="F31" s="12">
        <v>45869</v>
      </c>
      <c r="G31" s="143"/>
      <c r="H31" s="12"/>
      <c r="I31" s="208">
        <v>1381.34</v>
      </c>
      <c r="J31" s="1">
        <v>30</v>
      </c>
      <c r="K31" s="2">
        <f>I31/J31</f>
        <v>46.044666666666664</v>
      </c>
      <c r="L31" s="1">
        <v>1</v>
      </c>
      <c r="M31" s="1">
        <v>0</v>
      </c>
      <c r="N31" s="1">
        <v>0</v>
      </c>
      <c r="O31" s="1">
        <v>0</v>
      </c>
      <c r="P31" s="192">
        <f t="shared" si="1"/>
        <v>1</v>
      </c>
      <c r="Q31" s="42">
        <f>K31*50%*L31</f>
        <v>23.022333333333332</v>
      </c>
      <c r="R31" s="42">
        <f>K31*60%*M31</f>
        <v>0</v>
      </c>
      <c r="S31" s="42">
        <f>K31*60%*N31</f>
        <v>0</v>
      </c>
      <c r="T31" s="42">
        <f>K31*75%*O31</f>
        <v>0</v>
      </c>
      <c r="U31" s="42">
        <f>S31+T31</f>
        <v>0</v>
      </c>
      <c r="V31" s="42">
        <f>K31*(M31+O31+L31+N31)*100%</f>
        <v>46.044666666666664</v>
      </c>
    </row>
    <row r="32" spans="1:22" ht="14.25" customHeight="1" x14ac:dyDescent="0.25">
      <c r="A32" s="90">
        <v>1378</v>
      </c>
      <c r="B32" s="8" t="s">
        <v>115</v>
      </c>
      <c r="C32" s="65" t="s">
        <v>116</v>
      </c>
      <c r="D32" s="75" t="s">
        <v>52</v>
      </c>
      <c r="E32" s="55" t="s">
        <v>22</v>
      </c>
      <c r="F32" s="12">
        <v>45618</v>
      </c>
      <c r="G32" s="143">
        <v>45873</v>
      </c>
      <c r="H32" s="12" t="s">
        <v>509</v>
      </c>
      <c r="I32" s="186">
        <v>1323</v>
      </c>
      <c r="J32" s="1">
        <v>30</v>
      </c>
      <c r="K32" s="2">
        <f>I32/J32</f>
        <v>44.1</v>
      </c>
      <c r="L32" s="1">
        <v>0</v>
      </c>
      <c r="M32" s="1">
        <v>0</v>
      </c>
      <c r="N32" s="1">
        <v>0</v>
      </c>
      <c r="O32" s="1">
        <v>31</v>
      </c>
      <c r="P32" s="192">
        <f t="shared" si="1"/>
        <v>31</v>
      </c>
      <c r="Q32" s="42">
        <f>K32*50%*L32</f>
        <v>0</v>
      </c>
      <c r="R32" s="42">
        <f>K32*60%*M32</f>
        <v>0</v>
      </c>
      <c r="S32" s="42">
        <f>K32*60%*N32</f>
        <v>0</v>
      </c>
      <c r="T32" s="42">
        <f>K32*75%*O32</f>
        <v>1025.325</v>
      </c>
      <c r="U32" s="42">
        <f>S32+T32</f>
        <v>1025.325</v>
      </c>
      <c r="V32" s="42">
        <f>K32*(M32+O32+L32+N32)*100%</f>
        <v>1367.1000000000001</v>
      </c>
    </row>
    <row r="33" spans="1:22" ht="14.25" customHeight="1" x14ac:dyDescent="0.25">
      <c r="A33" s="193" t="s">
        <v>497</v>
      </c>
      <c r="B33" s="177"/>
      <c r="C33" s="178"/>
      <c r="D33" s="179"/>
      <c r="E33" s="180"/>
      <c r="F33" s="194"/>
      <c r="G33" s="181"/>
      <c r="H33" s="194"/>
      <c r="I33" s="220" t="s">
        <v>526</v>
      </c>
      <c r="J33" s="183"/>
      <c r="K33" s="184"/>
      <c r="L33" s="183"/>
      <c r="M33" s="183"/>
      <c r="N33" s="183"/>
      <c r="O33" s="183"/>
      <c r="P33" s="192">
        <f t="shared" si="1"/>
        <v>0</v>
      </c>
      <c r="Q33" s="182"/>
      <c r="R33" s="182"/>
      <c r="S33" s="182"/>
      <c r="T33" s="182"/>
      <c r="U33" s="182"/>
      <c r="V33" s="182"/>
    </row>
    <row r="34" spans="1:22" ht="14.25" customHeight="1" x14ac:dyDescent="0.25">
      <c r="A34" s="90">
        <v>1378</v>
      </c>
      <c r="B34" s="8" t="s">
        <v>547</v>
      </c>
      <c r="C34" s="65" t="s">
        <v>548</v>
      </c>
      <c r="D34" s="75" t="s">
        <v>52</v>
      </c>
      <c r="E34" s="55" t="s">
        <v>22</v>
      </c>
      <c r="F34" s="12">
        <v>45867</v>
      </c>
      <c r="G34" s="143"/>
      <c r="H34" s="203">
        <v>45867</v>
      </c>
      <c r="I34" s="208">
        <v>1381.2</v>
      </c>
      <c r="J34" s="1">
        <v>30</v>
      </c>
      <c r="K34" s="2">
        <f>I34/J34</f>
        <v>46.04</v>
      </c>
      <c r="L34" s="1">
        <v>1</v>
      </c>
      <c r="M34" s="1">
        <v>0</v>
      </c>
      <c r="N34" s="1">
        <v>0</v>
      </c>
      <c r="O34" s="1">
        <v>0</v>
      </c>
      <c r="P34" s="192">
        <f t="shared" si="1"/>
        <v>1</v>
      </c>
      <c r="Q34" s="42">
        <f>K34*50%*L34</f>
        <v>23.02</v>
      </c>
      <c r="R34" s="42">
        <f>K34*60%*M34</f>
        <v>0</v>
      </c>
      <c r="S34" s="42">
        <f>K34*60%*N34</f>
        <v>0</v>
      </c>
      <c r="T34" s="42">
        <f>K34*75%*O34</f>
        <v>0</v>
      </c>
      <c r="U34" s="42">
        <f>S34+T34</f>
        <v>0</v>
      </c>
      <c r="V34" s="42">
        <f>K34*(M34+O34+L34+N34)*100%</f>
        <v>46.04</v>
      </c>
    </row>
    <row r="35" spans="1:22" x14ac:dyDescent="0.25">
      <c r="A35" s="195">
        <v>1378</v>
      </c>
      <c r="B35" s="9" t="s">
        <v>23</v>
      </c>
      <c r="C35" s="51">
        <v>38102537361</v>
      </c>
      <c r="D35" s="56"/>
      <c r="E35" s="56"/>
      <c r="F35" s="142"/>
      <c r="G35" s="142"/>
      <c r="H35" s="52"/>
      <c r="I35" s="53"/>
      <c r="J35" s="52"/>
      <c r="K35" s="53"/>
      <c r="L35" s="52"/>
      <c r="M35" s="52"/>
      <c r="N35" s="52"/>
      <c r="O35" s="52"/>
      <c r="P35" s="192">
        <f t="shared" si="1"/>
        <v>0</v>
      </c>
      <c r="Q35" s="10"/>
      <c r="R35" s="10"/>
      <c r="S35" s="10"/>
      <c r="T35" s="10"/>
      <c r="U35" s="11">
        <f>SUM(U19:U33)</f>
        <v>5262.4282499999999</v>
      </c>
      <c r="V35" s="10"/>
    </row>
    <row r="36" spans="1:22" ht="14.25" customHeight="1" x14ac:dyDescent="0.25">
      <c r="A36" s="90">
        <v>1386</v>
      </c>
      <c r="B36" s="8" t="s">
        <v>541</v>
      </c>
      <c r="C36" s="65" t="s">
        <v>542</v>
      </c>
      <c r="D36" s="75" t="s">
        <v>51</v>
      </c>
      <c r="E36" s="55" t="s">
        <v>22</v>
      </c>
      <c r="F36" s="12">
        <v>45863</v>
      </c>
      <c r="G36" s="143">
        <v>45877</v>
      </c>
      <c r="H36" s="12" t="s">
        <v>562</v>
      </c>
      <c r="I36" s="42">
        <v>2895.36</v>
      </c>
      <c r="J36" s="1">
        <v>92</v>
      </c>
      <c r="K36" s="2">
        <f>I36/J36</f>
        <v>31.471304347826088</v>
      </c>
      <c r="L36" s="1">
        <v>3</v>
      </c>
      <c r="M36" s="1">
        <v>4</v>
      </c>
      <c r="N36" s="1">
        <v>0</v>
      </c>
      <c r="O36" s="1">
        <v>0</v>
      </c>
      <c r="P36" s="192">
        <f t="shared" si="1"/>
        <v>7</v>
      </c>
      <c r="Q36" s="42">
        <f>K36*50%*L36</f>
        <v>47.20695652173913</v>
      </c>
      <c r="R36" s="42">
        <f>K36*60%*M36</f>
        <v>75.531130434782611</v>
      </c>
      <c r="S36" s="42">
        <f>K36*60%*N36</f>
        <v>0</v>
      </c>
      <c r="T36" s="42">
        <f>K36*75%*O36</f>
        <v>0</v>
      </c>
      <c r="U36" s="42">
        <f>S36+T36</f>
        <v>0</v>
      </c>
      <c r="V36" s="42">
        <f>K36*(M36+O36+L36+N36)*100%</f>
        <v>220.29913043478263</v>
      </c>
    </row>
    <row r="37" spans="1:22" x14ac:dyDescent="0.25">
      <c r="A37" s="195">
        <v>1386</v>
      </c>
      <c r="B37" s="9" t="s">
        <v>540</v>
      </c>
      <c r="C37" s="51">
        <v>38112326782</v>
      </c>
      <c r="D37" s="56"/>
      <c r="E37" s="56"/>
      <c r="F37" s="142"/>
      <c r="G37" s="142"/>
      <c r="H37" s="52"/>
      <c r="I37" s="53"/>
      <c r="J37" s="52"/>
      <c r="K37" s="53"/>
      <c r="L37" s="52"/>
      <c r="M37" s="52"/>
      <c r="N37" s="52"/>
      <c r="O37" s="52"/>
      <c r="P37" s="192">
        <f t="shared" si="1"/>
        <v>0</v>
      </c>
      <c r="Q37" s="10"/>
      <c r="R37" s="10"/>
      <c r="S37" s="10"/>
      <c r="T37" s="10"/>
      <c r="U37" s="11">
        <f>SUM(U36)</f>
        <v>0</v>
      </c>
      <c r="V37" s="10"/>
    </row>
    <row r="38" spans="1:22" x14ac:dyDescent="0.25">
      <c r="A38" s="187">
        <v>1481</v>
      </c>
      <c r="B38" s="44" t="s">
        <v>551</v>
      </c>
      <c r="C38" s="65" t="s">
        <v>552</v>
      </c>
      <c r="D38" s="75" t="s">
        <v>52</v>
      </c>
      <c r="E38" s="55" t="s">
        <v>22</v>
      </c>
      <c r="F38" s="12">
        <v>45867</v>
      </c>
      <c r="G38" s="143"/>
      <c r="H38" s="203"/>
      <c r="I38" s="42">
        <v>1753.36</v>
      </c>
      <c r="J38" s="1">
        <v>30</v>
      </c>
      <c r="K38" s="2">
        <f>I38/J38</f>
        <v>58.44533333333333</v>
      </c>
      <c r="L38" s="1">
        <v>3</v>
      </c>
      <c r="M38" s="1">
        <v>0</v>
      </c>
      <c r="N38" s="1">
        <v>0</v>
      </c>
      <c r="O38" s="1">
        <v>0</v>
      </c>
      <c r="P38" s="192">
        <f t="shared" si="1"/>
        <v>3</v>
      </c>
      <c r="Q38" s="42">
        <f>K38*50%*L38</f>
        <v>87.667999999999992</v>
      </c>
      <c r="R38" s="42">
        <f>K38*60%*M38</f>
        <v>0</v>
      </c>
      <c r="S38" s="42">
        <f>K38*60%*N38</f>
        <v>0</v>
      </c>
      <c r="T38" s="42">
        <f>K38*75%*O38</f>
        <v>0</v>
      </c>
      <c r="U38" s="42">
        <f>S38+T38</f>
        <v>0</v>
      </c>
      <c r="V38" s="42">
        <f>K38*(M38+O38+L38+N38)*100%</f>
        <v>175.33599999999998</v>
      </c>
    </row>
    <row r="39" spans="1:22" x14ac:dyDescent="0.25">
      <c r="A39" s="195">
        <v>1481</v>
      </c>
      <c r="B39" s="9" t="s">
        <v>550</v>
      </c>
      <c r="C39" s="51"/>
      <c r="D39" s="56"/>
      <c r="E39" s="56"/>
      <c r="F39" s="142"/>
      <c r="G39" s="142"/>
      <c r="H39" s="52"/>
      <c r="I39" s="53"/>
      <c r="J39" s="52"/>
      <c r="K39" s="53"/>
      <c r="L39" s="52"/>
      <c r="M39" s="52"/>
      <c r="N39" s="52"/>
      <c r="O39" s="52"/>
      <c r="P39" s="192"/>
      <c r="Q39" s="10"/>
      <c r="R39" s="10"/>
      <c r="S39" s="10"/>
      <c r="T39" s="10"/>
      <c r="U39" s="11">
        <f>SUM(U38)</f>
        <v>0</v>
      </c>
      <c r="V39" s="10"/>
    </row>
    <row r="40" spans="1:22" x14ac:dyDescent="0.25">
      <c r="A40" s="187">
        <v>1628</v>
      </c>
      <c r="B40" s="44" t="s">
        <v>105</v>
      </c>
      <c r="C40" s="65" t="s">
        <v>106</v>
      </c>
      <c r="D40" s="75" t="s">
        <v>52</v>
      </c>
      <c r="E40" s="55" t="s">
        <v>22</v>
      </c>
      <c r="F40" s="12">
        <v>45536</v>
      </c>
      <c r="G40" s="143">
        <v>45870</v>
      </c>
      <c r="H40" s="12" t="s">
        <v>488</v>
      </c>
      <c r="I40" s="42">
        <v>1500</v>
      </c>
      <c r="J40" s="1">
        <v>30</v>
      </c>
      <c r="K40" s="2">
        <f>I40/J40</f>
        <v>50</v>
      </c>
      <c r="L40" s="1">
        <v>0</v>
      </c>
      <c r="M40" s="1">
        <v>0</v>
      </c>
      <c r="N40" s="1">
        <v>0</v>
      </c>
      <c r="O40" s="1">
        <v>31</v>
      </c>
      <c r="P40" s="192">
        <f t="shared" ref="P40:P47" si="2">L40+M40+N40+O40</f>
        <v>31</v>
      </c>
      <c r="Q40" s="42">
        <f>K40*50%*L40</f>
        <v>0</v>
      </c>
      <c r="R40" s="42">
        <f>K40*60%*M40</f>
        <v>0</v>
      </c>
      <c r="S40" s="42">
        <f>K40*60%*N40</f>
        <v>0</v>
      </c>
      <c r="T40" s="42">
        <f>K40*75%*O40</f>
        <v>1162.5</v>
      </c>
      <c r="U40" s="42">
        <f>S40+T40</f>
        <v>1162.5</v>
      </c>
      <c r="V40" s="42">
        <f>K40*(M40+O40+L40+N40)*100%</f>
        <v>1550</v>
      </c>
    </row>
    <row r="41" spans="1:22" s="185" customFormat="1" x14ac:dyDescent="0.25">
      <c r="A41" s="193" t="s">
        <v>112</v>
      </c>
      <c r="B41" s="177"/>
      <c r="C41" s="178"/>
      <c r="D41" s="179"/>
      <c r="E41" s="180"/>
      <c r="F41" s="194"/>
      <c r="G41" s="181"/>
      <c r="H41" s="194"/>
      <c r="I41" s="220" t="s">
        <v>527</v>
      </c>
      <c r="J41" s="183"/>
      <c r="K41" s="184"/>
      <c r="L41" s="183"/>
      <c r="M41" s="183"/>
      <c r="N41" s="183"/>
      <c r="O41" s="183"/>
      <c r="P41" s="192">
        <f t="shared" si="2"/>
        <v>0</v>
      </c>
      <c r="Q41" s="182"/>
      <c r="R41" s="182"/>
      <c r="S41" s="182"/>
      <c r="T41" s="182"/>
      <c r="U41" s="182"/>
      <c r="V41" s="182"/>
    </row>
    <row r="42" spans="1:22" x14ac:dyDescent="0.25">
      <c r="A42" s="187">
        <v>1628</v>
      </c>
      <c r="B42" s="44" t="s">
        <v>463</v>
      </c>
      <c r="C42" s="65" t="s">
        <v>464</v>
      </c>
      <c r="D42" s="75" t="s">
        <v>50</v>
      </c>
      <c r="E42" s="55" t="s">
        <v>22</v>
      </c>
      <c r="F42" s="12">
        <v>45824</v>
      </c>
      <c r="G42" s="143"/>
      <c r="H42" s="203">
        <v>45859</v>
      </c>
      <c r="I42" s="42">
        <v>1772.59</v>
      </c>
      <c r="J42" s="1">
        <v>30</v>
      </c>
      <c r="K42" s="2">
        <f>I42/J42</f>
        <v>59.086333333333329</v>
      </c>
      <c r="L42" s="1">
        <v>0</v>
      </c>
      <c r="M42" s="1">
        <v>0</v>
      </c>
      <c r="N42" s="1">
        <v>5</v>
      </c>
      <c r="O42" s="1">
        <v>16</v>
      </c>
      <c r="P42" s="192">
        <f t="shared" si="2"/>
        <v>21</v>
      </c>
      <c r="Q42" s="42">
        <f>K42*50%*L42</f>
        <v>0</v>
      </c>
      <c r="R42" s="42">
        <f>K42*60%*M42</f>
        <v>0</v>
      </c>
      <c r="S42" s="42">
        <f>K42*60%*N42</f>
        <v>177.25899999999999</v>
      </c>
      <c r="T42" s="42">
        <f>K42*75%*O42</f>
        <v>709.03599999999994</v>
      </c>
      <c r="U42" s="42">
        <f>S42+T42</f>
        <v>886.29499999999996</v>
      </c>
      <c r="V42" s="42">
        <f>K42*(M42+O42+L42+N42)*100%</f>
        <v>1240.8129999999999</v>
      </c>
    </row>
    <row r="43" spans="1:22" ht="14.1" customHeight="1" x14ac:dyDescent="0.25">
      <c r="A43" s="195">
        <v>1628</v>
      </c>
      <c r="B43" s="9" t="s">
        <v>104</v>
      </c>
      <c r="C43" s="51"/>
      <c r="D43" s="56"/>
      <c r="E43" s="56"/>
      <c r="F43" s="142"/>
      <c r="G43" s="142"/>
      <c r="H43" s="52"/>
      <c r="I43" s="53"/>
      <c r="J43" s="52"/>
      <c r="K43" s="53"/>
      <c r="L43" s="52"/>
      <c r="M43" s="52"/>
      <c r="N43" s="52"/>
      <c r="O43" s="52"/>
      <c r="P43" s="192">
        <f t="shared" si="2"/>
        <v>0</v>
      </c>
      <c r="Q43" s="10"/>
      <c r="R43" s="10"/>
      <c r="S43" s="10"/>
      <c r="T43" s="10"/>
      <c r="U43" s="11">
        <f>SUM(U40:U42)</f>
        <v>2048.7950000000001</v>
      </c>
      <c r="V43" s="10"/>
    </row>
    <row r="44" spans="1:22" ht="14.25" customHeight="1" x14ac:dyDescent="0.25">
      <c r="A44" s="90">
        <v>1846</v>
      </c>
      <c r="B44" s="8" t="s">
        <v>139</v>
      </c>
      <c r="C44" s="65" t="s">
        <v>140</v>
      </c>
      <c r="D44" s="75" t="s">
        <v>51</v>
      </c>
      <c r="E44" s="55" t="s">
        <v>22</v>
      </c>
      <c r="F44" s="12">
        <v>45659</v>
      </c>
      <c r="G44" s="143">
        <v>45890</v>
      </c>
      <c r="H44" s="12" t="s">
        <v>559</v>
      </c>
      <c r="I44" s="186">
        <v>2108.3200000000002</v>
      </c>
      <c r="J44" s="1">
        <v>92</v>
      </c>
      <c r="K44" s="2">
        <f>I44/J44</f>
        <v>22.916521739130438</v>
      </c>
      <c r="L44" s="1">
        <v>0</v>
      </c>
      <c r="M44" s="1">
        <v>0</v>
      </c>
      <c r="N44" s="1">
        <v>0</v>
      </c>
      <c r="O44" s="1">
        <v>31</v>
      </c>
      <c r="P44" s="192">
        <f t="shared" si="2"/>
        <v>31</v>
      </c>
      <c r="Q44" s="42">
        <f>K44*50%*L44</f>
        <v>0</v>
      </c>
      <c r="R44" s="42">
        <f>K44*60%*M44</f>
        <v>0</v>
      </c>
      <c r="S44" s="42">
        <f>K44*60%*N44</f>
        <v>0</v>
      </c>
      <c r="T44" s="42">
        <f>K44*75%*O44</f>
        <v>532.80913043478267</v>
      </c>
      <c r="U44" s="42">
        <f>S44+T44</f>
        <v>532.80913043478267</v>
      </c>
      <c r="V44" s="42">
        <f>K44*(M44+O44+L44+N44)*100%</f>
        <v>710.4121739130436</v>
      </c>
    </row>
    <row r="45" spans="1:22" ht="14.25" customHeight="1" x14ac:dyDescent="0.25">
      <c r="A45" s="193" t="s">
        <v>516</v>
      </c>
      <c r="B45" s="177"/>
      <c r="C45" s="178"/>
      <c r="D45" s="179"/>
      <c r="E45" s="180"/>
      <c r="F45" s="194"/>
      <c r="G45" s="181"/>
      <c r="H45" s="194"/>
      <c r="I45" s="182"/>
      <c r="J45" s="183"/>
      <c r="K45" s="184"/>
      <c r="L45" s="183"/>
      <c r="M45" s="183"/>
      <c r="N45" s="183"/>
      <c r="O45" s="183"/>
      <c r="P45" s="192">
        <f t="shared" si="2"/>
        <v>0</v>
      </c>
      <c r="Q45" s="182"/>
      <c r="R45" s="182"/>
      <c r="S45" s="182"/>
      <c r="T45" s="182"/>
      <c r="U45" s="182"/>
      <c r="V45" s="182"/>
    </row>
    <row r="46" spans="1:22" ht="14.1" customHeight="1" x14ac:dyDescent="0.25">
      <c r="A46" s="195">
        <v>1846</v>
      </c>
      <c r="B46" s="9" t="s">
        <v>138</v>
      </c>
      <c r="C46" s="51">
        <v>38120237336</v>
      </c>
      <c r="D46" s="56"/>
      <c r="E46" s="56"/>
      <c r="F46" s="142"/>
      <c r="G46" s="142"/>
      <c r="H46" s="52"/>
      <c r="I46" s="53"/>
      <c r="J46" s="52"/>
      <c r="K46" s="53"/>
      <c r="L46" s="52"/>
      <c r="M46" s="52"/>
      <c r="N46" s="52"/>
      <c r="O46" s="52"/>
      <c r="P46" s="192">
        <f t="shared" si="2"/>
        <v>0</v>
      </c>
      <c r="Q46" s="10"/>
      <c r="R46" s="10"/>
      <c r="S46" s="10"/>
      <c r="T46" s="10"/>
      <c r="U46" s="11">
        <f>SUM(U44)</f>
        <v>532.80913043478267</v>
      </c>
      <c r="V46" s="10"/>
    </row>
    <row r="47" spans="1:22" x14ac:dyDescent="0.25">
      <c r="A47" s="187">
        <v>1903</v>
      </c>
      <c r="B47" s="44" t="s">
        <v>89</v>
      </c>
      <c r="C47" s="65" t="s">
        <v>90</v>
      </c>
      <c r="D47" s="75" t="s">
        <v>51</v>
      </c>
      <c r="E47" s="55" t="s">
        <v>22</v>
      </c>
      <c r="F47" s="12">
        <v>45418</v>
      </c>
      <c r="G47" s="143">
        <v>45817</v>
      </c>
      <c r="H47" s="12" t="s">
        <v>385</v>
      </c>
      <c r="I47" s="218">
        <v>1809.18</v>
      </c>
      <c r="J47" s="1">
        <v>79</v>
      </c>
      <c r="K47" s="2">
        <f>I47/J47</f>
        <v>22.901012658227849</v>
      </c>
      <c r="L47" s="1">
        <v>0</v>
      </c>
      <c r="M47" s="1">
        <v>0</v>
      </c>
      <c r="N47" s="1">
        <v>0</v>
      </c>
      <c r="O47" s="1">
        <v>31</v>
      </c>
      <c r="P47" s="192">
        <f t="shared" si="2"/>
        <v>31</v>
      </c>
      <c r="Q47" s="42">
        <f>K47*50%*L47</f>
        <v>0</v>
      </c>
      <c r="R47" s="42">
        <f>K47*60%*M47</f>
        <v>0</v>
      </c>
      <c r="S47" s="42">
        <f>K47*60%*N47</f>
        <v>0</v>
      </c>
      <c r="T47" s="42">
        <f>K47*75%*O47</f>
        <v>532.44854430379758</v>
      </c>
      <c r="U47" s="42">
        <f>S47+T47</f>
        <v>532.44854430379758</v>
      </c>
      <c r="V47" s="42">
        <f>K47*(M47+O47+L47+N47)*100%</f>
        <v>709.93139240506332</v>
      </c>
    </row>
    <row r="48" spans="1:22" x14ac:dyDescent="0.25">
      <c r="A48" s="193" t="s">
        <v>300</v>
      </c>
      <c r="B48" s="177"/>
      <c r="C48" s="178"/>
      <c r="D48" s="179"/>
      <c r="E48" s="180"/>
      <c r="F48" s="194"/>
      <c r="G48" s="181"/>
      <c r="H48" s="194"/>
      <c r="I48" s="182"/>
      <c r="J48" s="183"/>
      <c r="K48" s="184"/>
      <c r="L48" s="183"/>
      <c r="M48" s="183"/>
      <c r="N48" s="183"/>
      <c r="O48" s="183"/>
      <c r="P48" s="192"/>
      <c r="Q48" s="182"/>
      <c r="R48" s="182"/>
      <c r="S48" s="182"/>
      <c r="T48" s="182"/>
      <c r="U48" s="182"/>
      <c r="V48" s="182"/>
    </row>
    <row r="49" spans="1:23" x14ac:dyDescent="0.25">
      <c r="A49" s="187">
        <v>1903</v>
      </c>
      <c r="B49" s="44" t="s">
        <v>288</v>
      </c>
      <c r="C49" s="65" t="s">
        <v>289</v>
      </c>
      <c r="D49" s="75" t="s">
        <v>51</v>
      </c>
      <c r="E49" s="55" t="s">
        <v>22</v>
      </c>
      <c r="F49" s="12">
        <v>45854</v>
      </c>
      <c r="G49" s="143"/>
      <c r="H49" s="203">
        <v>45854</v>
      </c>
      <c r="I49" s="42">
        <v>3881.77</v>
      </c>
      <c r="J49" s="1">
        <v>92</v>
      </c>
      <c r="K49" s="2">
        <f>I49/J49</f>
        <v>42.193152173913042</v>
      </c>
      <c r="L49" s="1">
        <v>1</v>
      </c>
      <c r="M49" s="1">
        <v>0</v>
      </c>
      <c r="N49" s="1">
        <v>0</v>
      </c>
      <c r="O49" s="1">
        <v>0</v>
      </c>
      <c r="P49" s="192">
        <f>L49+M49+N49+O49</f>
        <v>1</v>
      </c>
      <c r="Q49" s="42">
        <f>K49*50%*L49</f>
        <v>21.096576086956521</v>
      </c>
      <c r="R49" s="42">
        <f>K49*60%*M49</f>
        <v>0</v>
      </c>
      <c r="S49" s="42">
        <f>K49*60%*N49</f>
        <v>0</v>
      </c>
      <c r="T49" s="42">
        <f>K49*75%*O49</f>
        <v>0</v>
      </c>
      <c r="U49" s="42">
        <f>S49+T49</f>
        <v>0</v>
      </c>
      <c r="V49" s="42">
        <f>K49*(M49+O49+L49+N49)*100%</f>
        <v>42.193152173913042</v>
      </c>
    </row>
    <row r="50" spans="1:23" x14ac:dyDescent="0.25">
      <c r="A50" s="89">
        <v>1903</v>
      </c>
      <c r="B50" s="68" t="s">
        <v>162</v>
      </c>
      <c r="C50" s="66">
        <v>381022239019</v>
      </c>
      <c r="D50" s="205">
        <v>189</v>
      </c>
      <c r="E50" s="205" t="s">
        <v>22</v>
      </c>
      <c r="F50" s="141">
        <v>45839</v>
      </c>
      <c r="G50" s="141"/>
      <c r="H50" s="141">
        <v>45857</v>
      </c>
      <c r="I50" s="85"/>
      <c r="J50" s="85"/>
      <c r="K50" s="85"/>
      <c r="L50" s="85"/>
      <c r="M50" s="85"/>
      <c r="N50" s="85"/>
      <c r="O50" s="85"/>
      <c r="P50" s="192">
        <f t="shared" ref="P50:P63" si="3">L50+M50+N50+O50</f>
        <v>0</v>
      </c>
      <c r="Q50" s="83" t="s">
        <v>72</v>
      </c>
      <c r="R50" s="68"/>
      <c r="S50" s="68" t="s">
        <v>246</v>
      </c>
      <c r="T50" s="68"/>
      <c r="U50" s="85"/>
      <c r="V50" s="68"/>
    </row>
    <row r="51" spans="1:23" s="190" customFormat="1" ht="14.1" customHeight="1" x14ac:dyDescent="0.25">
      <c r="A51" s="193" t="s">
        <v>430</v>
      </c>
      <c r="B51" s="177"/>
      <c r="C51" s="178"/>
      <c r="D51" s="179"/>
      <c r="E51" s="180"/>
      <c r="F51" s="194"/>
      <c r="G51" s="181"/>
      <c r="H51" s="194"/>
      <c r="I51" s="220" t="s">
        <v>528</v>
      </c>
      <c r="J51" s="183"/>
      <c r="K51" s="184"/>
      <c r="L51" s="183"/>
      <c r="M51" s="183"/>
      <c r="N51" s="183"/>
      <c r="O51" s="183"/>
      <c r="P51" s="192">
        <f t="shared" si="3"/>
        <v>0</v>
      </c>
      <c r="Q51" s="182"/>
      <c r="R51" s="182"/>
      <c r="S51" s="182"/>
      <c r="T51" s="182"/>
      <c r="U51" s="182"/>
      <c r="V51" s="182"/>
    </row>
    <row r="52" spans="1:23" x14ac:dyDescent="0.25">
      <c r="A52" s="187">
        <v>1903</v>
      </c>
      <c r="B52" s="44" t="s">
        <v>447</v>
      </c>
      <c r="C52" s="65" t="s">
        <v>448</v>
      </c>
      <c r="D52" s="75" t="s">
        <v>51</v>
      </c>
      <c r="E52" s="55" t="s">
        <v>22</v>
      </c>
      <c r="F52" s="12">
        <v>45813</v>
      </c>
      <c r="G52" s="143">
        <v>45883</v>
      </c>
      <c r="H52" s="12" t="s">
        <v>530</v>
      </c>
      <c r="I52" s="1">
        <v>3755.95</v>
      </c>
      <c r="J52" s="1">
        <v>89</v>
      </c>
      <c r="K52" s="2">
        <f>I52/J52</f>
        <v>42.201685393258423</v>
      </c>
      <c r="L52" s="1">
        <v>0</v>
      </c>
      <c r="M52" s="1">
        <v>0</v>
      </c>
      <c r="N52" s="1">
        <v>0</v>
      </c>
      <c r="O52" s="1">
        <v>31</v>
      </c>
      <c r="P52" s="192">
        <f t="shared" si="3"/>
        <v>31</v>
      </c>
      <c r="Q52" s="42">
        <f>K52*50%*L52</f>
        <v>0</v>
      </c>
      <c r="R52" s="42">
        <f>K52*60%*M52</f>
        <v>0</v>
      </c>
      <c r="S52" s="42">
        <f>K52*60%*N52</f>
        <v>0</v>
      </c>
      <c r="T52" s="42">
        <f>K52*75%*O52</f>
        <v>981.1891853932583</v>
      </c>
      <c r="U52" s="42">
        <f>S52+T52</f>
        <v>981.1891853932583</v>
      </c>
      <c r="V52" s="42">
        <f>K52*(M52+O52+L52+N52)*100%</f>
        <v>1308.2522471910111</v>
      </c>
    </row>
    <row r="53" spans="1:23" x14ac:dyDescent="0.25">
      <c r="A53" s="187">
        <v>1903</v>
      </c>
      <c r="B53" s="44" t="s">
        <v>190</v>
      </c>
      <c r="C53" s="65" t="s">
        <v>191</v>
      </c>
      <c r="D53" s="75" t="s">
        <v>51</v>
      </c>
      <c r="E53" s="55" t="s">
        <v>22</v>
      </c>
      <c r="F53" s="12">
        <v>45685</v>
      </c>
      <c r="G53" s="143">
        <v>45887</v>
      </c>
      <c r="H53" s="12" t="s">
        <v>555</v>
      </c>
      <c r="I53" s="218">
        <v>669.48</v>
      </c>
      <c r="J53" s="1">
        <v>31</v>
      </c>
      <c r="K53" s="2">
        <f>I53/J53</f>
        <v>21.596129032258066</v>
      </c>
      <c r="L53" s="1">
        <v>0</v>
      </c>
      <c r="M53" s="1">
        <v>0</v>
      </c>
      <c r="N53" s="1">
        <v>0</v>
      </c>
      <c r="O53" s="1">
        <v>31</v>
      </c>
      <c r="P53" s="192">
        <f t="shared" si="3"/>
        <v>31</v>
      </c>
      <c r="Q53" s="42">
        <f>K53*50%*L53</f>
        <v>0</v>
      </c>
      <c r="R53" s="42">
        <f>K53*60%*M53</f>
        <v>0</v>
      </c>
      <c r="S53" s="42">
        <f>K53*60%*N53</f>
        <v>0</v>
      </c>
      <c r="T53" s="42">
        <f>K53*75%*O53</f>
        <v>502.11000000000007</v>
      </c>
      <c r="U53" s="42">
        <f>S53+T53</f>
        <v>502.11000000000007</v>
      </c>
      <c r="V53" s="42">
        <f>K53*(M53+O53+L53+N53)*100%</f>
        <v>669.48</v>
      </c>
    </row>
    <row r="54" spans="1:23" x14ac:dyDescent="0.25">
      <c r="A54" s="193" t="s">
        <v>352</v>
      </c>
      <c r="B54" s="177"/>
      <c r="C54" s="178"/>
      <c r="D54" s="179"/>
      <c r="E54" s="180"/>
      <c r="F54" s="194"/>
      <c r="G54" s="181"/>
      <c r="H54" s="194"/>
      <c r="I54" s="182"/>
      <c r="J54" s="183"/>
      <c r="K54" s="184"/>
      <c r="L54" s="183"/>
      <c r="M54" s="183"/>
      <c r="N54" s="183"/>
      <c r="O54" s="183"/>
      <c r="P54" s="192">
        <f t="shared" si="3"/>
        <v>0</v>
      </c>
      <c r="Q54" s="182"/>
      <c r="R54" s="182"/>
      <c r="S54" s="182"/>
      <c r="T54" s="182"/>
      <c r="U54" s="182"/>
      <c r="V54" s="182"/>
    </row>
    <row r="55" spans="1:23" x14ac:dyDescent="0.25">
      <c r="A55" s="195">
        <v>1903</v>
      </c>
      <c r="B55" s="9" t="s">
        <v>143</v>
      </c>
      <c r="C55" s="51"/>
      <c r="D55" s="56"/>
      <c r="E55" s="56"/>
      <c r="F55" s="142"/>
      <c r="G55" s="142"/>
      <c r="H55" s="52"/>
      <c r="I55" s="53"/>
      <c r="J55" s="52"/>
      <c r="K55" s="53"/>
      <c r="L55" s="52"/>
      <c r="M55" s="52"/>
      <c r="N55" s="52"/>
      <c r="O55" s="52"/>
      <c r="P55" s="192">
        <f t="shared" si="3"/>
        <v>0</v>
      </c>
      <c r="Q55" s="10"/>
      <c r="R55" s="10"/>
      <c r="S55" s="10"/>
      <c r="T55" s="10"/>
      <c r="U55" s="11">
        <f>SUM(U47:U53)</f>
        <v>2015.747729697056</v>
      </c>
      <c r="V55" s="10"/>
    </row>
    <row r="56" spans="1:23" x14ac:dyDescent="0.25">
      <c r="A56" s="89">
        <v>2149</v>
      </c>
      <c r="B56" s="68" t="s">
        <v>518</v>
      </c>
      <c r="C56" s="66"/>
      <c r="D56" s="205"/>
      <c r="E56" s="205"/>
      <c r="F56" s="141">
        <v>45786</v>
      </c>
      <c r="G56" s="141"/>
      <c r="H56" s="141">
        <v>45897</v>
      </c>
      <c r="I56" s="85"/>
      <c r="J56" s="85"/>
      <c r="K56" s="85"/>
      <c r="L56" s="85"/>
      <c r="M56" s="85"/>
      <c r="N56" s="85"/>
      <c r="O56" s="85"/>
      <c r="P56" s="192"/>
      <c r="Q56" s="83" t="s">
        <v>92</v>
      </c>
      <c r="R56" s="68"/>
      <c r="S56" s="68"/>
      <c r="T56" s="68"/>
      <c r="U56" s="85"/>
      <c r="V56" s="68"/>
    </row>
    <row r="57" spans="1:23" x14ac:dyDescent="0.25">
      <c r="A57" s="193" t="s">
        <v>532</v>
      </c>
      <c r="B57" s="177"/>
      <c r="C57" s="178"/>
      <c r="D57" s="179"/>
      <c r="E57" s="180"/>
      <c r="F57" s="194"/>
      <c r="G57" s="181"/>
      <c r="H57" s="194"/>
      <c r="I57" s="182"/>
      <c r="J57" s="183"/>
      <c r="K57" s="184"/>
      <c r="L57" s="183"/>
      <c r="M57" s="183"/>
      <c r="N57" s="183"/>
      <c r="O57" s="183"/>
      <c r="P57" s="192">
        <f>L57+M57+N57+O57</f>
        <v>0</v>
      </c>
      <c r="Q57" s="182"/>
      <c r="R57" s="182"/>
      <c r="S57" s="182"/>
      <c r="T57" s="182"/>
      <c r="U57" s="182"/>
      <c r="V57" s="182"/>
    </row>
    <row r="58" spans="1:23" s="185" customFormat="1" ht="15" customHeight="1" x14ac:dyDescent="0.25">
      <c r="A58" s="195">
        <v>2149</v>
      </c>
      <c r="B58" s="9" t="s">
        <v>517</v>
      </c>
      <c r="C58" s="51"/>
      <c r="D58" s="56"/>
      <c r="E58" s="56"/>
      <c r="F58" s="142"/>
      <c r="G58" s="142"/>
      <c r="H58" s="52"/>
      <c r="I58" s="53"/>
      <c r="J58" s="52"/>
      <c r="K58" s="53"/>
      <c r="L58" s="52"/>
      <c r="M58" s="52"/>
      <c r="N58" s="52"/>
      <c r="O58" s="52"/>
      <c r="P58" s="192"/>
      <c r="Q58" s="10"/>
      <c r="R58" s="10"/>
      <c r="S58" s="10"/>
      <c r="T58" s="10"/>
      <c r="U58" s="11"/>
      <c r="V58" s="10"/>
    </row>
    <row r="59" spans="1:23" x14ac:dyDescent="0.25">
      <c r="A59" s="196">
        <v>2281</v>
      </c>
      <c r="B59" s="44" t="s">
        <v>79</v>
      </c>
      <c r="C59" s="65" t="s">
        <v>73</v>
      </c>
      <c r="D59" s="55">
        <v>189</v>
      </c>
      <c r="E59" s="55" t="s">
        <v>22</v>
      </c>
      <c r="F59" s="12">
        <v>45363</v>
      </c>
      <c r="G59" s="143"/>
      <c r="H59" s="203">
        <v>45847</v>
      </c>
      <c r="I59" s="42">
        <v>1901.68</v>
      </c>
      <c r="J59" s="1">
        <v>30</v>
      </c>
      <c r="K59" s="2">
        <f>I59/J59</f>
        <v>63.389333333333333</v>
      </c>
      <c r="L59" s="1">
        <v>0</v>
      </c>
      <c r="M59" s="1">
        <v>0</v>
      </c>
      <c r="N59" s="1">
        <v>0</v>
      </c>
      <c r="O59" s="1">
        <v>9</v>
      </c>
      <c r="P59" s="192">
        <f t="shared" si="3"/>
        <v>9</v>
      </c>
      <c r="Q59" s="42">
        <f>K59*50%*L59</f>
        <v>0</v>
      </c>
      <c r="R59" s="42">
        <f>K59*60%*M59</f>
        <v>0</v>
      </c>
      <c r="S59" s="42">
        <f>K59*60%*N59</f>
        <v>0</v>
      </c>
      <c r="T59" s="42">
        <f>K59*75%*O59</f>
        <v>427.87800000000004</v>
      </c>
      <c r="U59" s="42">
        <f>S59+T59</f>
        <v>427.87800000000004</v>
      </c>
      <c r="V59" s="42">
        <f>K59*(M59+O59+L59+N59)*100%</f>
        <v>570.50400000000002</v>
      </c>
    </row>
    <row r="60" spans="1:23" x14ac:dyDescent="0.25">
      <c r="A60" s="196">
        <v>2281</v>
      </c>
      <c r="B60" s="44" t="s">
        <v>538</v>
      </c>
      <c r="C60" s="65" t="s">
        <v>539</v>
      </c>
      <c r="D60" s="55">
        <v>100</v>
      </c>
      <c r="E60" s="55" t="s">
        <v>22</v>
      </c>
      <c r="F60" s="12">
        <v>45866</v>
      </c>
      <c r="G60" s="143"/>
      <c r="H60" s="203"/>
      <c r="I60" s="42">
        <v>1468.59</v>
      </c>
      <c r="J60" s="1">
        <v>30</v>
      </c>
      <c r="K60" s="2">
        <f>I60/J60</f>
        <v>48.952999999999996</v>
      </c>
      <c r="L60" s="1">
        <v>3</v>
      </c>
      <c r="M60" s="1">
        <v>1</v>
      </c>
      <c r="N60" s="1">
        <v>0</v>
      </c>
      <c r="O60" s="1">
        <v>0</v>
      </c>
      <c r="P60" s="192">
        <f>L60+M60+N60+O60</f>
        <v>4</v>
      </c>
      <c r="Q60" s="42">
        <f>K60*50%*L60</f>
        <v>73.42949999999999</v>
      </c>
      <c r="R60" s="42">
        <f>K60*60%*M60</f>
        <v>29.371799999999997</v>
      </c>
      <c r="S60" s="42">
        <f>K60*60%*N60</f>
        <v>0</v>
      </c>
      <c r="T60" s="42">
        <f>K60*75%*O60</f>
        <v>0</v>
      </c>
      <c r="U60" s="42">
        <f>S60+T60</f>
        <v>0</v>
      </c>
      <c r="V60" s="42">
        <f>K60*(M60+O60+L60+N60)*100%</f>
        <v>195.81199999999998</v>
      </c>
    </row>
    <row r="61" spans="1:23" s="185" customFormat="1" ht="15" customHeight="1" x14ac:dyDescent="0.25">
      <c r="A61" s="195">
        <v>2281</v>
      </c>
      <c r="B61" s="9" t="s">
        <v>60</v>
      </c>
      <c r="C61" s="51"/>
      <c r="D61" s="56"/>
      <c r="E61" s="56"/>
      <c r="F61" s="142"/>
      <c r="G61" s="142"/>
      <c r="H61" s="52"/>
      <c r="I61" s="53"/>
      <c r="J61" s="52"/>
      <c r="K61" s="53"/>
      <c r="L61" s="52"/>
      <c r="M61" s="52"/>
      <c r="N61" s="52"/>
      <c r="O61" s="52"/>
      <c r="P61" s="192">
        <f t="shared" si="3"/>
        <v>0</v>
      </c>
      <c r="Q61" s="10"/>
      <c r="R61" s="10"/>
      <c r="S61" s="10"/>
      <c r="T61" s="10"/>
      <c r="U61" s="11">
        <f>SUM(U59:U59)</f>
        <v>427.87800000000004</v>
      </c>
      <c r="V61" s="10"/>
    </row>
    <row r="62" spans="1:23" x14ac:dyDescent="0.25">
      <c r="A62" s="196">
        <v>2290</v>
      </c>
      <c r="B62" s="44" t="s">
        <v>501</v>
      </c>
      <c r="C62" s="65" t="s">
        <v>502</v>
      </c>
      <c r="D62" s="55">
        <v>100</v>
      </c>
      <c r="E62" s="55" t="s">
        <v>22</v>
      </c>
      <c r="F62" s="12">
        <v>45842</v>
      </c>
      <c r="G62" s="143"/>
      <c r="H62" s="203">
        <v>45843</v>
      </c>
      <c r="I62" s="42">
        <v>1477.48</v>
      </c>
      <c r="J62" s="1">
        <v>30</v>
      </c>
      <c r="K62" s="2">
        <f>I62/J62</f>
        <v>49.249333333333333</v>
      </c>
      <c r="L62" s="1">
        <v>2</v>
      </c>
      <c r="M62" s="1">
        <v>0</v>
      </c>
      <c r="N62" s="1">
        <v>0</v>
      </c>
      <c r="O62" s="1">
        <v>0</v>
      </c>
      <c r="P62" s="192">
        <f>L62+M62+N62+O62</f>
        <v>2</v>
      </c>
      <c r="Q62" s="42">
        <f>K62*50%*L62</f>
        <v>49.249333333333333</v>
      </c>
      <c r="R62" s="42">
        <f>K62*60%*M62</f>
        <v>0</v>
      </c>
      <c r="S62" s="42">
        <f>K62*60%*N62</f>
        <v>0</v>
      </c>
      <c r="T62" s="42">
        <f>K62*75%*O62</f>
        <v>0</v>
      </c>
      <c r="U62" s="42">
        <f>S62+T62</f>
        <v>0</v>
      </c>
      <c r="V62" s="42">
        <f>K62*(M62+O62+L62+N62)*100%</f>
        <v>98.498666666666665</v>
      </c>
    </row>
    <row r="63" spans="1:23" x14ac:dyDescent="0.25">
      <c r="A63" s="196">
        <v>2290</v>
      </c>
      <c r="B63" s="44" t="s">
        <v>406</v>
      </c>
      <c r="C63" s="65" t="s">
        <v>407</v>
      </c>
      <c r="D63" s="55">
        <v>100</v>
      </c>
      <c r="E63" s="55" t="s">
        <v>22</v>
      </c>
      <c r="F63" s="12">
        <v>45791</v>
      </c>
      <c r="G63" s="143">
        <v>45846</v>
      </c>
      <c r="H63" s="203">
        <v>45847</v>
      </c>
      <c r="I63" s="42">
        <v>1547.48</v>
      </c>
      <c r="J63" s="1">
        <v>30</v>
      </c>
      <c r="K63" s="2">
        <f>I63/J63</f>
        <v>51.582666666666668</v>
      </c>
      <c r="L63" s="1">
        <v>0</v>
      </c>
      <c r="M63" s="1">
        <v>0</v>
      </c>
      <c r="N63" s="1">
        <v>0</v>
      </c>
      <c r="O63" s="1">
        <v>9</v>
      </c>
      <c r="P63" s="192">
        <f t="shared" si="3"/>
        <v>9</v>
      </c>
      <c r="Q63" s="42">
        <f>K63*50%*L63</f>
        <v>0</v>
      </c>
      <c r="R63" s="42">
        <f>K63*60%*M63</f>
        <v>0</v>
      </c>
      <c r="S63" s="42">
        <f>K63*60%*N63</f>
        <v>0</v>
      </c>
      <c r="T63" s="42">
        <f>K63*75%*O63</f>
        <v>348.18299999999999</v>
      </c>
      <c r="U63" s="42">
        <f>S63+T63</f>
        <v>348.18299999999999</v>
      </c>
      <c r="V63" s="42">
        <f>K63*(M63+O63+L63+N63)*100%</f>
        <v>464.24400000000003</v>
      </c>
      <c r="W63" s="241"/>
    </row>
    <row r="64" spans="1:23" s="185" customFormat="1" ht="14.25" customHeight="1" x14ac:dyDescent="0.25">
      <c r="A64" s="193" t="s">
        <v>414</v>
      </c>
      <c r="B64" s="177"/>
      <c r="C64" s="178"/>
      <c r="D64" s="179"/>
      <c r="E64" s="180"/>
      <c r="F64" s="194"/>
      <c r="G64" s="181"/>
      <c r="H64" s="194"/>
      <c r="I64" s="182" t="s">
        <v>503</v>
      </c>
      <c r="J64" s="183"/>
      <c r="K64" s="184"/>
      <c r="L64" s="183"/>
      <c r="M64" s="183"/>
      <c r="N64" s="183"/>
      <c r="O64" s="183"/>
      <c r="P64" s="192"/>
      <c r="Q64" s="182"/>
      <c r="R64" s="182"/>
      <c r="S64" s="182"/>
      <c r="T64" s="182"/>
      <c r="U64" s="182"/>
      <c r="V64" s="182"/>
      <c r="W64"/>
    </row>
    <row r="65" spans="1:23" x14ac:dyDescent="0.25">
      <c r="A65" s="89">
        <v>2290</v>
      </c>
      <c r="B65" s="68" t="s">
        <v>406</v>
      </c>
      <c r="C65" s="66" t="s">
        <v>407</v>
      </c>
      <c r="D65" s="205">
        <v>100</v>
      </c>
      <c r="E65" s="205" t="s">
        <v>22</v>
      </c>
      <c r="F65" s="141" t="s">
        <v>520</v>
      </c>
      <c r="G65" s="141"/>
      <c r="H65" s="141"/>
      <c r="I65" s="85"/>
      <c r="J65" s="85"/>
      <c r="K65" s="85"/>
      <c r="L65" s="85"/>
      <c r="M65" s="85"/>
      <c r="N65" s="85"/>
      <c r="O65" s="85"/>
      <c r="P65" s="192">
        <f>L65+M65+N65+O65</f>
        <v>0</v>
      </c>
      <c r="Q65" s="83" t="s">
        <v>521</v>
      </c>
      <c r="R65" s="68"/>
      <c r="S65" s="68"/>
      <c r="T65" s="68"/>
      <c r="U65" s="85"/>
      <c r="V65" s="68"/>
    </row>
    <row r="66" spans="1:23" s="185" customFormat="1" ht="14.25" customHeight="1" x14ac:dyDescent="0.25">
      <c r="A66" s="193" t="s">
        <v>504</v>
      </c>
      <c r="B66" s="177"/>
      <c r="C66" s="178"/>
      <c r="D66" s="179"/>
      <c r="E66" s="180"/>
      <c r="F66" s="194"/>
      <c r="G66" s="181"/>
      <c r="H66" s="194"/>
      <c r="I66" s="182"/>
      <c r="J66" s="183"/>
      <c r="K66" s="184"/>
      <c r="L66" s="183"/>
      <c r="M66" s="183"/>
      <c r="N66" s="183"/>
      <c r="O66" s="183"/>
      <c r="P66" s="192"/>
      <c r="Q66" s="182"/>
      <c r="R66" s="182"/>
      <c r="S66" s="182"/>
      <c r="T66" s="182"/>
      <c r="U66" s="182"/>
      <c r="V66" s="182"/>
      <c r="W66"/>
    </row>
    <row r="67" spans="1:23" x14ac:dyDescent="0.25">
      <c r="A67" s="196">
        <v>2290</v>
      </c>
      <c r="B67" s="44" t="s">
        <v>98</v>
      </c>
      <c r="C67" s="65" t="s">
        <v>99</v>
      </c>
      <c r="D67" s="55">
        <v>100</v>
      </c>
      <c r="E67" s="55" t="s">
        <v>22</v>
      </c>
      <c r="F67" s="12">
        <v>45607</v>
      </c>
      <c r="G67" s="143">
        <v>45873</v>
      </c>
      <c r="H67" s="12" t="s">
        <v>511</v>
      </c>
      <c r="I67" s="42">
        <v>1500.04</v>
      </c>
      <c r="J67" s="1">
        <v>30</v>
      </c>
      <c r="K67" s="2">
        <f>I67/J67</f>
        <v>50.001333333333335</v>
      </c>
      <c r="L67" s="1">
        <v>0</v>
      </c>
      <c r="M67" s="1">
        <v>0</v>
      </c>
      <c r="N67" s="1">
        <v>0</v>
      </c>
      <c r="O67" s="1">
        <v>31</v>
      </c>
      <c r="P67" s="192">
        <f>L67+M67+N67+O67</f>
        <v>31</v>
      </c>
      <c r="Q67" s="42">
        <f>K67*50%*L67</f>
        <v>0</v>
      </c>
      <c r="R67" s="42">
        <f>K67*60%*M67</f>
        <v>0</v>
      </c>
      <c r="S67" s="42">
        <f>K67*60%*N67</f>
        <v>0</v>
      </c>
      <c r="T67" s="42">
        <f>K67*75%*O67</f>
        <v>1162.5310000000002</v>
      </c>
      <c r="U67" s="42">
        <f>S67+T67</f>
        <v>1162.5310000000002</v>
      </c>
      <c r="V67" s="42">
        <f>K67*(M67+O67+L67+N67)*100%</f>
        <v>1550.0413333333333</v>
      </c>
      <c r="W67" s="241"/>
    </row>
    <row r="68" spans="1:23" x14ac:dyDescent="0.25">
      <c r="A68" s="193" t="s">
        <v>531</v>
      </c>
      <c r="B68" s="177"/>
      <c r="C68" s="178"/>
      <c r="D68" s="179"/>
      <c r="E68" s="180"/>
      <c r="F68" s="194"/>
      <c r="G68" s="181"/>
      <c r="H68" s="194"/>
      <c r="I68" s="182"/>
      <c r="J68" s="183"/>
      <c r="K68" s="184"/>
      <c r="L68" s="183"/>
      <c r="M68" s="183"/>
      <c r="N68" s="183"/>
      <c r="O68" s="183"/>
      <c r="P68" s="192"/>
      <c r="Q68" s="182"/>
      <c r="R68" s="182"/>
      <c r="S68" s="182"/>
      <c r="T68" s="182"/>
      <c r="U68" s="182"/>
      <c r="V68" s="182"/>
    </row>
    <row r="69" spans="1:23" s="185" customFormat="1" ht="14.25" customHeight="1" x14ac:dyDescent="0.25">
      <c r="A69" s="196">
        <v>2290</v>
      </c>
      <c r="B69" s="44" t="s">
        <v>230</v>
      </c>
      <c r="C69" s="65" t="s">
        <v>231</v>
      </c>
      <c r="D69" s="55">
        <v>100</v>
      </c>
      <c r="E69" s="55" t="s">
        <v>22</v>
      </c>
      <c r="F69" s="12">
        <v>45694</v>
      </c>
      <c r="G69" s="143"/>
      <c r="H69" s="203">
        <v>45862</v>
      </c>
      <c r="I69" s="42">
        <v>1771.25</v>
      </c>
      <c r="J69" s="1">
        <v>74</v>
      </c>
      <c r="K69" s="2">
        <f>I69/J69</f>
        <v>23.935810810810811</v>
      </c>
      <c r="L69" s="1">
        <v>0</v>
      </c>
      <c r="M69" s="1">
        <v>0</v>
      </c>
      <c r="N69" s="1">
        <v>0</v>
      </c>
      <c r="O69" s="1">
        <v>24</v>
      </c>
      <c r="P69" s="192">
        <f>L69+M69+N69+O69</f>
        <v>24</v>
      </c>
      <c r="Q69" s="42">
        <f>K69*50%*L69</f>
        <v>0</v>
      </c>
      <c r="R69" s="42">
        <f>K69*60%*M69</f>
        <v>0</v>
      </c>
      <c r="S69" s="42">
        <f>K69*60%*N69</f>
        <v>0</v>
      </c>
      <c r="T69" s="42">
        <f>K69*75%*O69</f>
        <v>430.84459459459458</v>
      </c>
      <c r="U69" s="42">
        <f>S69+T69</f>
        <v>430.84459459459458</v>
      </c>
      <c r="V69" s="42">
        <f>K69*(M69+O69+L69+N69)*100%</f>
        <v>574.45945945945948</v>
      </c>
      <c r="W69" s="241"/>
    </row>
    <row r="70" spans="1:23" s="185" customFormat="1" ht="15" customHeight="1" x14ac:dyDescent="0.25">
      <c r="A70" s="209">
        <v>2290</v>
      </c>
      <c r="B70" s="210" t="s">
        <v>427</v>
      </c>
      <c r="C70" s="211" t="s">
        <v>437</v>
      </c>
      <c r="D70" s="212">
        <v>100</v>
      </c>
      <c r="E70" s="212" t="s">
        <v>22</v>
      </c>
      <c r="F70" s="213">
        <v>45797</v>
      </c>
      <c r="G70" s="237">
        <v>45881</v>
      </c>
      <c r="H70" s="213" t="s">
        <v>529</v>
      </c>
      <c r="I70" s="214">
        <v>1547.49</v>
      </c>
      <c r="J70" s="215">
        <v>27</v>
      </c>
      <c r="K70" s="216">
        <v>51.62</v>
      </c>
      <c r="L70" s="215">
        <v>0</v>
      </c>
      <c r="M70" s="215">
        <v>0</v>
      </c>
      <c r="N70" s="215">
        <v>0</v>
      </c>
      <c r="O70" s="215">
        <v>31</v>
      </c>
      <c r="P70" s="238">
        <f>L70+M70+N70+O70</f>
        <v>31</v>
      </c>
      <c r="Q70" s="214">
        <f>K70*50%*L70</f>
        <v>0</v>
      </c>
      <c r="R70" s="214">
        <f>K70*60%*M70</f>
        <v>0</v>
      </c>
      <c r="S70" s="214">
        <f>K70*60%*N70</f>
        <v>0</v>
      </c>
      <c r="T70" s="214">
        <f>K70*75%*O70</f>
        <v>1200.165</v>
      </c>
      <c r="U70" s="214">
        <f>S70+T70</f>
        <v>1200.165</v>
      </c>
      <c r="V70" s="214">
        <f>K70*(M70+O70+L70+N70)*100%</f>
        <v>1600.22</v>
      </c>
      <c r="W70" s="241"/>
    </row>
    <row r="71" spans="1:23" s="185" customFormat="1" ht="15" customHeight="1" x14ac:dyDescent="0.25">
      <c r="A71" s="193" t="s">
        <v>468</v>
      </c>
      <c r="B71" s="177"/>
      <c r="C71" s="178"/>
      <c r="D71" s="179"/>
      <c r="E71" s="180"/>
      <c r="F71" s="194"/>
      <c r="G71" s="181"/>
      <c r="H71" s="194"/>
      <c r="I71" s="182"/>
      <c r="J71" s="183"/>
      <c r="K71" s="184"/>
      <c r="L71" s="183"/>
      <c r="M71" s="183"/>
      <c r="N71" s="183"/>
      <c r="O71" s="183"/>
      <c r="P71" s="192"/>
      <c r="Q71" s="182"/>
      <c r="R71" s="182"/>
      <c r="S71" s="182"/>
      <c r="T71" s="182"/>
      <c r="U71" s="182"/>
      <c r="V71" s="182"/>
      <c r="W71"/>
    </row>
    <row r="72" spans="1:23" x14ac:dyDescent="0.25">
      <c r="A72" s="196">
        <v>2290</v>
      </c>
      <c r="B72" s="44" t="s">
        <v>499</v>
      </c>
      <c r="C72" s="65" t="s">
        <v>500</v>
      </c>
      <c r="D72" s="55">
        <v>100</v>
      </c>
      <c r="E72" s="55" t="s">
        <v>22</v>
      </c>
      <c r="F72" s="12">
        <v>45845</v>
      </c>
      <c r="G72" s="143">
        <v>45880</v>
      </c>
      <c r="H72" s="12" t="s">
        <v>519</v>
      </c>
      <c r="I72" s="42">
        <v>2500</v>
      </c>
      <c r="J72" s="1">
        <v>30</v>
      </c>
      <c r="K72" s="2">
        <f>I72/J72</f>
        <v>83.333333333333329</v>
      </c>
      <c r="L72" s="1">
        <v>3</v>
      </c>
      <c r="M72" s="1">
        <v>12</v>
      </c>
      <c r="N72" s="1">
        <v>5</v>
      </c>
      <c r="O72" s="1">
        <v>5</v>
      </c>
      <c r="P72" s="192">
        <f>L72+M72+N72+O72</f>
        <v>25</v>
      </c>
      <c r="Q72" s="42">
        <f>K72*50%*L72</f>
        <v>125</v>
      </c>
      <c r="R72" s="42">
        <f>K72*60%*M72</f>
        <v>599.99999999999989</v>
      </c>
      <c r="S72" s="42">
        <f>K72*60%*N72</f>
        <v>249.99999999999997</v>
      </c>
      <c r="T72" s="42">
        <f>K72*75%*O72</f>
        <v>312.5</v>
      </c>
      <c r="U72" s="42">
        <f>S72+T72</f>
        <v>562.5</v>
      </c>
      <c r="V72" s="42">
        <f>K72*(M72+O72+L72+N72)*100%</f>
        <v>2083.333333333333</v>
      </c>
      <c r="W72" s="241"/>
    </row>
    <row r="73" spans="1:23" x14ac:dyDescent="0.25">
      <c r="A73" s="196">
        <v>2290</v>
      </c>
      <c r="B73" s="44" t="s">
        <v>97</v>
      </c>
      <c r="C73" s="65" t="s">
        <v>100</v>
      </c>
      <c r="D73" s="55">
        <v>100</v>
      </c>
      <c r="E73" s="55" t="s">
        <v>22</v>
      </c>
      <c r="F73" s="12">
        <v>45561</v>
      </c>
      <c r="G73" s="143">
        <v>45870</v>
      </c>
      <c r="H73" s="12" t="s">
        <v>514</v>
      </c>
      <c r="I73" s="42">
        <v>1512.48</v>
      </c>
      <c r="J73" s="1">
        <v>30</v>
      </c>
      <c r="K73" s="2">
        <f>I73/J73</f>
        <v>50.416000000000004</v>
      </c>
      <c r="L73" s="1">
        <v>0</v>
      </c>
      <c r="M73" s="1">
        <v>0</v>
      </c>
      <c r="N73" s="1">
        <v>0</v>
      </c>
      <c r="O73" s="1">
        <v>31</v>
      </c>
      <c r="P73" s="192">
        <f>L73+M73+N73+O73</f>
        <v>31</v>
      </c>
      <c r="Q73" s="42">
        <f>K73*50%*L73</f>
        <v>0</v>
      </c>
      <c r="R73" s="42">
        <f>K73*60%*M73</f>
        <v>0</v>
      </c>
      <c r="S73" s="42">
        <f>K73*60%*N73</f>
        <v>0</v>
      </c>
      <c r="T73" s="42">
        <f>K73*75%*O73</f>
        <v>1172.1720000000003</v>
      </c>
      <c r="U73" s="42">
        <f>S73+T73</f>
        <v>1172.1720000000003</v>
      </c>
      <c r="V73" s="42">
        <f>K73*(M73+O73+L73+N73)*100%</f>
        <v>1562.8960000000002</v>
      </c>
      <c r="W73" s="241"/>
    </row>
    <row r="74" spans="1:23" s="185" customFormat="1" ht="15" customHeight="1" x14ac:dyDescent="0.25">
      <c r="A74" s="193" t="s">
        <v>117</v>
      </c>
      <c r="B74" s="177"/>
      <c r="C74" s="178"/>
      <c r="D74" s="179"/>
      <c r="E74" s="180"/>
      <c r="F74" s="194"/>
      <c r="G74" s="181"/>
      <c r="H74" s="194"/>
      <c r="I74" s="182"/>
      <c r="J74" s="183"/>
      <c r="K74" s="184"/>
      <c r="L74" s="183"/>
      <c r="M74" s="183"/>
      <c r="N74" s="183"/>
      <c r="O74" s="183"/>
      <c r="P74" s="192"/>
      <c r="Q74" s="182"/>
      <c r="R74" s="182"/>
      <c r="S74" s="182"/>
      <c r="T74" s="182"/>
      <c r="U74" s="182"/>
      <c r="V74" s="182"/>
      <c r="W74"/>
    </row>
    <row r="75" spans="1:23" x14ac:dyDescent="0.25">
      <c r="A75" s="196">
        <v>2290</v>
      </c>
      <c r="B75" s="44" t="s">
        <v>457</v>
      </c>
      <c r="C75" s="65" t="s">
        <v>458</v>
      </c>
      <c r="D75" s="55">
        <v>200</v>
      </c>
      <c r="E75" s="55" t="s">
        <v>22</v>
      </c>
      <c r="F75" s="12">
        <v>45864</v>
      </c>
      <c r="G75" s="143"/>
      <c r="H75" s="203">
        <v>45866</v>
      </c>
      <c r="I75" s="42">
        <v>157.59</v>
      </c>
      <c r="J75" s="1">
        <v>8</v>
      </c>
      <c r="K75" s="2">
        <f>I75/J75</f>
        <v>19.69875</v>
      </c>
      <c r="L75" s="1">
        <v>3</v>
      </c>
      <c r="M75" s="1">
        <v>0</v>
      </c>
      <c r="N75" s="1">
        <v>0</v>
      </c>
      <c r="O75" s="1">
        <v>0</v>
      </c>
      <c r="P75" s="192">
        <f>L75+M75+N75+O75</f>
        <v>3</v>
      </c>
      <c r="Q75" s="42">
        <f>K75*50%*L75</f>
        <v>29.548124999999999</v>
      </c>
      <c r="R75" s="42">
        <f>K75*60%*M75</f>
        <v>0</v>
      </c>
      <c r="S75" s="42">
        <f>K75*60%*N75</f>
        <v>0</v>
      </c>
      <c r="T75" s="42">
        <f>K75*75%*O75</f>
        <v>0</v>
      </c>
      <c r="U75" s="42">
        <f>S75+T75</f>
        <v>0</v>
      </c>
      <c r="V75" s="42">
        <f>K75*(M75+O75+L75+N75)*100%</f>
        <v>59.096249999999998</v>
      </c>
    </row>
    <row r="76" spans="1:23" x14ac:dyDescent="0.25">
      <c r="A76" s="196">
        <v>2290</v>
      </c>
      <c r="B76" s="44" t="s">
        <v>515</v>
      </c>
      <c r="C76" s="65" t="s">
        <v>114</v>
      </c>
      <c r="D76" s="55">
        <v>100</v>
      </c>
      <c r="E76" s="55" t="s">
        <v>22</v>
      </c>
      <c r="F76" s="12">
        <v>45856</v>
      </c>
      <c r="G76" s="143">
        <v>45870</v>
      </c>
      <c r="H76" s="12" t="s">
        <v>534</v>
      </c>
      <c r="I76" s="42">
        <v>1477.48</v>
      </c>
      <c r="J76" s="1">
        <v>30</v>
      </c>
      <c r="K76" s="2">
        <f>I76/J76</f>
        <v>49.249333333333333</v>
      </c>
      <c r="L76" s="1">
        <v>3</v>
      </c>
      <c r="M76" s="1">
        <v>11</v>
      </c>
      <c r="N76" s="1">
        <v>0</v>
      </c>
      <c r="O76" s="1">
        <v>0</v>
      </c>
      <c r="P76" s="192">
        <f>L76+M76+N76+O76</f>
        <v>14</v>
      </c>
      <c r="Q76" s="42">
        <f>K76*50%*L76</f>
        <v>73.873999999999995</v>
      </c>
      <c r="R76" s="42">
        <f>K76*60%*M76</f>
        <v>325.04559999999998</v>
      </c>
      <c r="S76" s="42">
        <f>K76*60%*N76</f>
        <v>0</v>
      </c>
      <c r="T76" s="42">
        <f>K76*75%*O76</f>
        <v>0</v>
      </c>
      <c r="U76" s="42">
        <f>S76+T76</f>
        <v>0</v>
      </c>
      <c r="V76" s="42">
        <f>K76*(M76+O76+L76+N76)*100%</f>
        <v>689.4906666666667</v>
      </c>
    </row>
    <row r="77" spans="1:23" x14ac:dyDescent="0.25">
      <c r="A77" s="197">
        <v>2290</v>
      </c>
      <c r="B77" s="9" t="s">
        <v>54</v>
      </c>
      <c r="C77" s="51"/>
      <c r="D77" s="56"/>
      <c r="E77" s="56"/>
      <c r="F77" s="142"/>
      <c r="G77" s="142"/>
      <c r="H77" s="52"/>
      <c r="I77" s="53"/>
      <c r="J77" s="52"/>
      <c r="K77" s="53"/>
      <c r="L77" s="52"/>
      <c r="M77" s="52"/>
      <c r="N77" s="52"/>
      <c r="O77" s="52"/>
      <c r="P77" s="192">
        <f t="shared" ref="P77:P90" si="4">L77+M77+N77+O77</f>
        <v>0</v>
      </c>
      <c r="Q77" s="10"/>
      <c r="R77" s="10"/>
      <c r="S77" s="10"/>
      <c r="T77" s="10"/>
      <c r="U77" s="11">
        <f>SUM(U62:U76)</f>
        <v>4876.3955945945954</v>
      </c>
      <c r="V77" s="10"/>
    </row>
    <row r="78" spans="1:23" s="185" customFormat="1" x14ac:dyDescent="0.25">
      <c r="A78" s="196">
        <v>2350</v>
      </c>
      <c r="B78" s="44" t="s">
        <v>93</v>
      </c>
      <c r="C78" s="65" t="s">
        <v>94</v>
      </c>
      <c r="D78" s="55">
        <v>100</v>
      </c>
      <c r="E78" s="55" t="s">
        <v>22</v>
      </c>
      <c r="F78" s="12">
        <v>45443</v>
      </c>
      <c r="G78" s="143">
        <v>45807</v>
      </c>
      <c r="H78" s="12" t="s">
        <v>435</v>
      </c>
      <c r="I78" s="186">
        <v>1323</v>
      </c>
      <c r="J78" s="1">
        <v>30</v>
      </c>
      <c r="K78" s="2">
        <f>I78/J78</f>
        <v>44.1</v>
      </c>
      <c r="L78" s="1">
        <v>0</v>
      </c>
      <c r="M78" s="1">
        <v>0</v>
      </c>
      <c r="N78" s="1">
        <v>0</v>
      </c>
      <c r="O78" s="1">
        <v>30</v>
      </c>
      <c r="P78" s="192">
        <f t="shared" si="4"/>
        <v>30</v>
      </c>
      <c r="Q78" s="42">
        <f>K78*50%*L78</f>
        <v>0</v>
      </c>
      <c r="R78" s="42">
        <f>K78*60%*M78</f>
        <v>0</v>
      </c>
      <c r="S78" s="42">
        <f>K78*60%*N78</f>
        <v>0</v>
      </c>
      <c r="T78" s="42">
        <f>K78*75%*O78</f>
        <v>992.25000000000011</v>
      </c>
      <c r="U78" s="42">
        <f>S78+T78</f>
        <v>992.25000000000011</v>
      </c>
      <c r="V78" s="42">
        <f>K78*(M78+O78+L78+N78)*100%</f>
        <v>1323</v>
      </c>
    </row>
    <row r="79" spans="1:23" x14ac:dyDescent="0.25">
      <c r="A79" s="197">
        <v>2350</v>
      </c>
      <c r="B79" s="9" t="s">
        <v>78</v>
      </c>
      <c r="C79" s="51"/>
      <c r="D79" s="56"/>
      <c r="E79" s="56"/>
      <c r="F79" s="142"/>
      <c r="G79" s="142"/>
      <c r="H79" s="52"/>
      <c r="I79" s="53"/>
      <c r="J79" s="52"/>
      <c r="K79" s="53"/>
      <c r="L79" s="52"/>
      <c r="M79" s="52"/>
      <c r="N79" s="52"/>
      <c r="O79" s="52"/>
      <c r="P79" s="192">
        <f t="shared" si="4"/>
        <v>0</v>
      </c>
      <c r="Q79" s="10"/>
      <c r="R79" s="10"/>
      <c r="S79" s="10"/>
      <c r="T79" s="10"/>
      <c r="U79" s="11">
        <f>SUM(U78:U78)</f>
        <v>992.25000000000011</v>
      </c>
      <c r="V79" s="10"/>
    </row>
    <row r="80" spans="1:23" ht="14.25" customHeight="1" x14ac:dyDescent="0.25">
      <c r="A80" s="90">
        <v>2375</v>
      </c>
      <c r="B80" s="8" t="s">
        <v>505</v>
      </c>
      <c r="C80" s="65" t="s">
        <v>506</v>
      </c>
      <c r="D80" s="75" t="s">
        <v>52</v>
      </c>
      <c r="E80" s="55" t="s">
        <v>22</v>
      </c>
      <c r="F80" s="12">
        <v>45847</v>
      </c>
      <c r="G80" s="143"/>
      <c r="H80" s="203">
        <v>45849</v>
      </c>
      <c r="I80" s="42">
        <v>1586.68</v>
      </c>
      <c r="J80" s="1">
        <v>30</v>
      </c>
      <c r="K80" s="2">
        <f>I80/J80</f>
        <v>52.889333333333333</v>
      </c>
      <c r="L80" s="1">
        <v>3</v>
      </c>
      <c r="M80" s="1">
        <v>0</v>
      </c>
      <c r="N80" s="1">
        <v>0</v>
      </c>
      <c r="O80" s="1">
        <v>0</v>
      </c>
      <c r="P80" s="192">
        <f>L80+M80+N80+O80</f>
        <v>3</v>
      </c>
      <c r="Q80" s="42">
        <f>K80*50%*L80</f>
        <v>79.334000000000003</v>
      </c>
      <c r="R80" s="42">
        <f>K80*60%*M80</f>
        <v>0</v>
      </c>
      <c r="S80" s="42">
        <f>K80*60%*N80</f>
        <v>0</v>
      </c>
      <c r="T80" s="42">
        <f>K80*75%*O80</f>
        <v>0</v>
      </c>
      <c r="U80" s="42">
        <f>S80+T80</f>
        <v>0</v>
      </c>
      <c r="V80" s="42">
        <f>K80*(M80+O80+L80+N80)*100%</f>
        <v>158.66800000000001</v>
      </c>
    </row>
    <row r="81" spans="1:22" x14ac:dyDescent="0.25">
      <c r="A81" s="195">
        <v>2375</v>
      </c>
      <c r="B81" s="9" t="s">
        <v>223</v>
      </c>
      <c r="C81" s="51">
        <v>38120237336</v>
      </c>
      <c r="D81" s="56"/>
      <c r="E81" s="56"/>
      <c r="F81" s="142"/>
      <c r="G81" s="142"/>
      <c r="H81" s="52"/>
      <c r="I81" s="53"/>
      <c r="J81" s="52"/>
      <c r="K81" s="53"/>
      <c r="L81" s="52"/>
      <c r="M81" s="52"/>
      <c r="N81" s="52"/>
      <c r="O81" s="52"/>
      <c r="P81" s="192">
        <f>L81+M81+N81+O81</f>
        <v>0</v>
      </c>
      <c r="Q81" s="10"/>
      <c r="R81" s="10"/>
      <c r="S81" s="10"/>
      <c r="T81" s="10"/>
      <c r="U81" s="11">
        <f>SUM(U80)</f>
        <v>0</v>
      </c>
      <c r="V81" s="10"/>
    </row>
    <row r="82" spans="1:22" x14ac:dyDescent="0.25">
      <c r="A82" s="89">
        <v>2393</v>
      </c>
      <c r="B82" s="68" t="s">
        <v>507</v>
      </c>
      <c r="C82" s="66">
        <v>3810486966</v>
      </c>
      <c r="D82" s="205">
        <v>100</v>
      </c>
      <c r="E82" s="205" t="s">
        <v>22</v>
      </c>
      <c r="F82" s="141">
        <v>45853</v>
      </c>
      <c r="G82" s="141"/>
      <c r="H82" s="141">
        <v>45908</v>
      </c>
      <c r="I82" s="85"/>
      <c r="J82" s="85"/>
      <c r="K82" s="85"/>
      <c r="L82" s="85"/>
      <c r="M82" s="85"/>
      <c r="N82" s="85"/>
      <c r="O82" s="85"/>
      <c r="P82" s="192"/>
      <c r="Q82" s="83" t="s">
        <v>508</v>
      </c>
      <c r="R82" s="68"/>
      <c r="S82" s="68"/>
      <c r="T82" s="68"/>
      <c r="U82" s="85"/>
      <c r="V82" s="68"/>
    </row>
    <row r="83" spans="1:22" x14ac:dyDescent="0.25">
      <c r="A83" s="193" t="s">
        <v>523</v>
      </c>
      <c r="B83" s="177"/>
      <c r="C83" s="178"/>
      <c r="D83" s="179"/>
      <c r="E83" s="180"/>
      <c r="F83" s="194"/>
      <c r="G83" s="181"/>
      <c r="H83" s="194"/>
      <c r="I83" s="182"/>
      <c r="J83" s="183"/>
      <c r="K83" s="184"/>
      <c r="L83" s="183"/>
      <c r="M83" s="183"/>
      <c r="N83" s="183"/>
      <c r="O83" s="183"/>
      <c r="P83" s="192"/>
      <c r="Q83" s="182"/>
      <c r="R83" s="182"/>
      <c r="S83" s="182"/>
      <c r="T83" s="182"/>
      <c r="U83" s="182"/>
      <c r="V83" s="182"/>
    </row>
    <row r="84" spans="1:22" x14ac:dyDescent="0.25">
      <c r="A84" s="195">
        <v>2393</v>
      </c>
      <c r="B84" s="9" t="s">
        <v>319</v>
      </c>
      <c r="C84" s="51">
        <v>38112289295</v>
      </c>
      <c r="D84" s="56"/>
      <c r="E84" s="56"/>
      <c r="F84" s="142"/>
      <c r="G84" s="142"/>
      <c r="H84" s="52"/>
      <c r="I84" s="53"/>
      <c r="J84" s="52"/>
      <c r="K84" s="53"/>
      <c r="L84" s="52"/>
      <c r="M84" s="52"/>
      <c r="N84" s="52"/>
      <c r="O84" s="52"/>
      <c r="P84" s="192"/>
      <c r="Q84" s="10"/>
      <c r="R84" s="10"/>
      <c r="S84" s="10"/>
      <c r="T84" s="10"/>
      <c r="U84" s="11"/>
      <c r="V84" s="10"/>
    </row>
    <row r="85" spans="1:22" x14ac:dyDescent="0.25">
      <c r="A85" s="196">
        <v>2421</v>
      </c>
      <c r="B85" s="44" t="s">
        <v>383</v>
      </c>
      <c r="C85" s="65" t="s">
        <v>384</v>
      </c>
      <c r="D85" s="55">
        <v>100</v>
      </c>
      <c r="E85" s="55" t="s">
        <v>22</v>
      </c>
      <c r="F85" s="12">
        <v>45772</v>
      </c>
      <c r="G85" s="143"/>
      <c r="H85" s="203">
        <v>45839</v>
      </c>
      <c r="I85" s="42">
        <v>1520.28</v>
      </c>
      <c r="J85" s="1">
        <v>30</v>
      </c>
      <c r="K85" s="2">
        <f>I85/J85</f>
        <v>50.676000000000002</v>
      </c>
      <c r="L85" s="1">
        <v>0</v>
      </c>
      <c r="M85" s="1">
        <v>0</v>
      </c>
      <c r="N85" s="1">
        <v>0</v>
      </c>
      <c r="O85" s="1">
        <v>1</v>
      </c>
      <c r="P85" s="192">
        <f t="shared" si="4"/>
        <v>1</v>
      </c>
      <c r="Q85" s="42">
        <f>K85*50%*L85</f>
        <v>0</v>
      </c>
      <c r="R85" s="42">
        <f>K85*60%*M85</f>
        <v>0</v>
      </c>
      <c r="S85" s="42">
        <f>K85*60%*N85</f>
        <v>0</v>
      </c>
      <c r="T85" s="42">
        <f>K85*75%*O85</f>
        <v>38.007000000000005</v>
      </c>
      <c r="U85" s="42">
        <f>S85+T85</f>
        <v>38.007000000000005</v>
      </c>
      <c r="V85" s="42">
        <f>K85*(M85+O85+L85+N85)*100%</f>
        <v>50.676000000000002</v>
      </c>
    </row>
    <row r="86" spans="1:22" x14ac:dyDescent="0.25">
      <c r="A86" s="195">
        <v>2421</v>
      </c>
      <c r="B86" s="9" t="s">
        <v>382</v>
      </c>
      <c r="C86" s="51"/>
      <c r="D86" s="56"/>
      <c r="E86" s="56"/>
      <c r="F86" s="142"/>
      <c r="G86" s="240"/>
      <c r="H86" s="52"/>
      <c r="I86" s="53"/>
      <c r="J86" s="52"/>
      <c r="K86" s="53"/>
      <c r="L86" s="52"/>
      <c r="M86" s="52"/>
      <c r="N86" s="52"/>
      <c r="O86" s="52"/>
      <c r="P86" s="192">
        <f t="shared" si="4"/>
        <v>0</v>
      </c>
      <c r="Q86" s="10"/>
      <c r="R86" s="10"/>
      <c r="S86" s="10"/>
      <c r="T86" s="10"/>
      <c r="U86" s="11">
        <f>SUM(U85)</f>
        <v>38.007000000000005</v>
      </c>
      <c r="V86" s="10"/>
    </row>
    <row r="87" spans="1:22" x14ac:dyDescent="0.25">
      <c r="A87" s="196">
        <v>2427</v>
      </c>
      <c r="B87" s="44" t="s">
        <v>486</v>
      </c>
      <c r="C87" s="65" t="s">
        <v>487</v>
      </c>
      <c r="D87" s="55">
        <v>100</v>
      </c>
      <c r="E87" s="55" t="s">
        <v>22</v>
      </c>
      <c r="F87" s="12">
        <v>45833</v>
      </c>
      <c r="G87" s="143"/>
      <c r="H87" s="203">
        <v>45842</v>
      </c>
      <c r="I87" s="42">
        <v>1535.72</v>
      </c>
      <c r="J87" s="1">
        <v>30</v>
      </c>
      <c r="K87" s="2">
        <f>I87/J87</f>
        <v>51.190666666666665</v>
      </c>
      <c r="L87" s="1">
        <v>0</v>
      </c>
      <c r="M87" s="1">
        <v>4</v>
      </c>
      <c r="N87" s="1">
        <v>0</v>
      </c>
      <c r="O87" s="1">
        <v>0</v>
      </c>
      <c r="P87" s="192">
        <f>L87+M87+N87+O87</f>
        <v>4</v>
      </c>
      <c r="Q87" s="42">
        <f>K87*50%*L87</f>
        <v>0</v>
      </c>
      <c r="R87" s="42">
        <f>K87*60%*M87</f>
        <v>122.85759999999999</v>
      </c>
      <c r="S87" s="42">
        <f>K87*60%*N87</f>
        <v>0</v>
      </c>
      <c r="T87" s="42">
        <f>K87*75%*O87</f>
        <v>0</v>
      </c>
      <c r="U87" s="42">
        <f>S87+T87</f>
        <v>0</v>
      </c>
      <c r="V87" s="42">
        <f>K87*(M87+O87+L87+N87)*100%</f>
        <v>204.76266666666666</v>
      </c>
    </row>
    <row r="88" spans="1:22" x14ac:dyDescent="0.25">
      <c r="A88" s="195">
        <v>2427</v>
      </c>
      <c r="B88" s="9" t="s">
        <v>485</v>
      </c>
      <c r="C88" s="51"/>
      <c r="D88" s="56"/>
      <c r="E88" s="56"/>
      <c r="F88" s="142"/>
      <c r="G88" s="142"/>
      <c r="H88" s="52"/>
      <c r="I88" s="53"/>
      <c r="J88" s="52"/>
      <c r="K88" s="53"/>
      <c r="L88" s="52"/>
      <c r="M88" s="52"/>
      <c r="N88" s="52"/>
      <c r="O88" s="52"/>
      <c r="P88" s="192">
        <f>L88+M88+N88+O88</f>
        <v>0</v>
      </c>
      <c r="Q88" s="10"/>
      <c r="R88" s="10"/>
      <c r="S88" s="10"/>
      <c r="T88" s="10"/>
      <c r="U88" s="11">
        <f>SUM(U87)</f>
        <v>0</v>
      </c>
      <c r="V88" s="10"/>
    </row>
    <row r="89" spans="1:22" x14ac:dyDescent="0.25">
      <c r="A89" s="196">
        <v>2516</v>
      </c>
      <c r="B89" s="44" t="s">
        <v>481</v>
      </c>
      <c r="C89" s="65" t="s">
        <v>482</v>
      </c>
      <c r="D89" s="55">
        <v>100</v>
      </c>
      <c r="E89" s="55" t="s">
        <v>22</v>
      </c>
      <c r="F89" s="12">
        <v>45831</v>
      </c>
      <c r="G89" s="143"/>
      <c r="H89" s="203">
        <v>45841</v>
      </c>
      <c r="I89" s="42">
        <v>1381.34</v>
      </c>
      <c r="J89" s="1">
        <v>30</v>
      </c>
      <c r="K89" s="2">
        <f>I89/J89</f>
        <v>46.044666666666664</v>
      </c>
      <c r="L89" s="1">
        <v>0</v>
      </c>
      <c r="M89" s="1">
        <v>3</v>
      </c>
      <c r="N89" s="1">
        <v>0</v>
      </c>
      <c r="O89" s="1">
        <v>0</v>
      </c>
      <c r="P89" s="192">
        <f t="shared" si="4"/>
        <v>3</v>
      </c>
      <c r="Q89" s="42">
        <f>K89*50%*L89</f>
        <v>0</v>
      </c>
      <c r="R89" s="42">
        <f>K89*60%*M89</f>
        <v>82.880399999999995</v>
      </c>
      <c r="S89" s="42">
        <f>K89*60%*N89</f>
        <v>0</v>
      </c>
      <c r="T89" s="42">
        <f>K89*75%*O89</f>
        <v>0</v>
      </c>
      <c r="U89" s="42">
        <f>S89+T89</f>
        <v>0</v>
      </c>
      <c r="V89" s="42">
        <f>K89*(M89+O89+L89+N89)*100%</f>
        <v>138.13399999999999</v>
      </c>
    </row>
    <row r="90" spans="1:22" x14ac:dyDescent="0.25">
      <c r="A90" s="195">
        <v>2516</v>
      </c>
      <c r="B90" s="9" t="s">
        <v>480</v>
      </c>
      <c r="C90" s="51"/>
      <c r="D90" s="56"/>
      <c r="E90" s="56"/>
      <c r="F90" s="142"/>
      <c r="G90" s="142"/>
      <c r="H90" s="52"/>
      <c r="I90" s="53"/>
      <c r="J90" s="52"/>
      <c r="K90" s="53"/>
      <c r="L90" s="52"/>
      <c r="M90" s="52"/>
      <c r="N90" s="52"/>
      <c r="O90" s="52"/>
      <c r="P90" s="192">
        <f t="shared" si="4"/>
        <v>0</v>
      </c>
      <c r="Q90" s="10"/>
      <c r="R90" s="10"/>
      <c r="S90" s="10"/>
      <c r="T90" s="10"/>
      <c r="U90" s="11">
        <f>SUM(U89)</f>
        <v>0</v>
      </c>
      <c r="V90" s="10"/>
    </row>
    <row r="91" spans="1:22" x14ac:dyDescent="0.25">
      <c r="A91" s="196">
        <v>2541</v>
      </c>
      <c r="B91" s="44" t="s">
        <v>557</v>
      </c>
      <c r="C91" s="65" t="s">
        <v>558</v>
      </c>
      <c r="D91" s="55">
        <v>100</v>
      </c>
      <c r="E91" s="55" t="s">
        <v>22</v>
      </c>
      <c r="F91" s="12">
        <v>45869</v>
      </c>
      <c r="G91" s="143"/>
      <c r="H91" s="203"/>
      <c r="I91" s="42">
        <v>1597.18</v>
      </c>
      <c r="J91" s="1">
        <v>30</v>
      </c>
      <c r="K91" s="2">
        <f>I91/J91</f>
        <v>53.239333333333335</v>
      </c>
      <c r="L91" s="1">
        <v>1</v>
      </c>
      <c r="M91" s="1">
        <v>0</v>
      </c>
      <c r="N91" s="1">
        <v>0</v>
      </c>
      <c r="O91" s="1">
        <v>0</v>
      </c>
      <c r="P91" s="192">
        <f>L91+M91+N91+O91</f>
        <v>1</v>
      </c>
      <c r="Q91" s="42">
        <f>K91*50%*L91</f>
        <v>26.619666666666667</v>
      </c>
      <c r="R91" s="42">
        <f>K91*60%*M91</f>
        <v>0</v>
      </c>
      <c r="S91" s="42">
        <f>K91*60%*N91</f>
        <v>0</v>
      </c>
      <c r="T91" s="42">
        <f>K91*75%*O91</f>
        <v>0</v>
      </c>
      <c r="U91" s="42">
        <f>S91+T91</f>
        <v>0</v>
      </c>
      <c r="V91" s="42">
        <f>K91*(M91+O91+L91+N91)*100%</f>
        <v>53.239333333333335</v>
      </c>
    </row>
    <row r="92" spans="1:22" x14ac:dyDescent="0.25">
      <c r="A92" s="195">
        <v>2541</v>
      </c>
      <c r="B92" s="9" t="s">
        <v>556</v>
      </c>
      <c r="C92" s="51"/>
      <c r="D92" s="56"/>
      <c r="E92" s="56"/>
      <c r="F92" s="142"/>
      <c r="G92" s="142"/>
      <c r="H92" s="52"/>
      <c r="I92" s="53"/>
      <c r="J92" s="52"/>
      <c r="K92" s="53"/>
      <c r="L92" s="52"/>
      <c r="M92" s="52"/>
      <c r="N92" s="52"/>
      <c r="O92" s="52"/>
      <c r="P92" s="192">
        <f>L92+M92+N92+O92</f>
        <v>0</v>
      </c>
      <c r="Q92" s="10"/>
      <c r="R92" s="10"/>
      <c r="S92" s="10"/>
      <c r="T92" s="10"/>
      <c r="U92" s="11">
        <f>SUM(U91)</f>
        <v>0</v>
      </c>
      <c r="V92" s="10"/>
    </row>
    <row r="93" spans="1:22" x14ac:dyDescent="0.25">
      <c r="A93" s="91"/>
      <c r="B93" s="14" t="s">
        <v>24</v>
      </c>
      <c r="C93" s="15"/>
      <c r="D93" s="57"/>
      <c r="E93" s="57"/>
      <c r="F93" s="145"/>
      <c r="G93" s="145"/>
      <c r="H93" s="67"/>
      <c r="I93" s="16"/>
      <c r="J93" s="17"/>
      <c r="K93" s="17"/>
      <c r="L93" s="17"/>
      <c r="M93" s="17"/>
      <c r="N93" s="17"/>
      <c r="O93" s="17"/>
      <c r="P93" s="18"/>
      <c r="Q93" s="16"/>
      <c r="R93" s="43"/>
      <c r="S93" s="43"/>
      <c r="T93" s="43"/>
      <c r="U93" s="43"/>
      <c r="V93" s="43"/>
    </row>
    <row r="94" spans="1:22" x14ac:dyDescent="0.25">
      <c r="A94" s="90">
        <v>2442</v>
      </c>
      <c r="B94" s="8" t="s">
        <v>82</v>
      </c>
      <c r="C94" s="65" t="s">
        <v>83</v>
      </c>
      <c r="D94" s="55"/>
      <c r="E94" s="55" t="s">
        <v>71</v>
      </c>
      <c r="F94" s="12">
        <v>45385</v>
      </c>
      <c r="G94" s="144">
        <v>45784</v>
      </c>
      <c r="H94" s="146" t="s">
        <v>340</v>
      </c>
      <c r="I94" s="19"/>
      <c r="J94" s="20"/>
      <c r="K94" s="20"/>
      <c r="L94" s="100" t="s">
        <v>470</v>
      </c>
      <c r="M94" s="86"/>
      <c r="N94" s="86"/>
      <c r="O94" s="86"/>
      <c r="P94" s="73"/>
      <c r="Q94" s="73"/>
      <c r="R94" s="73"/>
      <c r="S94" s="73"/>
      <c r="T94" s="73"/>
      <c r="U94" s="86"/>
      <c r="V94" s="74"/>
    </row>
    <row r="95" spans="1:22" x14ac:dyDescent="0.25">
      <c r="A95" s="195">
        <v>2442</v>
      </c>
      <c r="B95" s="9" t="s">
        <v>84</v>
      </c>
      <c r="C95" s="51"/>
      <c r="D95" s="56"/>
      <c r="E95" s="56"/>
      <c r="F95" s="142"/>
      <c r="G95" s="142"/>
      <c r="H95" s="52"/>
      <c r="I95" s="53"/>
      <c r="J95" s="52"/>
      <c r="K95" s="53"/>
      <c r="L95" s="52"/>
      <c r="M95" s="52"/>
      <c r="N95" s="52"/>
      <c r="O95" s="52"/>
      <c r="P95" s="192"/>
      <c r="Q95" s="10"/>
      <c r="R95" s="10"/>
      <c r="S95" s="10"/>
      <c r="T95" s="10"/>
      <c r="U95" s="11"/>
      <c r="V95" s="10"/>
    </row>
    <row r="96" spans="1:22" x14ac:dyDescent="0.25">
      <c r="A96" s="90">
        <v>2149</v>
      </c>
      <c r="B96" s="8" t="s">
        <v>517</v>
      </c>
      <c r="C96" s="65"/>
      <c r="D96" s="55"/>
      <c r="E96" s="55" t="s">
        <v>71</v>
      </c>
      <c r="F96" s="12">
        <v>45786</v>
      </c>
      <c r="G96" s="144"/>
      <c r="H96" s="146">
        <v>45869</v>
      </c>
      <c r="I96" s="19"/>
      <c r="J96" s="20"/>
      <c r="K96" s="20"/>
      <c r="L96" s="100" t="s">
        <v>522</v>
      </c>
      <c r="M96" s="86"/>
      <c r="N96" s="86"/>
      <c r="O96" s="86"/>
      <c r="P96" s="73"/>
      <c r="Q96" s="73"/>
      <c r="R96" s="73"/>
      <c r="S96" s="73"/>
      <c r="T96" s="73"/>
      <c r="U96" s="86"/>
      <c r="V96" s="74"/>
    </row>
    <row r="97" spans="1:22" x14ac:dyDescent="0.25">
      <c r="A97" s="195">
        <v>2149</v>
      </c>
      <c r="B97" s="9" t="s">
        <v>517</v>
      </c>
      <c r="C97" s="51"/>
      <c r="D97" s="56"/>
      <c r="E97" s="56"/>
      <c r="F97" s="142"/>
      <c r="G97" s="142"/>
      <c r="H97" s="52"/>
      <c r="I97" s="53"/>
      <c r="J97" s="52"/>
      <c r="K97" s="53"/>
      <c r="L97" s="52"/>
      <c r="M97" s="52"/>
      <c r="N97" s="52"/>
      <c r="O97" s="52"/>
      <c r="P97" s="192"/>
      <c r="Q97" s="10"/>
      <c r="R97" s="10"/>
      <c r="S97" s="10"/>
      <c r="T97" s="10"/>
      <c r="U97" s="11"/>
      <c r="V97" s="10"/>
    </row>
    <row r="98" spans="1:22" ht="15.75" thickBot="1" x14ac:dyDescent="0.3">
      <c r="A98" s="87"/>
      <c r="C98" s="23"/>
      <c r="D98" s="58"/>
      <c r="F98" s="23"/>
      <c r="G98" s="23"/>
      <c r="H98" s="23"/>
      <c r="I98" s="72"/>
      <c r="J98" s="23"/>
      <c r="K98" s="23"/>
      <c r="L98" s="23"/>
      <c r="M98" s="23"/>
      <c r="N98" s="23"/>
      <c r="O98" s="23"/>
      <c r="P98" s="23"/>
      <c r="Q98" s="72"/>
      <c r="R98" s="72"/>
      <c r="S98" s="72"/>
      <c r="T98" s="72"/>
      <c r="U98" s="72"/>
      <c r="V98" s="72"/>
    </row>
    <row r="99" spans="1:22" ht="15.75" thickBot="1" x14ac:dyDescent="0.3">
      <c r="A99" s="87"/>
      <c r="C99" s="23"/>
      <c r="D99" s="58"/>
      <c r="E99" s="23"/>
      <c r="F99" s="23"/>
      <c r="G99" s="23"/>
      <c r="H99" s="160" t="s">
        <v>25</v>
      </c>
      <c r="I99" s="161"/>
      <c r="J99" s="101"/>
      <c r="K99" s="102"/>
      <c r="L99" s="103"/>
      <c r="M99" s="104"/>
      <c r="N99" s="38"/>
      <c r="O99" s="38"/>
      <c r="P99" s="105"/>
      <c r="Q99" s="106"/>
      <c r="R99" s="107"/>
      <c r="S99" s="108"/>
      <c r="T99" s="108"/>
      <c r="U99" s="25"/>
      <c r="V99" s="109"/>
    </row>
    <row r="100" spans="1:22" x14ac:dyDescent="0.25">
      <c r="A100" s="93"/>
      <c r="B100" s="46"/>
      <c r="C100" s="46" t="s">
        <v>26</v>
      </c>
      <c r="D100" s="59"/>
      <c r="E100" s="46"/>
      <c r="F100" s="46"/>
      <c r="G100" s="47"/>
      <c r="H100" s="162"/>
      <c r="I100" s="163"/>
      <c r="J100" s="79" t="s">
        <v>27</v>
      </c>
      <c r="K100" s="110"/>
      <c r="L100" s="111"/>
      <c r="M100" s="110"/>
      <c r="N100" s="111"/>
      <c r="O100" s="111"/>
      <c r="P100" s="112"/>
      <c r="Q100" s="113"/>
      <c r="R100" s="110"/>
      <c r="S100" s="113"/>
      <c r="T100" s="114"/>
      <c r="U100" s="45"/>
      <c r="V100" s="115"/>
    </row>
    <row r="101" spans="1:22" x14ac:dyDescent="0.25">
      <c r="A101" s="94"/>
      <c r="B101" s="27"/>
      <c r="C101" s="27" t="s">
        <v>28</v>
      </c>
      <c r="D101" s="60"/>
      <c r="E101" s="28"/>
      <c r="F101" s="27"/>
      <c r="G101" s="48"/>
      <c r="H101" s="164" t="s">
        <v>29</v>
      </c>
      <c r="I101" s="165"/>
      <c r="J101" s="117" t="s">
        <v>30</v>
      </c>
      <c r="K101" s="116"/>
      <c r="L101" s="118"/>
      <c r="M101" s="116"/>
      <c r="N101" s="118"/>
      <c r="O101" s="118"/>
      <c r="P101" s="119"/>
      <c r="Q101" s="120"/>
      <c r="R101" s="116"/>
      <c r="S101" s="120"/>
      <c r="T101" s="121"/>
      <c r="U101" s="29"/>
      <c r="V101" s="122"/>
    </row>
    <row r="102" spans="1:22" ht="15.75" thickBot="1" x14ac:dyDescent="0.3">
      <c r="A102" s="95"/>
      <c r="B102" s="30"/>
      <c r="C102" s="30" t="s">
        <v>31</v>
      </c>
      <c r="D102" s="61"/>
      <c r="E102" s="30"/>
      <c r="F102" s="30"/>
      <c r="G102" s="49"/>
      <c r="H102" s="166"/>
      <c r="I102" s="167"/>
      <c r="J102" s="82" t="s">
        <v>32</v>
      </c>
      <c r="K102" s="123"/>
      <c r="L102" s="124"/>
      <c r="M102" s="123"/>
      <c r="N102" s="124"/>
      <c r="O102" s="124"/>
      <c r="P102" s="125"/>
      <c r="Q102" s="123"/>
      <c r="R102" s="123"/>
      <c r="S102" s="123"/>
      <c r="T102" s="126"/>
      <c r="U102" s="31"/>
      <c r="V102" s="127"/>
    </row>
    <row r="103" spans="1:22" x14ac:dyDescent="0.25">
      <c r="A103" s="156"/>
      <c r="B103" s="157"/>
      <c r="C103" s="157" t="s">
        <v>33</v>
      </c>
      <c r="D103" s="158"/>
      <c r="E103" s="157"/>
      <c r="F103" s="157"/>
      <c r="G103" s="159"/>
      <c r="H103" s="168" t="s">
        <v>34</v>
      </c>
      <c r="I103" s="169"/>
      <c r="J103" s="129"/>
      <c r="K103" s="129"/>
      <c r="L103" s="129"/>
      <c r="M103" s="129"/>
      <c r="N103" s="129"/>
      <c r="O103" s="129"/>
      <c r="P103" s="130"/>
      <c r="Q103" s="128"/>
      <c r="R103" s="128"/>
      <c r="S103" s="128"/>
      <c r="T103" s="131"/>
      <c r="U103" s="32"/>
      <c r="V103" s="132"/>
    </row>
    <row r="104" spans="1:22" ht="15.75" thickBot="1" x14ac:dyDescent="0.3">
      <c r="A104" s="96"/>
      <c r="B104" s="201"/>
      <c r="C104" s="76" t="s">
        <v>35</v>
      </c>
      <c r="D104" s="77"/>
      <c r="E104" s="76"/>
      <c r="F104" s="76"/>
      <c r="G104" s="78"/>
      <c r="H104" s="170" t="s">
        <v>36</v>
      </c>
      <c r="I104" s="171"/>
      <c r="J104" s="134"/>
      <c r="K104" s="134"/>
      <c r="L104" s="134"/>
      <c r="M104" s="134"/>
      <c r="N104" s="134"/>
      <c r="O104" s="134"/>
      <c r="P104" s="135"/>
      <c r="Q104" s="133"/>
      <c r="R104" s="133"/>
      <c r="S104" s="133"/>
      <c r="T104" s="136"/>
      <c r="U104" s="33"/>
      <c r="V104" s="137"/>
    </row>
    <row r="105" spans="1:22" ht="15.75" thickBot="1" x14ac:dyDescent="0.3">
      <c r="A105" s="97"/>
      <c r="B105" s="34"/>
      <c r="C105" s="34" t="s">
        <v>37</v>
      </c>
      <c r="D105" s="62"/>
      <c r="E105" s="34"/>
      <c r="F105" s="34"/>
      <c r="G105" s="50"/>
      <c r="H105" s="172" t="s">
        <v>38</v>
      </c>
      <c r="I105" s="165"/>
      <c r="J105" s="117" t="s">
        <v>30</v>
      </c>
      <c r="K105" s="116"/>
      <c r="L105" s="118"/>
      <c r="M105" s="116"/>
      <c r="N105" s="118"/>
      <c r="O105" s="118"/>
      <c r="P105" s="119"/>
      <c r="Q105" s="120"/>
      <c r="R105" s="116"/>
      <c r="S105" s="120"/>
      <c r="T105" s="121"/>
      <c r="U105" s="29"/>
      <c r="V105" s="122"/>
    </row>
    <row r="106" spans="1:22" ht="15.75" thickBot="1" x14ac:dyDescent="0.3">
      <c r="A106" s="98"/>
      <c r="B106" s="35" t="s">
        <v>39</v>
      </c>
      <c r="C106" s="36"/>
      <c r="D106" s="63"/>
      <c r="E106" s="36"/>
      <c r="F106" s="36"/>
      <c r="G106" s="37"/>
      <c r="H106" s="173"/>
      <c r="I106" s="174"/>
      <c r="J106" s="80" t="s">
        <v>40</v>
      </c>
      <c r="K106" s="104"/>
      <c r="L106" s="103"/>
      <c r="M106" s="104"/>
      <c r="N106" s="103"/>
      <c r="O106" s="103"/>
      <c r="P106" s="138"/>
      <c r="Q106" s="104"/>
      <c r="R106" s="104"/>
      <c r="S106" s="104"/>
      <c r="T106" s="139"/>
      <c r="U106" s="26"/>
      <c r="V106" s="140"/>
    </row>
    <row r="107" spans="1:22" ht="15.75" thickBot="1" x14ac:dyDescent="0.3">
      <c r="A107" s="148"/>
      <c r="B107" s="152" t="s">
        <v>57</v>
      </c>
      <c r="C107" s="149"/>
      <c r="D107" s="150"/>
      <c r="E107" s="149"/>
      <c r="F107" s="149"/>
      <c r="G107" s="151"/>
      <c r="H107" s="173"/>
      <c r="I107" s="174"/>
      <c r="J107" s="80" t="s">
        <v>41</v>
      </c>
      <c r="K107" s="104"/>
      <c r="L107" s="103"/>
      <c r="M107" s="104"/>
      <c r="N107" s="103"/>
      <c r="O107" s="103"/>
      <c r="P107" s="138"/>
      <c r="Q107" s="104"/>
      <c r="R107" s="104"/>
      <c r="S107" s="104"/>
      <c r="T107" s="139"/>
      <c r="U107" s="26"/>
      <c r="V107" s="140"/>
    </row>
    <row r="108" spans="1:22" ht="15.75" thickBot="1" x14ac:dyDescent="0.3">
      <c r="A108" s="290" t="s">
        <v>123</v>
      </c>
      <c r="B108" s="291"/>
      <c r="C108" s="291"/>
      <c r="D108" s="291"/>
      <c r="E108" s="291"/>
      <c r="F108" s="291"/>
      <c r="G108" s="292"/>
      <c r="H108" s="166"/>
      <c r="I108" s="167"/>
      <c r="J108" s="82" t="s">
        <v>42</v>
      </c>
      <c r="K108" s="123"/>
      <c r="L108" s="124"/>
      <c r="M108" s="123"/>
      <c r="N108" s="124"/>
      <c r="O108" s="124"/>
      <c r="P108" s="125"/>
      <c r="Q108" s="123"/>
      <c r="R108" s="123"/>
      <c r="S108" s="123"/>
      <c r="T108" s="126"/>
      <c r="U108" s="31"/>
      <c r="V108" s="127"/>
    </row>
    <row r="109" spans="1:22" x14ac:dyDescent="0.25">
      <c r="A109" s="87"/>
      <c r="C109" s="23"/>
      <c r="D109" s="58"/>
      <c r="E109" s="23"/>
      <c r="F109" s="23"/>
      <c r="G109" s="23"/>
      <c r="H109" s="172" t="s">
        <v>43</v>
      </c>
      <c r="I109" s="165"/>
      <c r="J109" s="117" t="s">
        <v>44</v>
      </c>
      <c r="K109" s="116"/>
      <c r="L109" s="118"/>
      <c r="M109" s="116"/>
      <c r="N109" s="118"/>
      <c r="O109" s="118"/>
      <c r="P109" s="119"/>
      <c r="Q109" s="120"/>
      <c r="R109" s="116"/>
      <c r="S109" s="120"/>
      <c r="T109" s="121"/>
      <c r="U109" s="29"/>
      <c r="V109" s="122"/>
    </row>
    <row r="110" spans="1:22" x14ac:dyDescent="0.25">
      <c r="A110" s="99"/>
      <c r="B110" s="38"/>
      <c r="C110" s="39"/>
      <c r="D110" s="64"/>
      <c r="E110" s="24"/>
      <c r="F110" s="71"/>
      <c r="G110" s="71"/>
      <c r="H110" s="173"/>
      <c r="I110" s="174"/>
      <c r="J110" s="80" t="s">
        <v>45</v>
      </c>
      <c r="K110" s="104"/>
      <c r="L110" s="103"/>
      <c r="M110" s="104"/>
      <c r="N110" s="103"/>
      <c r="O110" s="103"/>
      <c r="P110" s="138"/>
      <c r="Q110" s="104"/>
      <c r="R110" s="104"/>
      <c r="S110" s="104"/>
      <c r="T110" s="139"/>
      <c r="U110" s="26"/>
      <c r="V110" s="140"/>
    </row>
    <row r="111" spans="1:22" x14ac:dyDescent="0.25">
      <c r="A111" s="87"/>
      <c r="C111" s="23"/>
      <c r="D111" s="58"/>
      <c r="E111" s="23"/>
      <c r="F111" s="23"/>
      <c r="G111" s="23"/>
      <c r="H111" s="173"/>
      <c r="I111" s="174"/>
      <c r="J111" s="80" t="s">
        <v>46</v>
      </c>
      <c r="K111" s="104"/>
      <c r="L111" s="103"/>
      <c r="M111" s="104"/>
      <c r="N111" s="103"/>
      <c r="O111" s="103"/>
      <c r="P111" s="138"/>
      <c r="Q111" s="104"/>
      <c r="R111" s="104"/>
      <c r="S111" s="104"/>
      <c r="T111" s="139"/>
      <c r="U111" s="26"/>
      <c r="V111" s="140"/>
    </row>
    <row r="112" spans="1:22" ht="15.75" thickBot="1" x14ac:dyDescent="0.3">
      <c r="A112" s="87"/>
      <c r="C112" s="23"/>
      <c r="D112" s="58"/>
      <c r="E112" s="23"/>
      <c r="F112" s="23"/>
      <c r="G112" s="23"/>
      <c r="H112" s="175"/>
      <c r="I112" s="176"/>
      <c r="J112" s="82" t="s">
        <v>47</v>
      </c>
      <c r="K112" s="123"/>
      <c r="L112" s="124"/>
      <c r="M112" s="123"/>
      <c r="N112" s="124"/>
      <c r="O112" s="124"/>
      <c r="P112" s="125"/>
      <c r="Q112" s="123"/>
      <c r="R112" s="123"/>
      <c r="S112" s="123"/>
      <c r="T112" s="126"/>
      <c r="U112" s="31"/>
      <c r="V112" s="127"/>
    </row>
  </sheetData>
  <mergeCells count="1">
    <mergeCell ref="A108:G108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1"/>
  <sheetViews>
    <sheetView zoomScaleNormal="100" workbookViewId="0">
      <selection activeCell="A11" sqref="A11:IV12"/>
    </sheetView>
  </sheetViews>
  <sheetFormatPr baseColWidth="10" defaultRowHeight="15" x14ac:dyDescent="0.25"/>
  <cols>
    <col min="1" max="1" width="4.140625" customWidth="1"/>
    <col min="2" max="2" width="19.85546875" customWidth="1"/>
    <col min="3" max="3" width="11.42578125" customWidth="1"/>
    <col min="4" max="4" width="3.5703125" style="23" customWidth="1"/>
    <col min="5" max="5" width="2.85546875" customWidth="1"/>
    <col min="6" max="6" width="8.85546875" customWidth="1"/>
    <col min="7" max="7" width="11.42578125" customWidth="1"/>
    <col min="8" max="8" width="10.42578125" customWidth="1"/>
    <col min="9" max="9" width="8.85546875" customWidth="1"/>
    <col min="10" max="10" width="3.5703125" customWidth="1"/>
    <col min="11" max="11" width="5.14062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8" width="5.85546875" customWidth="1"/>
    <col min="19" max="19" width="5.42578125" customWidth="1"/>
    <col min="20" max="20" width="7" bestFit="1" customWidth="1"/>
    <col min="21" max="21" width="8.5703125" customWidth="1"/>
    <col min="22" max="22" width="7.42578125" customWidth="1"/>
  </cols>
  <sheetData>
    <row r="1" spans="1:24" x14ac:dyDescent="0.25">
      <c r="A1" s="87"/>
      <c r="B1" s="81" t="s">
        <v>563</v>
      </c>
      <c r="C1" s="4">
        <v>45901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4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4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4" ht="14.1" customHeight="1" x14ac:dyDescent="0.25">
      <c r="A4" s="89">
        <v>8</v>
      </c>
      <c r="B4" s="68" t="s">
        <v>512</v>
      </c>
      <c r="C4" s="226" t="s">
        <v>513</v>
      </c>
      <c r="D4" s="227" t="s">
        <v>50</v>
      </c>
      <c r="E4" s="205" t="s">
        <v>22</v>
      </c>
      <c r="F4" s="141">
        <v>45850</v>
      </c>
      <c r="G4" s="228"/>
      <c r="H4" s="147">
        <v>45961</v>
      </c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48</v>
      </c>
      <c r="R4" s="68"/>
      <c r="S4" s="68"/>
      <c r="T4" s="68"/>
      <c r="U4" s="85"/>
      <c r="V4" s="68"/>
    </row>
    <row r="5" spans="1:24" ht="14.1" customHeight="1" x14ac:dyDescent="0.25">
      <c r="A5" s="89">
        <v>8</v>
      </c>
      <c r="B5" s="68" t="s">
        <v>421</v>
      </c>
      <c r="C5" s="226" t="s">
        <v>422</v>
      </c>
      <c r="D5" s="227" t="s">
        <v>52</v>
      </c>
      <c r="E5" s="205" t="s">
        <v>22</v>
      </c>
      <c r="F5" s="141">
        <v>45796</v>
      </c>
      <c r="G5" s="228"/>
      <c r="H5" s="147" t="s">
        <v>565</v>
      </c>
      <c r="I5" s="229"/>
      <c r="J5" s="85"/>
      <c r="K5" s="230"/>
      <c r="L5" s="85"/>
      <c r="M5" s="85"/>
      <c r="N5" s="85"/>
      <c r="O5" s="85"/>
      <c r="P5" s="192">
        <f>L5+M5+N5+O5</f>
        <v>0</v>
      </c>
      <c r="Q5" s="83" t="s">
        <v>88</v>
      </c>
      <c r="R5" s="68"/>
      <c r="S5" s="68"/>
      <c r="T5" s="68"/>
      <c r="U5" s="85"/>
      <c r="V5" s="68"/>
    </row>
    <row r="6" spans="1:24" s="185" customFormat="1" ht="15" customHeight="1" x14ac:dyDescent="0.25">
      <c r="A6" s="193" t="s">
        <v>423</v>
      </c>
      <c r="B6" s="177"/>
      <c r="C6" s="178"/>
      <c r="D6" s="179"/>
      <c r="E6" s="180"/>
      <c r="F6" s="194"/>
      <c r="G6" s="181"/>
      <c r="H6" s="194"/>
      <c r="I6" s="182"/>
      <c r="J6" s="183"/>
      <c r="K6" s="184"/>
      <c r="L6" s="183"/>
      <c r="M6" s="183"/>
      <c r="N6" s="183"/>
      <c r="O6" s="183"/>
      <c r="P6" s="192">
        <f>L6+M6+N6+O6</f>
        <v>0</v>
      </c>
      <c r="Q6" s="182"/>
      <c r="R6" s="182"/>
      <c r="S6" s="182"/>
      <c r="T6" s="182"/>
      <c r="U6" s="182"/>
      <c r="V6" s="182"/>
    </row>
    <row r="7" spans="1:24" x14ac:dyDescent="0.25">
      <c r="A7" s="195">
        <v>8</v>
      </c>
      <c r="B7" s="9" t="s">
        <v>489</v>
      </c>
      <c r="C7" s="51"/>
      <c r="D7" s="56"/>
      <c r="E7" s="56"/>
      <c r="F7" s="142"/>
      <c r="G7" s="142"/>
      <c r="H7" s="52"/>
      <c r="I7" s="53"/>
      <c r="J7" s="52"/>
      <c r="K7" s="53"/>
      <c r="L7" s="52"/>
      <c r="M7" s="52"/>
      <c r="N7" s="52"/>
      <c r="O7" s="52"/>
      <c r="P7" s="192"/>
      <c r="Q7" s="10"/>
      <c r="R7" s="10"/>
      <c r="S7" s="10"/>
      <c r="T7" s="10"/>
      <c r="U7" s="11"/>
      <c r="V7" s="10"/>
    </row>
    <row r="8" spans="1:24" ht="14.25" customHeight="1" x14ac:dyDescent="0.25">
      <c r="A8" s="90">
        <v>28</v>
      </c>
      <c r="B8" s="8" t="s">
        <v>397</v>
      </c>
      <c r="C8" s="65" t="s">
        <v>398</v>
      </c>
      <c r="D8" s="75" t="s">
        <v>399</v>
      </c>
      <c r="E8" s="55" t="s">
        <v>22</v>
      </c>
      <c r="F8" s="12">
        <v>45866</v>
      </c>
      <c r="G8" s="143">
        <v>45915</v>
      </c>
      <c r="H8" s="12" t="s">
        <v>622</v>
      </c>
      <c r="I8" s="208">
        <v>1477.48</v>
      </c>
      <c r="J8" s="1">
        <v>30</v>
      </c>
      <c r="K8" s="2">
        <f>I8/J8</f>
        <v>49.249333333333333</v>
      </c>
      <c r="L8" s="1">
        <v>0</v>
      </c>
      <c r="M8" s="1">
        <v>11</v>
      </c>
      <c r="N8" s="1">
        <v>5</v>
      </c>
      <c r="O8" s="1">
        <v>15</v>
      </c>
      <c r="P8" s="192">
        <f>L8+M8+N8+O8</f>
        <v>31</v>
      </c>
      <c r="Q8" s="42">
        <f>K8*50%*L8</f>
        <v>0</v>
      </c>
      <c r="R8" s="42">
        <f>K8*60%*M8</f>
        <v>325.04559999999998</v>
      </c>
      <c r="S8" s="42">
        <f>K8*60%*N8</f>
        <v>147.74799999999999</v>
      </c>
      <c r="T8" s="42">
        <f>K8*75%*O8</f>
        <v>554.05499999999995</v>
      </c>
      <c r="U8" s="42">
        <f>S8+T8</f>
        <v>701.80299999999988</v>
      </c>
      <c r="V8" s="42">
        <f>K8*(M8+O8+L8+N8)*100%</f>
        <v>1526.7293333333332</v>
      </c>
      <c r="W8" s="241"/>
      <c r="X8" s="241"/>
    </row>
    <row r="9" spans="1:24" x14ac:dyDescent="0.25">
      <c r="A9" s="193" t="s">
        <v>610</v>
      </c>
      <c r="B9" s="177"/>
      <c r="C9" s="178"/>
      <c r="D9" s="179"/>
      <c r="E9" s="180"/>
      <c r="F9" s="194"/>
      <c r="G9" s="181"/>
      <c r="H9" s="260"/>
      <c r="I9" s="260" t="s">
        <v>632</v>
      </c>
      <c r="J9" s="183"/>
      <c r="K9" s="184"/>
      <c r="L9" s="183"/>
      <c r="M9" s="183"/>
      <c r="N9" s="183"/>
      <c r="O9" s="183"/>
      <c r="P9" s="192">
        <f>L9+M9+N9+O9</f>
        <v>0</v>
      </c>
      <c r="Q9" s="182"/>
      <c r="R9" s="182"/>
      <c r="S9" s="182"/>
      <c r="T9" s="182"/>
      <c r="U9" s="182"/>
      <c r="V9" s="182"/>
    </row>
    <row r="10" spans="1:24" x14ac:dyDescent="0.25">
      <c r="A10" s="195">
        <v>28</v>
      </c>
      <c r="B10" s="9" t="s">
        <v>396</v>
      </c>
      <c r="C10" s="51"/>
      <c r="D10" s="56"/>
      <c r="E10" s="56"/>
      <c r="F10" s="142"/>
      <c r="G10" s="142"/>
      <c r="H10" s="52"/>
      <c r="I10" s="53"/>
      <c r="J10" s="52"/>
      <c r="K10" s="53"/>
      <c r="L10" s="52"/>
      <c r="M10" s="52"/>
      <c r="N10" s="52"/>
      <c r="O10" s="52"/>
      <c r="P10" s="192"/>
      <c r="Q10" s="10"/>
      <c r="R10" s="10"/>
      <c r="S10" s="10"/>
      <c r="T10" s="10"/>
      <c r="U10" s="11">
        <f>SUM(U8:U8)</f>
        <v>701.80299999999988</v>
      </c>
      <c r="V10" s="10"/>
    </row>
    <row r="11" spans="1:24" ht="14.25" customHeight="1" x14ac:dyDescent="0.25">
      <c r="A11" s="90">
        <v>585</v>
      </c>
      <c r="B11" s="8" t="s">
        <v>491</v>
      </c>
      <c r="C11" s="65" t="s">
        <v>492</v>
      </c>
      <c r="D11" s="75" t="s">
        <v>50</v>
      </c>
      <c r="E11" s="55" t="s">
        <v>22</v>
      </c>
      <c r="F11" s="12">
        <v>45834</v>
      </c>
      <c r="G11" s="143" t="s">
        <v>565</v>
      </c>
      <c r="H11" s="203">
        <v>45870</v>
      </c>
      <c r="I11" s="208">
        <v>1674.25</v>
      </c>
      <c r="J11" s="1">
        <v>30</v>
      </c>
      <c r="K11" s="2">
        <f>I11/J11</f>
        <v>55.80833333333333</v>
      </c>
      <c r="L11" s="1">
        <v>0</v>
      </c>
      <c r="M11" s="1">
        <v>0</v>
      </c>
      <c r="N11" s="1">
        <v>0</v>
      </c>
      <c r="O11" s="1">
        <v>1</v>
      </c>
      <c r="P11" s="192">
        <f>L11+M11+N11+O11</f>
        <v>1</v>
      </c>
      <c r="Q11" s="42">
        <f>K11*50%*L11</f>
        <v>0</v>
      </c>
      <c r="R11" s="42">
        <f>K11*60%*M11</f>
        <v>0</v>
      </c>
      <c r="S11" s="42">
        <f>K11*60%*N11</f>
        <v>0</v>
      </c>
      <c r="T11" s="42">
        <f>K11*75%*O11</f>
        <v>41.856249999999996</v>
      </c>
      <c r="U11" s="42">
        <f>S11+T11</f>
        <v>41.856249999999996</v>
      </c>
      <c r="V11" s="42">
        <f>K11*(M11+O11+L11+N11)*100%</f>
        <v>55.80833333333333</v>
      </c>
      <c r="W11" s="241"/>
    </row>
    <row r="12" spans="1:24" x14ac:dyDescent="0.25">
      <c r="A12" s="195">
        <v>585</v>
      </c>
      <c r="B12" s="9" t="s">
        <v>490</v>
      </c>
      <c r="C12" s="51"/>
      <c r="D12" s="56"/>
      <c r="E12" s="56"/>
      <c r="F12" s="142"/>
      <c r="G12" s="142"/>
      <c r="H12" s="52"/>
      <c r="I12" s="53"/>
      <c r="J12" s="52"/>
      <c r="K12" s="53"/>
      <c r="L12" s="52"/>
      <c r="M12" s="52"/>
      <c r="N12" s="52"/>
      <c r="O12" s="52"/>
      <c r="P12" s="192">
        <f>L12+M12+N12+O12</f>
        <v>0</v>
      </c>
      <c r="Q12" s="10"/>
      <c r="R12" s="10"/>
      <c r="S12" s="10"/>
      <c r="T12" s="10"/>
      <c r="U12" s="11">
        <f>SUM(U11)</f>
        <v>41.856249999999996</v>
      </c>
      <c r="V12" s="10"/>
    </row>
    <row r="13" spans="1:24" ht="14.1" customHeight="1" x14ac:dyDescent="0.25">
      <c r="A13" s="89">
        <v>717</v>
      </c>
      <c r="B13" s="68" t="s">
        <v>122</v>
      </c>
      <c r="C13" s="226" t="s">
        <v>56</v>
      </c>
      <c r="D13" s="227" t="s">
        <v>52</v>
      </c>
      <c r="E13" s="205" t="s">
        <v>22</v>
      </c>
      <c r="F13" s="141">
        <v>45767</v>
      </c>
      <c r="G13" s="228"/>
      <c r="H13" s="147">
        <v>45878</v>
      </c>
      <c r="I13" s="229"/>
      <c r="J13" s="85"/>
      <c r="K13" s="230"/>
      <c r="L13" s="85"/>
      <c r="M13" s="85"/>
      <c r="N13" s="85"/>
      <c r="O13" s="85"/>
      <c r="P13" s="192"/>
      <c r="Q13" s="83" t="s">
        <v>92</v>
      </c>
      <c r="R13" s="68"/>
      <c r="S13" s="68"/>
      <c r="T13" s="68"/>
      <c r="U13" s="85"/>
      <c r="V13" s="68"/>
    </row>
    <row r="14" spans="1:24" ht="14.1" customHeight="1" x14ac:dyDescent="0.25">
      <c r="A14" s="89">
        <v>717</v>
      </c>
      <c r="B14" s="68" t="s">
        <v>122</v>
      </c>
      <c r="C14" s="226" t="s">
        <v>56</v>
      </c>
      <c r="D14" s="227" t="s">
        <v>52</v>
      </c>
      <c r="E14" s="205" t="s">
        <v>22</v>
      </c>
      <c r="F14" s="141">
        <v>45879</v>
      </c>
      <c r="G14" s="228"/>
      <c r="H14" s="147">
        <v>45900</v>
      </c>
      <c r="I14" s="229"/>
      <c r="J14" s="85"/>
      <c r="K14" s="230"/>
      <c r="L14" s="85"/>
      <c r="M14" s="85"/>
      <c r="N14" s="85"/>
      <c r="O14" s="85"/>
      <c r="P14" s="192"/>
      <c r="Q14" s="83" t="s">
        <v>72</v>
      </c>
      <c r="R14" s="68"/>
      <c r="S14" s="68"/>
      <c r="T14" s="68"/>
      <c r="U14" s="85"/>
      <c r="V14" s="68"/>
    </row>
    <row r="15" spans="1:24" x14ac:dyDescent="0.25">
      <c r="A15" s="195">
        <v>717</v>
      </c>
      <c r="B15" s="9" t="s">
        <v>49</v>
      </c>
      <c r="C15" s="51"/>
      <c r="D15" s="56"/>
      <c r="E15" s="56"/>
      <c r="F15" s="142"/>
      <c r="G15" s="142"/>
      <c r="H15" s="52"/>
      <c r="I15" s="53"/>
      <c r="J15" s="52"/>
      <c r="K15" s="53"/>
      <c r="L15" s="52"/>
      <c r="M15" s="52"/>
      <c r="N15" s="52"/>
      <c r="O15" s="52"/>
      <c r="P15" s="192">
        <f t="shared" ref="P15:P31" si="0">L15+M15+N15+O15</f>
        <v>0</v>
      </c>
      <c r="Q15" s="10"/>
      <c r="R15" s="10"/>
      <c r="S15" s="10"/>
      <c r="T15" s="10"/>
      <c r="U15" s="11">
        <f>SUM(U13:U14)</f>
        <v>0</v>
      </c>
      <c r="V15" s="10"/>
    </row>
    <row r="16" spans="1:24" ht="14.25" customHeight="1" x14ac:dyDescent="0.25">
      <c r="A16" s="90">
        <v>1378</v>
      </c>
      <c r="B16" s="8" t="s">
        <v>543</v>
      </c>
      <c r="C16" s="65" t="s">
        <v>544</v>
      </c>
      <c r="D16" s="75" t="s">
        <v>52</v>
      </c>
      <c r="E16" s="55" t="s">
        <v>22</v>
      </c>
      <c r="F16" s="12">
        <v>45866</v>
      </c>
      <c r="G16" s="143">
        <v>45901</v>
      </c>
      <c r="H16" s="12" t="s">
        <v>580</v>
      </c>
      <c r="I16" s="208">
        <v>1381.34</v>
      </c>
      <c r="J16" s="1">
        <v>30</v>
      </c>
      <c r="K16" s="2">
        <f>I16/J16</f>
        <v>46.044666666666664</v>
      </c>
      <c r="L16" s="1">
        <v>0</v>
      </c>
      <c r="M16" s="1">
        <v>11</v>
      </c>
      <c r="N16" s="1">
        <v>5</v>
      </c>
      <c r="O16" s="1">
        <v>15</v>
      </c>
      <c r="P16" s="192">
        <f>L16+M16+N16+O16</f>
        <v>31</v>
      </c>
      <c r="Q16" s="42">
        <f>K16*50%*L16</f>
        <v>0</v>
      </c>
      <c r="R16" s="42">
        <f>K16*60%*M16</f>
        <v>303.89479999999998</v>
      </c>
      <c r="S16" s="42">
        <f>K16*60%*N16</f>
        <v>138.13399999999999</v>
      </c>
      <c r="T16" s="42">
        <f>K16*75%*O16</f>
        <v>518.00249999999994</v>
      </c>
      <c r="U16" s="42">
        <f>S16+T16</f>
        <v>656.13649999999996</v>
      </c>
      <c r="V16" s="42">
        <f>K16*(M16+O16+L16+N16)*100%</f>
        <v>1427.3846666666666</v>
      </c>
    </row>
    <row r="17" spans="1:22" x14ac:dyDescent="0.25">
      <c r="A17" s="90">
        <v>1378</v>
      </c>
      <c r="B17" s="8" t="s">
        <v>226</v>
      </c>
      <c r="C17" s="65" t="s">
        <v>227</v>
      </c>
      <c r="D17" s="75" t="s">
        <v>52</v>
      </c>
      <c r="E17" s="55" t="s">
        <v>22</v>
      </c>
      <c r="F17" s="12">
        <v>45698</v>
      </c>
      <c r="G17" s="143">
        <v>45908</v>
      </c>
      <c r="H17" s="12" t="s">
        <v>600</v>
      </c>
      <c r="I17" s="208">
        <v>1381.5</v>
      </c>
      <c r="J17" s="1">
        <v>30</v>
      </c>
      <c r="K17" s="2">
        <f>I17/J17</f>
        <v>46.05</v>
      </c>
      <c r="L17" s="1">
        <v>0</v>
      </c>
      <c r="M17" s="1">
        <v>0</v>
      </c>
      <c r="N17" s="1">
        <v>0</v>
      </c>
      <c r="O17" s="1">
        <v>31</v>
      </c>
      <c r="P17" s="192">
        <f t="shared" si="0"/>
        <v>31</v>
      </c>
      <c r="Q17" s="42">
        <f>K17*50%*L17</f>
        <v>0</v>
      </c>
      <c r="R17" s="42">
        <f>K17*60%*M17</f>
        <v>0</v>
      </c>
      <c r="S17" s="42">
        <f>K17*60%*N17</f>
        <v>0</v>
      </c>
      <c r="T17" s="42">
        <f>K17*75%*O17</f>
        <v>1070.6624999999999</v>
      </c>
      <c r="U17" s="42">
        <f>S17+T17</f>
        <v>1070.6624999999999</v>
      </c>
      <c r="V17" s="42">
        <f>K17*(M17+O17+L17+N17)*100%</f>
        <v>1427.55</v>
      </c>
    </row>
    <row r="18" spans="1:22" x14ac:dyDescent="0.25">
      <c r="A18" s="193" t="s">
        <v>498</v>
      </c>
      <c r="B18" s="177"/>
      <c r="C18" s="178"/>
      <c r="D18" s="179"/>
      <c r="E18" s="180"/>
      <c r="F18" s="194"/>
      <c r="G18" s="181"/>
      <c r="H18" s="194"/>
      <c r="I18" s="220"/>
      <c r="J18" s="183"/>
      <c r="K18" s="184"/>
      <c r="L18" s="183"/>
      <c r="M18" s="183"/>
      <c r="N18" s="183"/>
      <c r="O18" s="183"/>
      <c r="P18" s="192">
        <f>L18+M18+N18+O18</f>
        <v>0</v>
      </c>
      <c r="Q18" s="182"/>
      <c r="R18" s="182"/>
      <c r="S18" s="182"/>
      <c r="T18" s="182"/>
      <c r="U18" s="182"/>
      <c r="V18" s="182"/>
    </row>
    <row r="19" spans="1:22" x14ac:dyDescent="0.25">
      <c r="A19" s="90">
        <v>1378</v>
      </c>
      <c r="B19" s="8" t="s">
        <v>69</v>
      </c>
      <c r="C19" s="65" t="s">
        <v>70</v>
      </c>
      <c r="D19" s="75" t="s">
        <v>50</v>
      </c>
      <c r="E19" s="55" t="s">
        <v>22</v>
      </c>
      <c r="F19" s="12">
        <v>45768</v>
      </c>
      <c r="G19" s="143"/>
      <c r="H19" s="203">
        <v>45873</v>
      </c>
      <c r="I19" s="208">
        <v>1381.23</v>
      </c>
      <c r="J19" s="1">
        <v>30</v>
      </c>
      <c r="K19" s="2">
        <f>I19/J19</f>
        <v>46.041000000000004</v>
      </c>
      <c r="L19" s="1">
        <v>0</v>
      </c>
      <c r="M19" s="1">
        <v>0</v>
      </c>
      <c r="N19" s="1">
        <v>0</v>
      </c>
      <c r="O19" s="1">
        <v>4</v>
      </c>
      <c r="P19" s="192">
        <f>L19+M19+N19+O19</f>
        <v>4</v>
      </c>
      <c r="Q19" s="42">
        <f>K19*50%*L19</f>
        <v>0</v>
      </c>
      <c r="R19" s="42">
        <f>K19*60%*M19</f>
        <v>0</v>
      </c>
      <c r="S19" s="42">
        <f>K19*60%*N19</f>
        <v>0</v>
      </c>
      <c r="T19" s="42">
        <f>K19*75%*O19</f>
        <v>138.12300000000002</v>
      </c>
      <c r="U19" s="42">
        <f>S19+T19</f>
        <v>138.12300000000002</v>
      </c>
      <c r="V19" s="42">
        <f>K19*(M19+O19+L19+N19)*100%</f>
        <v>184.16400000000002</v>
      </c>
    </row>
    <row r="20" spans="1:22" x14ac:dyDescent="0.25">
      <c r="A20" s="193" t="s">
        <v>495</v>
      </c>
      <c r="B20" s="177"/>
      <c r="C20" s="178"/>
      <c r="D20" s="179"/>
      <c r="E20" s="180"/>
      <c r="F20" s="194"/>
      <c r="G20" s="181"/>
      <c r="H20" s="194"/>
      <c r="I20" s="261" t="s">
        <v>569</v>
      </c>
      <c r="J20" s="183"/>
      <c r="K20" s="184"/>
      <c r="L20" s="183"/>
      <c r="M20" s="183"/>
      <c r="N20" s="183"/>
      <c r="O20" s="183"/>
      <c r="P20" s="192">
        <f>L20+M20+N20+O20</f>
        <v>0</v>
      </c>
      <c r="Q20" s="182"/>
      <c r="R20" s="182"/>
      <c r="S20" s="182"/>
      <c r="T20" s="182"/>
      <c r="U20" s="182"/>
      <c r="V20" s="182"/>
    </row>
    <row r="21" spans="1:22" ht="14.25" customHeight="1" x14ac:dyDescent="0.25">
      <c r="A21" s="90">
        <v>1378</v>
      </c>
      <c r="B21" s="8" t="s">
        <v>545</v>
      </c>
      <c r="C21" s="65" t="s">
        <v>546</v>
      </c>
      <c r="D21" s="75" t="s">
        <v>52</v>
      </c>
      <c r="E21" s="243" t="s">
        <v>568</v>
      </c>
      <c r="F21" s="12">
        <v>45868</v>
      </c>
      <c r="G21" s="143"/>
      <c r="H21" s="203">
        <v>45873</v>
      </c>
      <c r="I21" s="208">
        <v>1381.34</v>
      </c>
      <c r="J21" s="1">
        <v>30</v>
      </c>
      <c r="K21" s="2">
        <f>I21/J21</f>
        <v>46.044666666666664</v>
      </c>
      <c r="L21" s="1">
        <v>0</v>
      </c>
      <c r="M21" s="1">
        <v>0</v>
      </c>
      <c r="N21" s="1">
        <v>0</v>
      </c>
      <c r="O21" s="1">
        <v>0</v>
      </c>
      <c r="P21" s="192">
        <f>L21+M21+N21+O21</f>
        <v>0</v>
      </c>
      <c r="Q21" s="42">
        <f>K21*50%*L21</f>
        <v>0</v>
      </c>
      <c r="R21" s="42">
        <f>K21*60%*M21</f>
        <v>0</v>
      </c>
      <c r="S21" s="42">
        <f>K21*60%*N21</f>
        <v>0</v>
      </c>
      <c r="T21" s="42">
        <f>K21*75%*O21</f>
        <v>0</v>
      </c>
      <c r="U21" s="42">
        <f>S21+T21</f>
        <v>0</v>
      </c>
      <c r="V21" s="42">
        <f>K21*(M21+O21+L21+N21)*100%</f>
        <v>0</v>
      </c>
    </row>
    <row r="22" spans="1:22" x14ac:dyDescent="0.25">
      <c r="A22" s="90">
        <v>1378</v>
      </c>
      <c r="B22" s="8" t="s">
        <v>321</v>
      </c>
      <c r="C22" s="65" t="s">
        <v>322</v>
      </c>
      <c r="D22" s="75" t="s">
        <v>50</v>
      </c>
      <c r="E22" s="55" t="s">
        <v>22</v>
      </c>
      <c r="F22" s="12">
        <v>45743</v>
      </c>
      <c r="G22" s="143">
        <v>45911</v>
      </c>
      <c r="H22" s="12" t="s">
        <v>607</v>
      </c>
      <c r="I22" s="208">
        <v>1381.5</v>
      </c>
      <c r="J22" s="1">
        <v>30</v>
      </c>
      <c r="K22" s="2">
        <f>I22/J22</f>
        <v>46.05</v>
      </c>
      <c r="L22" s="1">
        <v>0</v>
      </c>
      <c r="M22" s="1">
        <v>0</v>
      </c>
      <c r="N22" s="1">
        <v>0</v>
      </c>
      <c r="O22" s="1">
        <v>31</v>
      </c>
      <c r="P22" s="192">
        <f t="shared" si="0"/>
        <v>31</v>
      </c>
      <c r="Q22" s="42">
        <f>K22*50%*L22</f>
        <v>0</v>
      </c>
      <c r="R22" s="42">
        <f>K22*60%*M22</f>
        <v>0</v>
      </c>
      <c r="S22" s="42">
        <f>K22*60%*N22</f>
        <v>0</v>
      </c>
      <c r="T22" s="42">
        <f>K22*75%*O22</f>
        <v>1070.6624999999999</v>
      </c>
      <c r="U22" s="42">
        <f>S22+T22</f>
        <v>1070.6624999999999</v>
      </c>
      <c r="V22" s="42">
        <f>K22*(M22+O22+L22+N22)*100%</f>
        <v>1427.55</v>
      </c>
    </row>
    <row r="23" spans="1:22" x14ac:dyDescent="0.25">
      <c r="A23" s="193" t="s">
        <v>467</v>
      </c>
      <c r="B23" s="177"/>
      <c r="C23" s="178"/>
      <c r="D23" s="179"/>
      <c r="E23" s="180"/>
      <c r="F23" s="194"/>
      <c r="G23" s="181"/>
      <c r="H23" s="194"/>
      <c r="I23" s="182"/>
      <c r="J23" s="183"/>
      <c r="K23" s="184"/>
      <c r="L23" s="183"/>
      <c r="M23" s="183"/>
      <c r="N23" s="183"/>
      <c r="O23" s="183"/>
      <c r="P23" s="192">
        <f t="shared" si="0"/>
        <v>0</v>
      </c>
      <c r="Q23" s="182"/>
      <c r="R23" s="182"/>
      <c r="S23" s="182"/>
      <c r="T23" s="182"/>
      <c r="U23" s="182"/>
      <c r="V23" s="182"/>
    </row>
    <row r="24" spans="1:22" x14ac:dyDescent="0.25">
      <c r="A24" s="90">
        <v>1378</v>
      </c>
      <c r="B24" s="8" t="s">
        <v>124</v>
      </c>
      <c r="C24" s="65" t="s">
        <v>68</v>
      </c>
      <c r="D24" s="75" t="s">
        <v>50</v>
      </c>
      <c r="E24" s="55" t="s">
        <v>22</v>
      </c>
      <c r="F24" s="12">
        <v>45608</v>
      </c>
      <c r="G24" s="143">
        <v>45902</v>
      </c>
      <c r="H24" s="12" t="s">
        <v>549</v>
      </c>
      <c r="I24" s="186">
        <v>1323</v>
      </c>
      <c r="J24" s="1">
        <v>30</v>
      </c>
      <c r="K24" s="2">
        <f>I24/J24</f>
        <v>44.1</v>
      </c>
      <c r="L24" s="1">
        <v>0</v>
      </c>
      <c r="M24" s="1">
        <v>0</v>
      </c>
      <c r="N24" s="1">
        <v>0</v>
      </c>
      <c r="O24" s="1">
        <v>31</v>
      </c>
      <c r="P24" s="192">
        <f t="shared" si="0"/>
        <v>31</v>
      </c>
      <c r="Q24" s="42">
        <f>K24*50%*L24</f>
        <v>0</v>
      </c>
      <c r="R24" s="42">
        <f>K24*60%*M24</f>
        <v>0</v>
      </c>
      <c r="S24" s="42">
        <f>K24*60%*N24</f>
        <v>0</v>
      </c>
      <c r="T24" s="42">
        <f>K24*75%*O24</f>
        <v>1025.325</v>
      </c>
      <c r="U24" s="42">
        <f>S24+T24</f>
        <v>1025.325</v>
      </c>
      <c r="V24" s="42">
        <f>K24*(M24+O24+L24+N24)*100%</f>
        <v>1367.1000000000001</v>
      </c>
    </row>
    <row r="25" spans="1:22" x14ac:dyDescent="0.25">
      <c r="A25" s="193" t="s">
        <v>566</v>
      </c>
      <c r="B25" s="177"/>
      <c r="C25" s="178"/>
      <c r="D25" s="179"/>
      <c r="E25" s="180"/>
      <c r="F25" s="194"/>
      <c r="G25" s="181"/>
      <c r="H25" s="194"/>
      <c r="I25" s="220" t="s">
        <v>609</v>
      </c>
      <c r="J25" s="183"/>
      <c r="K25" s="184"/>
      <c r="L25" s="183"/>
      <c r="M25" s="183"/>
      <c r="N25" s="183"/>
      <c r="O25" s="183"/>
      <c r="P25" s="192">
        <f>L25+M25+N25+O25</f>
        <v>0</v>
      </c>
      <c r="Q25" s="182"/>
      <c r="R25" s="182"/>
      <c r="S25" s="182"/>
      <c r="T25" s="182"/>
      <c r="U25" s="182"/>
      <c r="V25" s="182"/>
    </row>
    <row r="26" spans="1:22" ht="14.25" customHeight="1" x14ac:dyDescent="0.25">
      <c r="A26" s="90">
        <v>1378</v>
      </c>
      <c r="B26" s="8" t="s">
        <v>294</v>
      </c>
      <c r="C26" s="65" t="s">
        <v>561</v>
      </c>
      <c r="D26" s="75" t="s">
        <v>50</v>
      </c>
      <c r="E26" s="55" t="s">
        <v>22</v>
      </c>
      <c r="F26" s="12">
        <v>45869</v>
      </c>
      <c r="G26" s="143">
        <v>45904</v>
      </c>
      <c r="H26" s="12" t="s">
        <v>623</v>
      </c>
      <c r="I26" s="208">
        <v>1381.34</v>
      </c>
      <c r="J26" s="1">
        <v>30</v>
      </c>
      <c r="K26" s="2">
        <f>I26/J26</f>
        <v>46.044666666666664</v>
      </c>
      <c r="L26" s="1">
        <v>2</v>
      </c>
      <c r="M26" s="1">
        <v>12</v>
      </c>
      <c r="N26" s="1">
        <v>5</v>
      </c>
      <c r="O26" s="1">
        <v>12</v>
      </c>
      <c r="P26" s="192">
        <f t="shared" si="0"/>
        <v>31</v>
      </c>
      <c r="Q26" s="42">
        <f>K26*50%*L26</f>
        <v>46.044666666666664</v>
      </c>
      <c r="R26" s="42">
        <f>K26*60%*M26</f>
        <v>331.52159999999998</v>
      </c>
      <c r="S26" s="42">
        <f>K26*60%*N26</f>
        <v>138.13399999999999</v>
      </c>
      <c r="T26" s="42">
        <f>K26*75%*O26</f>
        <v>414.40199999999993</v>
      </c>
      <c r="U26" s="42">
        <f>S26+T26</f>
        <v>552.53599999999994</v>
      </c>
      <c r="V26" s="42">
        <f>K26*(M26+O26+L26+N26)*100%</f>
        <v>1427.3846666666666</v>
      </c>
    </row>
    <row r="27" spans="1:22" ht="14.25" customHeight="1" x14ac:dyDescent="0.25">
      <c r="A27" s="90">
        <v>1378</v>
      </c>
      <c r="B27" s="8" t="s">
        <v>115</v>
      </c>
      <c r="C27" s="65" t="s">
        <v>116</v>
      </c>
      <c r="D27" s="75" t="s">
        <v>52</v>
      </c>
      <c r="E27" s="55" t="s">
        <v>22</v>
      </c>
      <c r="F27" s="12">
        <v>45618</v>
      </c>
      <c r="G27" s="143">
        <v>45917</v>
      </c>
      <c r="H27" s="12" t="s">
        <v>614</v>
      </c>
      <c r="I27" s="186">
        <v>1323</v>
      </c>
      <c r="J27" s="1">
        <v>30</v>
      </c>
      <c r="K27" s="2">
        <f>I27/J27</f>
        <v>44.1</v>
      </c>
      <c r="L27" s="1">
        <v>0</v>
      </c>
      <c r="M27" s="1">
        <v>0</v>
      </c>
      <c r="N27" s="1">
        <v>0</v>
      </c>
      <c r="O27" s="1">
        <v>31</v>
      </c>
      <c r="P27" s="192">
        <f t="shared" si="0"/>
        <v>31</v>
      </c>
      <c r="Q27" s="42">
        <f>K27*50%*L27</f>
        <v>0</v>
      </c>
      <c r="R27" s="42">
        <f>K27*60%*M27</f>
        <v>0</v>
      </c>
      <c r="S27" s="42">
        <f>K27*60%*N27</f>
        <v>0</v>
      </c>
      <c r="T27" s="42">
        <f>K27*75%*O27</f>
        <v>1025.325</v>
      </c>
      <c r="U27" s="42">
        <f>S27+T27</f>
        <v>1025.325</v>
      </c>
      <c r="V27" s="42">
        <f>K27*(M27+O27+L27+N27)*100%</f>
        <v>1367.1000000000001</v>
      </c>
    </row>
    <row r="28" spans="1:22" x14ac:dyDescent="0.25">
      <c r="A28" s="193" t="s">
        <v>567</v>
      </c>
      <c r="B28" s="177"/>
      <c r="C28" s="178"/>
      <c r="D28" s="179"/>
      <c r="E28" s="180"/>
      <c r="F28" s="194"/>
      <c r="G28" s="181"/>
      <c r="H28" s="194"/>
      <c r="I28" s="220"/>
      <c r="J28" s="183"/>
      <c r="K28" s="184"/>
      <c r="L28" s="183"/>
      <c r="M28" s="183"/>
      <c r="N28" s="183"/>
      <c r="O28" s="183"/>
      <c r="P28" s="192">
        <f t="shared" si="0"/>
        <v>0</v>
      </c>
      <c r="Q28" s="182"/>
      <c r="R28" s="182"/>
      <c r="S28" s="182"/>
      <c r="T28" s="182"/>
      <c r="U28" s="182"/>
      <c r="V28" s="182"/>
    </row>
    <row r="29" spans="1:22" x14ac:dyDescent="0.25">
      <c r="A29" s="195">
        <v>1378</v>
      </c>
      <c r="B29" s="9" t="s">
        <v>23</v>
      </c>
      <c r="C29" s="51">
        <v>38102537361</v>
      </c>
      <c r="D29" s="56"/>
      <c r="E29" s="56"/>
      <c r="F29" s="142"/>
      <c r="G29" s="142"/>
      <c r="H29" s="52"/>
      <c r="I29" s="53"/>
      <c r="J29" s="52"/>
      <c r="K29" s="53"/>
      <c r="L29" s="52"/>
      <c r="M29" s="52"/>
      <c r="N29" s="52"/>
      <c r="O29" s="52"/>
      <c r="P29" s="192">
        <f t="shared" si="0"/>
        <v>0</v>
      </c>
      <c r="Q29" s="10"/>
      <c r="R29" s="10"/>
      <c r="S29" s="10"/>
      <c r="T29" s="10"/>
      <c r="U29" s="11">
        <f>SUM(U16:U27)</f>
        <v>5538.7704999999996</v>
      </c>
      <c r="V29" s="10"/>
    </row>
    <row r="30" spans="1:22" x14ac:dyDescent="0.25">
      <c r="A30" s="187">
        <v>1481</v>
      </c>
      <c r="B30" s="44" t="s">
        <v>551</v>
      </c>
      <c r="C30" s="65" t="s">
        <v>552</v>
      </c>
      <c r="D30" s="75" t="s">
        <v>52</v>
      </c>
      <c r="E30" s="55" t="s">
        <v>22</v>
      </c>
      <c r="F30" s="12">
        <v>45867</v>
      </c>
      <c r="G30" s="143"/>
      <c r="H30" s="203">
        <v>45870</v>
      </c>
      <c r="I30" s="42">
        <v>1753.36</v>
      </c>
      <c r="J30" s="1">
        <v>30</v>
      </c>
      <c r="K30" s="2">
        <f>I30/J30</f>
        <v>58.44533333333333</v>
      </c>
      <c r="L30" s="1">
        <v>1</v>
      </c>
      <c r="M30" s="1">
        <v>0</v>
      </c>
      <c r="N30" s="1">
        <v>0</v>
      </c>
      <c r="O30" s="1">
        <v>0</v>
      </c>
      <c r="P30" s="192">
        <f>L30+M30+N30+O30</f>
        <v>1</v>
      </c>
      <c r="Q30" s="42">
        <f>K30*50%*L30</f>
        <v>29.222666666666665</v>
      </c>
      <c r="R30" s="42">
        <f>K30*60%*M30</f>
        <v>0</v>
      </c>
      <c r="S30" s="42">
        <f>K30*60%*N30</f>
        <v>0</v>
      </c>
      <c r="T30" s="42">
        <f>K30*75%*O30</f>
        <v>0</v>
      </c>
      <c r="U30" s="42">
        <f>S30+T30</f>
        <v>0</v>
      </c>
      <c r="V30" s="42">
        <f>K30*(M30+O30+L30+N30)*100%</f>
        <v>58.44533333333333</v>
      </c>
    </row>
    <row r="31" spans="1:22" x14ac:dyDescent="0.25">
      <c r="A31" s="187">
        <v>1481</v>
      </c>
      <c r="B31" s="44" t="s">
        <v>551</v>
      </c>
      <c r="C31" s="65" t="s">
        <v>552</v>
      </c>
      <c r="D31" s="75" t="s">
        <v>52</v>
      </c>
      <c r="E31" s="55" t="s">
        <v>22</v>
      </c>
      <c r="F31" s="12">
        <v>45873</v>
      </c>
      <c r="G31" s="143">
        <v>45901</v>
      </c>
      <c r="H31" s="12" t="s">
        <v>611</v>
      </c>
      <c r="I31" s="42">
        <v>1879.12</v>
      </c>
      <c r="J31" s="1">
        <v>30</v>
      </c>
      <c r="K31" s="2">
        <f>I31/J31</f>
        <v>62.637333333333331</v>
      </c>
      <c r="L31" s="1">
        <v>3</v>
      </c>
      <c r="M31" s="1">
        <v>12</v>
      </c>
      <c r="N31" s="1">
        <v>5</v>
      </c>
      <c r="O31" s="1">
        <v>8</v>
      </c>
      <c r="P31" s="192">
        <f t="shared" si="0"/>
        <v>28</v>
      </c>
      <c r="Q31" s="42">
        <f>K31*50%*L31</f>
        <v>93.955999999999989</v>
      </c>
      <c r="R31" s="42">
        <f>K31*60%*M31</f>
        <v>450.98879999999997</v>
      </c>
      <c r="S31" s="42">
        <f>K31*60%*N31</f>
        <v>187.91200000000001</v>
      </c>
      <c r="T31" s="42">
        <f>K31*75%*O31</f>
        <v>375.82399999999996</v>
      </c>
      <c r="U31" s="42">
        <f>S31+T31</f>
        <v>563.73599999999999</v>
      </c>
      <c r="V31" s="42">
        <f>K31*(M31+O31+L31+N31)*100%</f>
        <v>1753.8453333333332</v>
      </c>
    </row>
    <row r="32" spans="1:22" x14ac:dyDescent="0.25">
      <c r="A32" s="195">
        <v>1481</v>
      </c>
      <c r="B32" s="9" t="s">
        <v>550</v>
      </c>
      <c r="C32" s="51"/>
      <c r="D32" s="56"/>
      <c r="E32" s="56"/>
      <c r="F32" s="142"/>
      <c r="G32" s="142"/>
      <c r="H32" s="52"/>
      <c r="I32" s="53"/>
      <c r="J32" s="52"/>
      <c r="K32" s="53"/>
      <c r="L32" s="52"/>
      <c r="M32" s="52"/>
      <c r="N32" s="52"/>
      <c r="O32" s="52"/>
      <c r="P32" s="192"/>
      <c r="Q32" s="10"/>
      <c r="R32" s="10"/>
      <c r="S32" s="10"/>
      <c r="T32" s="10"/>
      <c r="U32" s="11">
        <f>SUM(U30:U31)</f>
        <v>563.73599999999999</v>
      </c>
      <c r="V32" s="10"/>
    </row>
    <row r="33" spans="1:23" x14ac:dyDescent="0.25">
      <c r="A33" s="187">
        <v>1628</v>
      </c>
      <c r="B33" s="44" t="s">
        <v>617</v>
      </c>
      <c r="C33" s="65" t="s">
        <v>618</v>
      </c>
      <c r="D33" s="75" t="s">
        <v>52</v>
      </c>
      <c r="E33" s="55" t="s">
        <v>22</v>
      </c>
      <c r="F33" s="12">
        <v>45895</v>
      </c>
      <c r="G33" s="143"/>
      <c r="H33" s="203">
        <v>45897</v>
      </c>
      <c r="I33" s="42">
        <v>1064.23</v>
      </c>
      <c r="J33" s="1">
        <v>22</v>
      </c>
      <c r="K33" s="2">
        <f>I33/J33</f>
        <v>48.37409090909091</v>
      </c>
      <c r="L33" s="1">
        <v>3</v>
      </c>
      <c r="M33" s="1">
        <v>0</v>
      </c>
      <c r="N33" s="1">
        <v>0</v>
      </c>
      <c r="O33" s="1">
        <v>0</v>
      </c>
      <c r="P33" s="192">
        <f>L33+M33+N33+O33</f>
        <v>3</v>
      </c>
      <c r="Q33" s="42">
        <f>K33*50%*L33</f>
        <v>72.561136363636365</v>
      </c>
      <c r="R33" s="42">
        <f>K33*60%*M33</f>
        <v>0</v>
      </c>
      <c r="S33" s="42">
        <f>K33*60%*N33</f>
        <v>0</v>
      </c>
      <c r="T33" s="42">
        <f>K33*75%*O33</f>
        <v>0</v>
      </c>
      <c r="U33" s="42">
        <f>S33+T33</f>
        <v>0</v>
      </c>
      <c r="V33" s="42">
        <f>K33*(M33+O33+L33+N33)*100%</f>
        <v>145.12227272727273</v>
      </c>
    </row>
    <row r="34" spans="1:23" x14ac:dyDescent="0.25">
      <c r="A34" s="187">
        <v>1628</v>
      </c>
      <c r="B34" s="44" t="s">
        <v>105</v>
      </c>
      <c r="C34" s="65" t="s">
        <v>106</v>
      </c>
      <c r="D34" s="75" t="s">
        <v>52</v>
      </c>
      <c r="E34" s="55" t="s">
        <v>22</v>
      </c>
      <c r="F34" s="12">
        <v>45536</v>
      </c>
      <c r="G34" s="143">
        <v>45905</v>
      </c>
      <c r="H34" s="12" t="s">
        <v>605</v>
      </c>
      <c r="I34" s="42">
        <v>1500</v>
      </c>
      <c r="J34" s="1">
        <v>30</v>
      </c>
      <c r="K34" s="2">
        <f>I34/J34</f>
        <v>50</v>
      </c>
      <c r="L34" s="1">
        <v>0</v>
      </c>
      <c r="M34" s="1">
        <v>0</v>
      </c>
      <c r="N34" s="1">
        <v>0</v>
      </c>
      <c r="O34" s="1">
        <v>31</v>
      </c>
      <c r="P34" s="192">
        <f t="shared" ref="P34:P42" si="1">L34+M34+N34+O34</f>
        <v>31</v>
      </c>
      <c r="Q34" s="42">
        <f>K34*50%*L34</f>
        <v>0</v>
      </c>
      <c r="R34" s="42">
        <f>K34*60%*M34</f>
        <v>0</v>
      </c>
      <c r="S34" s="42">
        <f>K34*60%*N34</f>
        <v>0</v>
      </c>
      <c r="T34" s="42">
        <f>K34*75%*O34</f>
        <v>1162.5</v>
      </c>
      <c r="U34" s="42">
        <f>S34+T34</f>
        <v>1162.5</v>
      </c>
      <c r="V34" s="42">
        <f>K34*(M34+O34+L34+N34)*100%</f>
        <v>1550</v>
      </c>
    </row>
    <row r="35" spans="1:23" ht="14.1" customHeight="1" x14ac:dyDescent="0.25">
      <c r="A35" s="195">
        <v>1628</v>
      </c>
      <c r="B35" s="9" t="s">
        <v>104</v>
      </c>
      <c r="C35" s="51"/>
      <c r="D35" s="56"/>
      <c r="E35" s="56"/>
      <c r="F35" s="142"/>
      <c r="G35" s="142"/>
      <c r="H35" s="52"/>
      <c r="I35" s="53"/>
      <c r="J35" s="52"/>
      <c r="K35" s="53"/>
      <c r="L35" s="52"/>
      <c r="M35" s="52"/>
      <c r="N35" s="52"/>
      <c r="O35" s="52"/>
      <c r="P35" s="192">
        <f t="shared" si="1"/>
        <v>0</v>
      </c>
      <c r="Q35" s="10"/>
      <c r="R35" s="10"/>
      <c r="S35" s="10"/>
      <c r="T35" s="10"/>
      <c r="U35" s="11">
        <f>SUM(U34:U34)</f>
        <v>1162.5</v>
      </c>
      <c r="V35" s="10"/>
    </row>
    <row r="36" spans="1:23" ht="14.1" customHeight="1" x14ac:dyDescent="0.25">
      <c r="A36" s="90">
        <v>1846</v>
      </c>
      <c r="B36" s="8" t="s">
        <v>586</v>
      </c>
      <c r="C36" s="65" t="s">
        <v>257</v>
      </c>
      <c r="D36" s="75" t="s">
        <v>51</v>
      </c>
      <c r="E36" s="55" t="s">
        <v>22</v>
      </c>
      <c r="F36" s="12">
        <v>45880</v>
      </c>
      <c r="G36" s="143"/>
      <c r="H36" s="203">
        <v>45883</v>
      </c>
      <c r="I36" s="42">
        <v>963.63</v>
      </c>
      <c r="J36" s="1">
        <v>91</v>
      </c>
      <c r="K36" s="2">
        <f>I36/J36</f>
        <v>10.589340659340658</v>
      </c>
      <c r="L36" s="1">
        <v>3</v>
      </c>
      <c r="M36" s="1">
        <v>1</v>
      </c>
      <c r="N36" s="1">
        <v>0</v>
      </c>
      <c r="O36" s="1">
        <v>0</v>
      </c>
      <c r="P36" s="192">
        <f>L36+M36+N36+O36</f>
        <v>4</v>
      </c>
      <c r="Q36" s="42">
        <f>K36*50%*L36</f>
        <v>15.884010989010989</v>
      </c>
      <c r="R36" s="42">
        <f>K36*60%*M36</f>
        <v>6.3536043956043953</v>
      </c>
      <c r="S36" s="42">
        <f>K36*60%*N36</f>
        <v>0</v>
      </c>
      <c r="T36" s="42">
        <f>K36*75%*O36</f>
        <v>0</v>
      </c>
      <c r="U36" s="42">
        <f>S36+T36</f>
        <v>0</v>
      </c>
      <c r="V36" s="42">
        <f>K36*(M36+O36+L36+N36)*100%</f>
        <v>42.357362637362634</v>
      </c>
    </row>
    <row r="37" spans="1:23" ht="14.25" customHeight="1" x14ac:dyDescent="0.25">
      <c r="A37" s="90">
        <v>1846</v>
      </c>
      <c r="B37" s="8" t="s">
        <v>139</v>
      </c>
      <c r="C37" s="65" t="s">
        <v>140</v>
      </c>
      <c r="D37" s="75" t="s">
        <v>51</v>
      </c>
      <c r="E37" s="55" t="s">
        <v>22</v>
      </c>
      <c r="F37" s="12">
        <v>45659</v>
      </c>
      <c r="G37" s="143">
        <v>45911</v>
      </c>
      <c r="H37" s="12" t="s">
        <v>604</v>
      </c>
      <c r="I37" s="186">
        <v>2108.3200000000002</v>
      </c>
      <c r="J37" s="1">
        <v>92</v>
      </c>
      <c r="K37" s="2">
        <f>I37/J37</f>
        <v>22.916521739130438</v>
      </c>
      <c r="L37" s="1">
        <v>0</v>
      </c>
      <c r="M37" s="1">
        <v>0</v>
      </c>
      <c r="N37" s="1">
        <v>0</v>
      </c>
      <c r="O37" s="1">
        <v>31</v>
      </c>
      <c r="P37" s="192">
        <f t="shared" si="1"/>
        <v>31</v>
      </c>
      <c r="Q37" s="42">
        <f>K37*50%*L37</f>
        <v>0</v>
      </c>
      <c r="R37" s="42">
        <f>K37*60%*M37</f>
        <v>0</v>
      </c>
      <c r="S37" s="42">
        <f>K37*60%*N37</f>
        <v>0</v>
      </c>
      <c r="T37" s="42">
        <f>K37*75%*O37</f>
        <v>532.80913043478267</v>
      </c>
      <c r="U37" s="42">
        <f>S37+T37</f>
        <v>532.80913043478267</v>
      </c>
      <c r="V37" s="42">
        <f>K37*(M37+O37+L37+N37)*100%</f>
        <v>710.4121739130436</v>
      </c>
    </row>
    <row r="38" spans="1:23" ht="14.25" customHeight="1" x14ac:dyDescent="0.25">
      <c r="A38" s="193" t="s">
        <v>516</v>
      </c>
      <c r="B38" s="177"/>
      <c r="C38" s="178"/>
      <c r="D38" s="179"/>
      <c r="E38" s="180"/>
      <c r="F38" s="194"/>
      <c r="G38" s="181"/>
      <c r="H38" s="194"/>
      <c r="I38" s="220" t="s">
        <v>636</v>
      </c>
      <c r="J38" s="183"/>
      <c r="K38" s="184"/>
      <c r="L38" s="183"/>
      <c r="M38" s="183"/>
      <c r="N38" s="183"/>
      <c r="O38" s="183"/>
      <c r="P38" s="192">
        <f t="shared" si="1"/>
        <v>0</v>
      </c>
      <c r="Q38" s="182"/>
      <c r="R38" s="182"/>
      <c r="S38" s="182"/>
      <c r="T38" s="182"/>
      <c r="U38" s="182"/>
      <c r="V38" s="182"/>
    </row>
    <row r="39" spans="1:23" ht="14.25" customHeight="1" x14ac:dyDescent="0.25">
      <c r="A39" s="90">
        <v>1846</v>
      </c>
      <c r="B39" s="8" t="s">
        <v>612</v>
      </c>
      <c r="C39" s="65" t="s">
        <v>613</v>
      </c>
      <c r="D39" s="75" t="s">
        <v>405</v>
      </c>
      <c r="E39" s="55" t="s">
        <v>22</v>
      </c>
      <c r="F39" s="12">
        <v>45894</v>
      </c>
      <c r="G39" s="143"/>
      <c r="H39" s="203">
        <v>45897</v>
      </c>
      <c r="I39" s="42">
        <v>3768.96</v>
      </c>
      <c r="J39" s="1">
        <v>91</v>
      </c>
      <c r="K39" s="2">
        <f>I39/J39</f>
        <v>41.417142857142856</v>
      </c>
      <c r="L39" s="1">
        <v>3</v>
      </c>
      <c r="M39" s="1">
        <v>1</v>
      </c>
      <c r="N39" s="1">
        <v>0</v>
      </c>
      <c r="O39" s="1">
        <v>0</v>
      </c>
      <c r="P39" s="192">
        <f>L39+M39+N39+O39</f>
        <v>4</v>
      </c>
      <c r="Q39" s="42">
        <f>K39*50%*L39</f>
        <v>62.125714285714281</v>
      </c>
      <c r="R39" s="42">
        <f>K39*60%*M39</f>
        <v>24.850285714285715</v>
      </c>
      <c r="S39" s="42">
        <f>K39*60%*N39</f>
        <v>0</v>
      </c>
      <c r="T39" s="42">
        <f>K39*75%*O39</f>
        <v>0</v>
      </c>
      <c r="U39" s="42">
        <f>S39+T39</f>
        <v>0</v>
      </c>
      <c r="V39" s="42">
        <f>K39*(M39+O39+L39+N39)*100%</f>
        <v>165.66857142857143</v>
      </c>
      <c r="W39" s="262"/>
    </row>
    <row r="40" spans="1:23" ht="14.25" customHeight="1" x14ac:dyDescent="0.25">
      <c r="A40" s="90">
        <v>1846</v>
      </c>
      <c r="B40" s="8" t="s">
        <v>601</v>
      </c>
      <c r="C40" s="65" t="s">
        <v>602</v>
      </c>
      <c r="D40" s="75" t="s">
        <v>52</v>
      </c>
      <c r="E40" s="55" t="s">
        <v>22</v>
      </c>
      <c r="F40" s="12">
        <v>44062</v>
      </c>
      <c r="G40" s="143"/>
      <c r="H40" s="203">
        <v>45889</v>
      </c>
      <c r="I40" s="42">
        <v>1544.06</v>
      </c>
      <c r="J40" s="1">
        <v>30</v>
      </c>
      <c r="K40" s="2">
        <f>I40/J40</f>
        <v>51.468666666666664</v>
      </c>
      <c r="L40" s="1">
        <v>2</v>
      </c>
      <c r="M40" s="1">
        <v>0</v>
      </c>
      <c r="N40" s="1">
        <v>0</v>
      </c>
      <c r="O40" s="1">
        <v>0</v>
      </c>
      <c r="P40" s="192">
        <f t="shared" si="1"/>
        <v>2</v>
      </c>
      <c r="Q40" s="42">
        <f>K40*50%*L40</f>
        <v>51.468666666666664</v>
      </c>
      <c r="R40" s="42">
        <f>K40*60%*M40</f>
        <v>0</v>
      </c>
      <c r="S40" s="42">
        <f>K40*60%*N40</f>
        <v>0</v>
      </c>
      <c r="T40" s="42">
        <f>K40*75%*O40</f>
        <v>0</v>
      </c>
      <c r="U40" s="42">
        <f>S40+T40</f>
        <v>0</v>
      </c>
      <c r="V40" s="42">
        <f>K40*(M40+O40+L40+N40)*100%</f>
        <v>102.93733333333333</v>
      </c>
      <c r="W40" s="262"/>
    </row>
    <row r="41" spans="1:23" ht="14.1" customHeight="1" x14ac:dyDescent="0.25">
      <c r="A41" s="195">
        <v>1846</v>
      </c>
      <c r="B41" s="9" t="s">
        <v>138</v>
      </c>
      <c r="C41" s="51">
        <v>38120237336</v>
      </c>
      <c r="D41" s="56"/>
      <c r="E41" s="56"/>
      <c r="F41" s="142"/>
      <c r="G41" s="142"/>
      <c r="H41" s="52"/>
      <c r="I41" s="53"/>
      <c r="J41" s="52"/>
      <c r="K41" s="53"/>
      <c r="L41" s="52"/>
      <c r="M41" s="52"/>
      <c r="N41" s="52"/>
      <c r="O41" s="52"/>
      <c r="P41" s="192">
        <f t="shared" si="1"/>
        <v>0</v>
      </c>
      <c r="Q41" s="10"/>
      <c r="R41" s="10"/>
      <c r="S41" s="10"/>
      <c r="T41" s="10"/>
      <c r="U41" s="11">
        <f>SUM(U37)</f>
        <v>532.80913043478267</v>
      </c>
      <c r="V41" s="10"/>
      <c r="W41" s="262"/>
    </row>
    <row r="42" spans="1:23" x14ac:dyDescent="0.25">
      <c r="A42" s="187">
        <v>1903</v>
      </c>
      <c r="B42" s="44" t="s">
        <v>89</v>
      </c>
      <c r="C42" s="65" t="s">
        <v>90</v>
      </c>
      <c r="D42" s="75" t="s">
        <v>51</v>
      </c>
      <c r="E42" s="55" t="s">
        <v>22</v>
      </c>
      <c r="F42" s="12">
        <v>45418</v>
      </c>
      <c r="G42" s="143">
        <v>45817</v>
      </c>
      <c r="H42" s="12" t="s">
        <v>385</v>
      </c>
      <c r="I42" s="218">
        <v>1809.18</v>
      </c>
      <c r="J42" s="1">
        <v>79</v>
      </c>
      <c r="K42" s="2">
        <f>I42/J42</f>
        <v>22.901012658227849</v>
      </c>
      <c r="L42" s="1">
        <v>0</v>
      </c>
      <c r="M42" s="1">
        <v>0</v>
      </c>
      <c r="N42" s="1">
        <v>0</v>
      </c>
      <c r="O42" s="1">
        <v>31</v>
      </c>
      <c r="P42" s="192">
        <f t="shared" si="1"/>
        <v>31</v>
      </c>
      <c r="Q42" s="42">
        <f>K42*50%*L42</f>
        <v>0</v>
      </c>
      <c r="R42" s="42">
        <f>K42*60%*M42</f>
        <v>0</v>
      </c>
      <c r="S42" s="42">
        <f>K42*60%*N42</f>
        <v>0</v>
      </c>
      <c r="T42" s="42">
        <f>K42*75%*O42</f>
        <v>532.44854430379758</v>
      </c>
      <c r="U42" s="42">
        <f>S42+T42</f>
        <v>532.44854430379758</v>
      </c>
      <c r="V42" s="42">
        <f>K42*(M42+O42+L42+N42)*100%</f>
        <v>709.93139240506332</v>
      </c>
      <c r="W42" s="262"/>
    </row>
    <row r="43" spans="1:23" x14ac:dyDescent="0.25">
      <c r="A43" s="193" t="s">
        <v>300</v>
      </c>
      <c r="B43" s="177"/>
      <c r="C43" s="178"/>
      <c r="D43" s="179"/>
      <c r="E43" s="180"/>
      <c r="F43" s="194"/>
      <c r="G43" s="181"/>
      <c r="H43" s="194"/>
      <c r="I43" s="182"/>
      <c r="J43" s="183"/>
      <c r="K43" s="184"/>
      <c r="L43" s="183"/>
      <c r="M43" s="183"/>
      <c r="N43" s="183"/>
      <c r="O43" s="183"/>
      <c r="P43" s="192"/>
      <c r="Q43" s="182"/>
      <c r="R43" s="182"/>
      <c r="S43" s="182"/>
      <c r="T43" s="182"/>
      <c r="U43" s="182"/>
      <c r="V43" s="182"/>
      <c r="W43" s="262"/>
    </row>
    <row r="44" spans="1:23" x14ac:dyDescent="0.25">
      <c r="A44" s="187">
        <v>1903</v>
      </c>
      <c r="B44" s="44" t="s">
        <v>459</v>
      </c>
      <c r="C44" s="65" t="s">
        <v>460</v>
      </c>
      <c r="D44" s="75" t="s">
        <v>50</v>
      </c>
      <c r="E44" s="55" t="s">
        <v>22</v>
      </c>
      <c r="F44" s="12">
        <v>45870</v>
      </c>
      <c r="G44" s="143"/>
      <c r="H44" s="203">
        <v>45872</v>
      </c>
      <c r="I44" s="42">
        <v>1431.34</v>
      </c>
      <c r="J44" s="1">
        <v>30</v>
      </c>
      <c r="K44" s="2">
        <f>I44/J44</f>
        <v>47.711333333333329</v>
      </c>
      <c r="L44" s="1">
        <v>3</v>
      </c>
      <c r="M44" s="1">
        <v>0</v>
      </c>
      <c r="N44" s="1">
        <v>0</v>
      </c>
      <c r="O44" s="1">
        <v>0</v>
      </c>
      <c r="P44" s="192">
        <f t="shared" ref="P44:P53" si="2">L44+M44+N44+O44</f>
        <v>3</v>
      </c>
      <c r="Q44" s="42">
        <f>K44*50%*L44</f>
        <v>71.566999999999993</v>
      </c>
      <c r="R44" s="42">
        <f>K44*60%*M44</f>
        <v>0</v>
      </c>
      <c r="S44" s="42">
        <f>K44*60%*N44</f>
        <v>0</v>
      </c>
      <c r="T44" s="42">
        <f>K44*75%*O44</f>
        <v>0</v>
      </c>
      <c r="U44" s="42">
        <f>S44+T44</f>
        <v>0</v>
      </c>
      <c r="V44" s="42">
        <f>K44*(M44+O44+L44+N44)*100%</f>
        <v>143.13399999999999</v>
      </c>
      <c r="W44" s="262"/>
    </row>
    <row r="45" spans="1:23" x14ac:dyDescent="0.25">
      <c r="A45" s="244">
        <v>1903</v>
      </c>
      <c r="B45" s="244" t="s">
        <v>459</v>
      </c>
      <c r="C45" s="244" t="s">
        <v>460</v>
      </c>
      <c r="D45" s="244" t="s">
        <v>50</v>
      </c>
      <c r="E45" s="244" t="s">
        <v>22</v>
      </c>
      <c r="F45" s="245">
        <v>45873</v>
      </c>
      <c r="G45" s="245"/>
      <c r="H45" s="247">
        <v>45883</v>
      </c>
      <c r="I45" s="244">
        <v>1431.34</v>
      </c>
      <c r="J45" s="244">
        <v>30</v>
      </c>
      <c r="K45" s="244">
        <f>I45/J45</f>
        <v>47.711333333333329</v>
      </c>
      <c r="L45" s="244">
        <v>0</v>
      </c>
      <c r="M45" s="244">
        <v>11</v>
      </c>
      <c r="N45" s="244">
        <v>0</v>
      </c>
      <c r="O45" s="244">
        <v>0</v>
      </c>
      <c r="P45" s="192">
        <f t="shared" si="2"/>
        <v>11</v>
      </c>
      <c r="Q45" s="246">
        <f>K45*50%*L45</f>
        <v>0</v>
      </c>
      <c r="R45" s="246">
        <f>K45*60%*M45</f>
        <v>314.89479999999998</v>
      </c>
      <c r="S45" s="246">
        <f>K45*60%*N45</f>
        <v>0</v>
      </c>
      <c r="T45" s="246">
        <f>K45*75%*O45</f>
        <v>0</v>
      </c>
      <c r="U45" s="246">
        <f>S45+T45</f>
        <v>0</v>
      </c>
      <c r="V45" s="246">
        <f>K45*(M45+O45+L45+N45)*100%</f>
        <v>524.82466666666664</v>
      </c>
      <c r="W45" s="262"/>
    </row>
    <row r="46" spans="1:23" x14ac:dyDescent="0.25">
      <c r="A46" s="187">
        <v>1903</v>
      </c>
      <c r="B46" s="44" t="s">
        <v>447</v>
      </c>
      <c r="C46" s="65" t="s">
        <v>448</v>
      </c>
      <c r="D46" s="75" t="s">
        <v>51</v>
      </c>
      <c r="E46" s="55" t="s">
        <v>22</v>
      </c>
      <c r="F46" s="12">
        <v>45813</v>
      </c>
      <c r="G46" s="143">
        <v>45904</v>
      </c>
      <c r="H46" s="12" t="s">
        <v>596</v>
      </c>
      <c r="I46" s="1">
        <v>3755.95</v>
      </c>
      <c r="J46" s="1">
        <v>89</v>
      </c>
      <c r="K46" s="2">
        <f>I46/J46</f>
        <v>42.201685393258423</v>
      </c>
      <c r="L46" s="1">
        <v>0</v>
      </c>
      <c r="M46" s="1">
        <v>0</v>
      </c>
      <c r="N46" s="1">
        <v>0</v>
      </c>
      <c r="O46" s="1">
        <v>31</v>
      </c>
      <c r="P46" s="192">
        <f t="shared" si="2"/>
        <v>31</v>
      </c>
      <c r="Q46" s="42">
        <f>K46*50%*L46</f>
        <v>0</v>
      </c>
      <c r="R46" s="42">
        <f>K46*60%*M46</f>
        <v>0</v>
      </c>
      <c r="S46" s="42">
        <f>K46*60%*N46</f>
        <v>0</v>
      </c>
      <c r="T46" s="42">
        <f>K46*75%*O46</f>
        <v>981.1891853932583</v>
      </c>
      <c r="U46" s="42">
        <f>S46+T46</f>
        <v>981.1891853932583</v>
      </c>
      <c r="V46" s="42">
        <f>K46*(M46+O46+L46+N46)*100%</f>
        <v>1308.2522471910111</v>
      </c>
      <c r="W46" s="262"/>
    </row>
    <row r="47" spans="1:23" x14ac:dyDescent="0.25">
      <c r="A47" s="193" t="s">
        <v>608</v>
      </c>
      <c r="B47" s="177"/>
      <c r="C47" s="178"/>
      <c r="D47" s="179"/>
      <c r="E47" s="180"/>
      <c r="F47" s="194"/>
      <c r="G47" s="181"/>
      <c r="H47" s="194"/>
      <c r="I47" s="220" t="s">
        <v>638</v>
      </c>
      <c r="J47" s="183"/>
      <c r="K47" s="184"/>
      <c r="L47" s="183"/>
      <c r="M47" s="183"/>
      <c r="N47" s="183"/>
      <c r="O47" s="183"/>
      <c r="P47" s="192">
        <f>L47+M47+N47+O47</f>
        <v>0</v>
      </c>
      <c r="Q47" s="182"/>
      <c r="R47" s="182"/>
      <c r="S47" s="182"/>
      <c r="T47" s="182"/>
      <c r="U47" s="182"/>
      <c r="V47" s="182"/>
      <c r="W47" s="262"/>
    </row>
    <row r="48" spans="1:23" x14ac:dyDescent="0.25">
      <c r="A48" s="187">
        <v>1903</v>
      </c>
      <c r="B48" s="44" t="s">
        <v>190</v>
      </c>
      <c r="C48" s="65" t="s">
        <v>191</v>
      </c>
      <c r="D48" s="75" t="s">
        <v>51</v>
      </c>
      <c r="E48" s="55" t="s">
        <v>22</v>
      </c>
      <c r="F48" s="12">
        <v>45685</v>
      </c>
      <c r="G48" s="143">
        <v>45908</v>
      </c>
      <c r="H48" s="12" t="s">
        <v>598</v>
      </c>
      <c r="I48" s="218">
        <v>669.48</v>
      </c>
      <c r="J48" s="1">
        <v>31</v>
      </c>
      <c r="K48" s="2">
        <f>I48/J48</f>
        <v>21.596129032258066</v>
      </c>
      <c r="L48" s="1">
        <v>0</v>
      </c>
      <c r="M48" s="1">
        <v>0</v>
      </c>
      <c r="N48" s="1">
        <v>0</v>
      </c>
      <c r="O48" s="1">
        <v>31</v>
      </c>
      <c r="P48" s="192">
        <f t="shared" si="2"/>
        <v>31</v>
      </c>
      <c r="Q48" s="42">
        <f>K48*50%*L48</f>
        <v>0</v>
      </c>
      <c r="R48" s="42">
        <f>K48*60%*M48</f>
        <v>0</v>
      </c>
      <c r="S48" s="42">
        <f>K48*60%*N48</f>
        <v>0</v>
      </c>
      <c r="T48" s="42">
        <f>K48*75%*O48</f>
        <v>502.11000000000007</v>
      </c>
      <c r="U48" s="42">
        <f>S48+T48</f>
        <v>502.11000000000007</v>
      </c>
      <c r="V48" s="42">
        <f>K48*(M48+O48+L48+N48)*100%</f>
        <v>669.48</v>
      </c>
      <c r="W48" s="262"/>
    </row>
    <row r="49" spans="1:23" x14ac:dyDescent="0.25">
      <c r="A49" s="193" t="s">
        <v>352</v>
      </c>
      <c r="B49" s="177"/>
      <c r="C49" s="178"/>
      <c r="D49" s="179"/>
      <c r="E49" s="180"/>
      <c r="F49" s="194"/>
      <c r="G49" s="181"/>
      <c r="H49" s="194"/>
      <c r="I49" s="182"/>
      <c r="J49" s="183"/>
      <c r="K49" s="184"/>
      <c r="L49" s="183"/>
      <c r="M49" s="183"/>
      <c r="N49" s="183"/>
      <c r="O49" s="183"/>
      <c r="P49" s="192">
        <f t="shared" si="2"/>
        <v>0</v>
      </c>
      <c r="Q49" s="182"/>
      <c r="R49" s="182"/>
      <c r="S49" s="182"/>
      <c r="T49" s="182"/>
      <c r="U49" s="182"/>
      <c r="V49" s="182"/>
      <c r="W49" s="262"/>
    </row>
    <row r="50" spans="1:23" x14ac:dyDescent="0.25">
      <c r="A50" s="195">
        <v>1903</v>
      </c>
      <c r="B50" s="9" t="s">
        <v>143</v>
      </c>
      <c r="C50" s="51"/>
      <c r="D50" s="56"/>
      <c r="E50" s="56"/>
      <c r="F50" s="142"/>
      <c r="G50" s="142"/>
      <c r="H50" s="52"/>
      <c r="I50" s="53"/>
      <c r="J50" s="52"/>
      <c r="K50" s="53"/>
      <c r="L50" s="52"/>
      <c r="M50" s="52"/>
      <c r="N50" s="52"/>
      <c r="O50" s="52"/>
      <c r="P50" s="192">
        <f t="shared" si="2"/>
        <v>0</v>
      </c>
      <c r="Q50" s="10"/>
      <c r="R50" s="10"/>
      <c r="S50" s="10"/>
      <c r="T50" s="10"/>
      <c r="U50" s="11">
        <f>SUM(U42:U48)</f>
        <v>2015.747729697056</v>
      </c>
      <c r="V50" s="10"/>
    </row>
    <row r="51" spans="1:23" x14ac:dyDescent="0.25">
      <c r="A51" s="187">
        <v>1939</v>
      </c>
      <c r="B51" s="44" t="s">
        <v>625</v>
      </c>
      <c r="C51" s="65" t="s">
        <v>626</v>
      </c>
      <c r="D51" s="75" t="s">
        <v>52</v>
      </c>
      <c r="E51" s="55" t="s">
        <v>22</v>
      </c>
      <c r="F51" s="12">
        <v>45894</v>
      </c>
      <c r="G51" s="143"/>
      <c r="H51" s="203"/>
      <c r="I51" s="189">
        <v>1995.99</v>
      </c>
      <c r="J51" s="1">
        <v>30</v>
      </c>
      <c r="K51" s="2">
        <f>I51/J51</f>
        <v>66.533000000000001</v>
      </c>
      <c r="L51" s="1">
        <v>3</v>
      </c>
      <c r="M51" s="1">
        <v>4</v>
      </c>
      <c r="N51" s="1">
        <v>0</v>
      </c>
      <c r="O51" s="1">
        <v>0</v>
      </c>
      <c r="P51" s="192">
        <f>L51+M51+N51+O51</f>
        <v>7</v>
      </c>
      <c r="Q51" s="42">
        <f>K51*50%*L51</f>
        <v>99.799499999999995</v>
      </c>
      <c r="R51" s="42">
        <f>K51*60%*M51</f>
        <v>159.67920000000001</v>
      </c>
      <c r="S51" s="42">
        <f>K51*60%*N51</f>
        <v>0</v>
      </c>
      <c r="T51" s="42">
        <f>K51*75%*O51</f>
        <v>0</v>
      </c>
      <c r="U51" s="42">
        <f>S51+T51</f>
        <v>0</v>
      </c>
      <c r="V51" s="42">
        <f>K51*(M51+O51+L51+N51)*100%</f>
        <v>465.73099999999999</v>
      </c>
    </row>
    <row r="52" spans="1:23" x14ac:dyDescent="0.25">
      <c r="A52" s="195">
        <v>1939</v>
      </c>
      <c r="B52" s="9" t="s">
        <v>624</v>
      </c>
      <c r="C52" s="51"/>
      <c r="D52" s="56"/>
      <c r="E52" s="56"/>
      <c r="F52" s="142"/>
      <c r="G52" s="142"/>
      <c r="H52" s="52"/>
      <c r="I52" s="53"/>
      <c r="J52" s="52"/>
      <c r="K52" s="53"/>
      <c r="L52" s="52"/>
      <c r="M52" s="52"/>
      <c r="N52" s="52"/>
      <c r="O52" s="52"/>
      <c r="P52" s="192"/>
      <c r="Q52" s="10"/>
      <c r="R52" s="10"/>
      <c r="S52" s="10"/>
      <c r="T52" s="10"/>
      <c r="U52" s="11"/>
      <c r="V52" s="10"/>
    </row>
    <row r="53" spans="1:23" x14ac:dyDescent="0.25">
      <c r="A53" s="248">
        <v>1965</v>
      </c>
      <c r="B53" s="249" t="s">
        <v>584</v>
      </c>
      <c r="C53" s="250" t="s">
        <v>585</v>
      </c>
      <c r="D53" s="251" t="s">
        <v>52</v>
      </c>
      <c r="E53" s="252" t="s">
        <v>568</v>
      </c>
      <c r="F53" s="253">
        <v>45880</v>
      </c>
      <c r="G53" s="254"/>
      <c r="H53" s="255">
        <v>45887</v>
      </c>
      <c r="I53" s="256">
        <v>1886.55</v>
      </c>
      <c r="J53" s="256">
        <v>31</v>
      </c>
      <c r="K53" s="257">
        <f>I53/J53</f>
        <v>60.856451612903221</v>
      </c>
      <c r="L53" s="256">
        <v>3</v>
      </c>
      <c r="M53" s="256">
        <v>5</v>
      </c>
      <c r="N53" s="256">
        <v>0</v>
      </c>
      <c r="O53" s="256">
        <v>0</v>
      </c>
      <c r="P53" s="258">
        <f t="shared" si="2"/>
        <v>8</v>
      </c>
      <c r="Q53" s="259">
        <f>K53*50%*L53</f>
        <v>91.284677419354836</v>
      </c>
      <c r="R53" s="259">
        <f>K53*60%*M53</f>
        <v>182.56935483870964</v>
      </c>
      <c r="S53" s="259">
        <f>K53*60%*N53</f>
        <v>0</v>
      </c>
      <c r="T53" s="259">
        <f>K53*75%*O53</f>
        <v>0</v>
      </c>
      <c r="U53" s="259">
        <f>S53+T53</f>
        <v>0</v>
      </c>
      <c r="V53" s="259">
        <f>K53*(M53+O53+L53+N53)*100%</f>
        <v>486.85161290322577</v>
      </c>
    </row>
    <row r="54" spans="1:23" x14ac:dyDescent="0.25">
      <c r="A54" s="195">
        <v>1965</v>
      </c>
      <c r="B54" s="9" t="s">
        <v>583</v>
      </c>
      <c r="C54" s="51"/>
      <c r="D54" s="56"/>
      <c r="E54" s="56"/>
      <c r="F54" s="142"/>
      <c r="G54" s="142"/>
      <c r="H54" s="52"/>
      <c r="I54" s="53"/>
      <c r="J54" s="52"/>
      <c r="K54" s="53"/>
      <c r="L54" s="52"/>
      <c r="M54" s="52"/>
      <c r="N54" s="52"/>
      <c r="O54" s="52"/>
      <c r="P54" s="192"/>
      <c r="Q54" s="10"/>
      <c r="R54" s="10"/>
      <c r="S54" s="10"/>
      <c r="T54" s="10"/>
      <c r="U54" s="11">
        <f>SUM(U53)</f>
        <v>0</v>
      </c>
      <c r="V54" s="10"/>
    </row>
    <row r="55" spans="1:23" x14ac:dyDescent="0.25">
      <c r="A55" s="187">
        <v>1985</v>
      </c>
      <c r="B55" s="44" t="s">
        <v>581</v>
      </c>
      <c r="C55" s="65" t="s">
        <v>582</v>
      </c>
      <c r="D55" s="75" t="s">
        <v>51</v>
      </c>
      <c r="E55" s="55" t="s">
        <v>22</v>
      </c>
      <c r="F55" s="12">
        <v>45876</v>
      </c>
      <c r="G55" s="143">
        <v>45911</v>
      </c>
      <c r="H55" s="12" t="s">
        <v>606</v>
      </c>
      <c r="I55" s="189">
        <v>3144.96</v>
      </c>
      <c r="J55" s="1">
        <v>91</v>
      </c>
      <c r="K55" s="2">
        <f>I55/J55</f>
        <v>34.56</v>
      </c>
      <c r="L55" s="1">
        <v>3</v>
      </c>
      <c r="M55" s="1">
        <v>12</v>
      </c>
      <c r="N55" s="1">
        <v>5</v>
      </c>
      <c r="O55" s="1">
        <v>5</v>
      </c>
      <c r="P55" s="192">
        <f>L55+M55+N55+O55</f>
        <v>25</v>
      </c>
      <c r="Q55" s="42">
        <f>K55*50%*L55</f>
        <v>51.84</v>
      </c>
      <c r="R55" s="42">
        <f>K55*60%*M55</f>
        <v>248.83199999999999</v>
      </c>
      <c r="S55" s="42">
        <f>K55*60%*N55</f>
        <v>103.68</v>
      </c>
      <c r="T55" s="42">
        <f>K55*75%*O55</f>
        <v>129.60000000000002</v>
      </c>
      <c r="U55" s="42">
        <f>S55+T55</f>
        <v>233.28000000000003</v>
      </c>
      <c r="V55" s="42">
        <f>K55*(M55+O55+L55+N55)*100%</f>
        <v>864</v>
      </c>
    </row>
    <row r="56" spans="1:23" x14ac:dyDescent="0.25">
      <c r="A56" s="193" t="s">
        <v>620</v>
      </c>
      <c r="B56" s="177"/>
      <c r="C56" s="178"/>
      <c r="D56" s="179"/>
      <c r="E56" s="180"/>
      <c r="F56" s="194"/>
      <c r="G56" s="181"/>
      <c r="H56" s="194"/>
      <c r="I56" s="220"/>
      <c r="J56" s="183"/>
      <c r="K56" s="184"/>
      <c r="L56" s="183"/>
      <c r="M56" s="183"/>
      <c r="N56" s="183"/>
      <c r="O56" s="183"/>
      <c r="P56" s="192">
        <f>L56+M56+N56+O56</f>
        <v>0</v>
      </c>
      <c r="Q56" s="182"/>
      <c r="R56" s="182"/>
      <c r="S56" s="182"/>
      <c r="T56" s="182"/>
      <c r="U56" s="182"/>
      <c r="V56" s="182"/>
    </row>
    <row r="57" spans="1:23" x14ac:dyDescent="0.25">
      <c r="A57" s="187">
        <v>1985</v>
      </c>
      <c r="B57" s="44" t="s">
        <v>594</v>
      </c>
      <c r="C57" s="65" t="s">
        <v>595</v>
      </c>
      <c r="D57" s="75" t="s">
        <v>50</v>
      </c>
      <c r="E57" s="55" t="s">
        <v>22</v>
      </c>
      <c r="F57" s="12">
        <v>45882</v>
      </c>
      <c r="G57" s="143">
        <v>45930</v>
      </c>
      <c r="H57" s="12" t="s">
        <v>621</v>
      </c>
      <c r="I57" s="189">
        <v>1675.21</v>
      </c>
      <c r="J57" s="1">
        <v>30</v>
      </c>
      <c r="K57" s="2">
        <f>I57/J57</f>
        <v>55.840333333333334</v>
      </c>
      <c r="L57" s="1">
        <v>3</v>
      </c>
      <c r="M57" s="1">
        <v>12</v>
      </c>
      <c r="N57" s="1">
        <v>4</v>
      </c>
      <c r="O57" s="1">
        <v>0</v>
      </c>
      <c r="P57" s="192">
        <f>L57+M57+N57+O57</f>
        <v>19</v>
      </c>
      <c r="Q57" s="42">
        <f>K57*50%*L57</f>
        <v>83.760500000000008</v>
      </c>
      <c r="R57" s="42">
        <f>K57*60%*M57</f>
        <v>402.05039999999997</v>
      </c>
      <c r="S57" s="42">
        <f>K57*60%*N57</f>
        <v>134.01679999999999</v>
      </c>
      <c r="T57" s="42">
        <f>K57*75%*O57</f>
        <v>0</v>
      </c>
      <c r="U57" s="42">
        <f>S57+T57</f>
        <v>134.01679999999999</v>
      </c>
      <c r="V57" s="42">
        <f>K57*(M57+O57+L57+N57)*100%</f>
        <v>1060.9663333333333</v>
      </c>
    </row>
    <row r="58" spans="1:23" x14ac:dyDescent="0.25">
      <c r="A58" s="193" t="s">
        <v>619</v>
      </c>
      <c r="B58" s="177"/>
      <c r="C58" s="178"/>
      <c r="D58" s="179"/>
      <c r="E58" s="180"/>
      <c r="F58" s="194"/>
      <c r="G58" s="181"/>
      <c r="H58" s="194"/>
      <c r="I58" s="220"/>
      <c r="J58" s="183"/>
      <c r="K58" s="184"/>
      <c r="L58" s="183"/>
      <c r="M58" s="183"/>
      <c r="N58" s="183"/>
      <c r="O58" s="183"/>
      <c r="P58" s="192">
        <f>L58+M58+N58+O58</f>
        <v>0</v>
      </c>
      <c r="Q58" s="182"/>
      <c r="R58" s="182"/>
      <c r="S58" s="182"/>
      <c r="T58" s="182"/>
      <c r="U58" s="182"/>
      <c r="V58" s="182"/>
    </row>
    <row r="59" spans="1:23" x14ac:dyDescent="0.25">
      <c r="A59" s="195">
        <v>1985</v>
      </c>
      <c r="B59" s="9" t="s">
        <v>212</v>
      </c>
      <c r="C59" s="51"/>
      <c r="D59" s="56"/>
      <c r="E59" s="56"/>
      <c r="F59" s="142"/>
      <c r="G59" s="142"/>
      <c r="H59" s="52"/>
      <c r="I59" s="53"/>
      <c r="J59" s="52"/>
      <c r="K59" s="53"/>
      <c r="L59" s="52"/>
      <c r="M59" s="52"/>
      <c r="N59" s="52"/>
      <c r="O59" s="52"/>
      <c r="P59" s="192"/>
      <c r="Q59" s="10"/>
      <c r="R59" s="10"/>
      <c r="S59" s="10"/>
      <c r="T59" s="10"/>
      <c r="U59" s="11">
        <f>SUM(U55:U57)</f>
        <v>367.29680000000002</v>
      </c>
      <c r="V59" s="10"/>
    </row>
    <row r="60" spans="1:23" x14ac:dyDescent="0.25">
      <c r="A60" s="89">
        <v>2149</v>
      </c>
      <c r="B60" s="68" t="s">
        <v>518</v>
      </c>
      <c r="C60" s="66"/>
      <c r="D60" s="205"/>
      <c r="E60" s="205"/>
      <c r="F60" s="141">
        <v>45786</v>
      </c>
      <c r="G60" s="141"/>
      <c r="H60" s="141">
        <v>45897</v>
      </c>
      <c r="I60" s="85"/>
      <c r="J60" s="85"/>
      <c r="K60" s="85"/>
      <c r="L60" s="85"/>
      <c r="M60" s="85"/>
      <c r="N60" s="85"/>
      <c r="O60" s="85"/>
      <c r="P60" s="192"/>
      <c r="Q60" s="83" t="s">
        <v>92</v>
      </c>
      <c r="R60" s="68"/>
      <c r="S60" s="68"/>
      <c r="T60" s="68"/>
      <c r="U60" s="85"/>
      <c r="V60" s="68"/>
    </row>
    <row r="61" spans="1:23" x14ac:dyDescent="0.25">
      <c r="A61" s="193" t="s">
        <v>532</v>
      </c>
      <c r="B61" s="177"/>
      <c r="C61" s="178"/>
      <c r="D61" s="179"/>
      <c r="E61" s="180"/>
      <c r="F61" s="194"/>
      <c r="G61" s="181"/>
      <c r="H61" s="194"/>
      <c r="I61" s="220" t="s">
        <v>603</v>
      </c>
      <c r="J61" s="183"/>
      <c r="K61" s="184"/>
      <c r="L61" s="183"/>
      <c r="M61" s="183"/>
      <c r="N61" s="183"/>
      <c r="O61" s="183"/>
      <c r="P61" s="192">
        <f>L61+M61+N61+O61</f>
        <v>0</v>
      </c>
      <c r="Q61" s="182"/>
      <c r="R61" s="182"/>
      <c r="S61" s="182"/>
      <c r="T61" s="182"/>
      <c r="U61" s="182"/>
      <c r="V61" s="182"/>
    </row>
    <row r="62" spans="1:23" s="185" customFormat="1" ht="15" customHeight="1" x14ac:dyDescent="0.25">
      <c r="A62" s="195">
        <v>2149</v>
      </c>
      <c r="B62" s="9" t="s">
        <v>517</v>
      </c>
      <c r="C62" s="51"/>
      <c r="D62" s="56"/>
      <c r="E62" s="56"/>
      <c r="F62" s="142"/>
      <c r="G62" s="142"/>
      <c r="H62" s="52"/>
      <c r="I62" s="53"/>
      <c r="J62" s="52"/>
      <c r="K62" s="53"/>
      <c r="L62" s="52"/>
      <c r="M62" s="52"/>
      <c r="N62" s="52"/>
      <c r="O62" s="52"/>
      <c r="P62" s="192"/>
      <c r="Q62" s="10"/>
      <c r="R62" s="10"/>
      <c r="S62" s="10"/>
      <c r="T62" s="10"/>
      <c r="U62" s="11">
        <f>SUM(U60:U61)</f>
        <v>0</v>
      </c>
      <c r="V62" s="10"/>
    </row>
    <row r="63" spans="1:23" x14ac:dyDescent="0.25">
      <c r="A63" s="187">
        <v>2273</v>
      </c>
      <c r="B63" s="44" t="s">
        <v>588</v>
      </c>
      <c r="C63" s="65" t="s">
        <v>589</v>
      </c>
      <c r="D63" s="75" t="s">
        <v>590</v>
      </c>
      <c r="E63" s="55" t="s">
        <v>22</v>
      </c>
      <c r="F63" s="12">
        <v>45881</v>
      </c>
      <c r="G63" s="143"/>
      <c r="H63" s="203">
        <v>45884</v>
      </c>
      <c r="I63" s="189">
        <v>282.88</v>
      </c>
      <c r="J63" s="1">
        <v>10</v>
      </c>
      <c r="K63" s="2">
        <f>I63/J63</f>
        <v>28.288</v>
      </c>
      <c r="L63" s="1">
        <v>3</v>
      </c>
      <c r="M63" s="1">
        <v>1</v>
      </c>
      <c r="N63" s="1">
        <v>0</v>
      </c>
      <c r="O63" s="1">
        <v>0</v>
      </c>
      <c r="P63" s="192">
        <f>L63+M63+N63+O63</f>
        <v>4</v>
      </c>
      <c r="Q63" s="42">
        <f>K63*50%*L63</f>
        <v>42.432000000000002</v>
      </c>
      <c r="R63" s="42">
        <f>K63*60%*M63</f>
        <v>16.972799999999999</v>
      </c>
      <c r="S63" s="42">
        <f>K63*60%*N63</f>
        <v>0</v>
      </c>
      <c r="T63" s="42">
        <f>K63*75%*O63</f>
        <v>0</v>
      </c>
      <c r="U63" s="42">
        <f>S63+T63</f>
        <v>0</v>
      </c>
      <c r="V63" s="42">
        <f>K63*(M63+O63+L63+N63)*100%</f>
        <v>113.152</v>
      </c>
    </row>
    <row r="64" spans="1:23" x14ac:dyDescent="0.25">
      <c r="A64" s="195">
        <v>2273</v>
      </c>
      <c r="B64" s="9" t="s">
        <v>577</v>
      </c>
      <c r="C64" s="51"/>
      <c r="D64" s="56"/>
      <c r="E64" s="56"/>
      <c r="F64" s="142"/>
      <c r="G64" s="142"/>
      <c r="H64" s="52"/>
      <c r="I64" s="53"/>
      <c r="J64" s="52"/>
      <c r="K64" s="53"/>
      <c r="L64" s="52"/>
      <c r="M64" s="52"/>
      <c r="N64" s="52"/>
      <c r="O64" s="52"/>
      <c r="P64" s="192"/>
      <c r="Q64" s="10"/>
      <c r="R64" s="10"/>
      <c r="S64" s="10"/>
      <c r="T64" s="10"/>
      <c r="U64" s="11">
        <f>SUM(U63)</f>
        <v>0</v>
      </c>
      <c r="V64" s="10"/>
    </row>
    <row r="65" spans="1:23" x14ac:dyDescent="0.25">
      <c r="A65" s="196">
        <v>2281</v>
      </c>
      <c r="B65" s="44" t="s">
        <v>538</v>
      </c>
      <c r="C65" s="65" t="s">
        <v>539</v>
      </c>
      <c r="D65" s="55">
        <v>100</v>
      </c>
      <c r="E65" s="55" t="s">
        <v>22</v>
      </c>
      <c r="F65" s="12">
        <v>45866</v>
      </c>
      <c r="G65" s="143">
        <v>45901</v>
      </c>
      <c r="H65" s="12" t="s">
        <v>599</v>
      </c>
      <c r="I65" s="42">
        <v>1468.59</v>
      </c>
      <c r="J65" s="1">
        <v>30</v>
      </c>
      <c r="K65" s="2">
        <f>I65/J65</f>
        <v>48.952999999999996</v>
      </c>
      <c r="L65" s="1">
        <v>0</v>
      </c>
      <c r="M65" s="1">
        <v>11</v>
      </c>
      <c r="N65" s="1">
        <v>5</v>
      </c>
      <c r="O65" s="1">
        <v>15</v>
      </c>
      <c r="P65" s="192">
        <f t="shared" ref="P65:P71" si="3">L65+M65+N65+O65</f>
        <v>31</v>
      </c>
      <c r="Q65" s="42">
        <f>K65*50%*L65</f>
        <v>0</v>
      </c>
      <c r="R65" s="42">
        <f>K65*60%*M65</f>
        <v>323.08979999999997</v>
      </c>
      <c r="S65" s="42">
        <f>K65*60%*N65</f>
        <v>146.85899999999998</v>
      </c>
      <c r="T65" s="42">
        <f>K65*75%*O65</f>
        <v>550.72124999999994</v>
      </c>
      <c r="U65" s="42">
        <f>S65+T65</f>
        <v>697.58024999999998</v>
      </c>
      <c r="V65" s="42">
        <f>K65*(M65+O65+L65+N65)*100%</f>
        <v>1517.5429999999999</v>
      </c>
    </row>
    <row r="66" spans="1:23" x14ac:dyDescent="0.25">
      <c r="A66" s="196">
        <v>2281</v>
      </c>
      <c r="B66" s="44" t="s">
        <v>570</v>
      </c>
      <c r="C66" s="65" t="s">
        <v>571</v>
      </c>
      <c r="D66" s="55">
        <v>100</v>
      </c>
      <c r="E66" s="55" t="s">
        <v>22</v>
      </c>
      <c r="F66" s="12">
        <v>45873</v>
      </c>
      <c r="G66" s="143"/>
      <c r="H66" s="203">
        <v>45875</v>
      </c>
      <c r="I66" s="42">
        <v>2094.94</v>
      </c>
      <c r="J66" s="1">
        <v>30</v>
      </c>
      <c r="K66" s="2">
        <f>I66/J66</f>
        <v>69.831333333333333</v>
      </c>
      <c r="L66" s="1">
        <v>2</v>
      </c>
      <c r="M66" s="1">
        <v>0</v>
      </c>
      <c r="N66" s="1">
        <v>0</v>
      </c>
      <c r="O66" s="1">
        <v>0</v>
      </c>
      <c r="P66" s="192">
        <f t="shared" si="3"/>
        <v>2</v>
      </c>
      <c r="Q66" s="42">
        <f>K66*50%*L66</f>
        <v>69.831333333333333</v>
      </c>
      <c r="R66" s="42">
        <f>K66*60%*M66</f>
        <v>0</v>
      </c>
      <c r="S66" s="42">
        <f>K66*60%*N66</f>
        <v>0</v>
      </c>
      <c r="T66" s="42">
        <f>K66*75%*O66</f>
        <v>0</v>
      </c>
      <c r="U66" s="42">
        <f>S66+T66</f>
        <v>0</v>
      </c>
      <c r="V66" s="42">
        <f>K66*(M66+O66+L66+N66)*100%</f>
        <v>139.66266666666667</v>
      </c>
    </row>
    <row r="67" spans="1:23" x14ac:dyDescent="0.25">
      <c r="A67" s="196">
        <v>2281</v>
      </c>
      <c r="B67" s="44" t="s">
        <v>296</v>
      </c>
      <c r="C67" s="65" t="s">
        <v>297</v>
      </c>
      <c r="D67" s="55">
        <v>100</v>
      </c>
      <c r="E67" s="55" t="s">
        <v>22</v>
      </c>
      <c r="F67" s="12">
        <v>45896</v>
      </c>
      <c r="G67" s="143">
        <v>45903</v>
      </c>
      <c r="H67" s="203"/>
      <c r="I67" s="42">
        <v>1579.87</v>
      </c>
      <c r="J67" s="1">
        <v>30</v>
      </c>
      <c r="K67" s="2">
        <f>I67/J67</f>
        <v>52.662333333333329</v>
      </c>
      <c r="L67" s="1">
        <v>3</v>
      </c>
      <c r="M67" s="1">
        <v>1</v>
      </c>
      <c r="N67" s="1">
        <v>0</v>
      </c>
      <c r="O67" s="1">
        <v>0</v>
      </c>
      <c r="P67" s="192">
        <f t="shared" si="3"/>
        <v>4</v>
      </c>
      <c r="Q67" s="42">
        <f>K67*50%*L67</f>
        <v>78.993499999999997</v>
      </c>
      <c r="R67" s="42">
        <f>K67*60%*M67</f>
        <v>31.597399999999997</v>
      </c>
      <c r="S67" s="42">
        <f>K67*60%*N67</f>
        <v>0</v>
      </c>
      <c r="T67" s="42">
        <f>K67*75%*O67</f>
        <v>0</v>
      </c>
      <c r="U67" s="42">
        <f>S67+T67</f>
        <v>0</v>
      </c>
      <c r="V67" s="42">
        <f>K67*(M67+O67+L67+N67)*100%</f>
        <v>210.64933333333332</v>
      </c>
    </row>
    <row r="68" spans="1:23" s="185" customFormat="1" ht="15" customHeight="1" x14ac:dyDescent="0.25">
      <c r="A68" s="195">
        <v>2281</v>
      </c>
      <c r="B68" s="9" t="s">
        <v>60</v>
      </c>
      <c r="C68" s="51"/>
      <c r="D68" s="56"/>
      <c r="E68" s="56"/>
      <c r="F68" s="142"/>
      <c r="G68" s="142"/>
      <c r="H68" s="52"/>
      <c r="I68" s="53"/>
      <c r="J68" s="52"/>
      <c r="K68" s="53"/>
      <c r="L68" s="52"/>
      <c r="M68" s="52"/>
      <c r="N68" s="52"/>
      <c r="O68" s="52"/>
      <c r="P68" s="192">
        <f t="shared" si="3"/>
        <v>0</v>
      </c>
      <c r="Q68" s="10"/>
      <c r="R68" s="10"/>
      <c r="S68" s="10"/>
      <c r="T68" s="10"/>
      <c r="U68" s="11">
        <f>SUM(U65:U67)</f>
        <v>697.58024999999998</v>
      </c>
      <c r="V68" s="10"/>
    </row>
    <row r="69" spans="1:23" x14ac:dyDescent="0.25">
      <c r="A69" s="196">
        <v>2290</v>
      </c>
      <c r="B69" s="44" t="s">
        <v>415</v>
      </c>
      <c r="C69" s="65" t="s">
        <v>416</v>
      </c>
      <c r="D69" s="55">
        <v>189</v>
      </c>
      <c r="E69" s="55" t="s">
        <v>22</v>
      </c>
      <c r="F69" s="12">
        <v>45897</v>
      </c>
      <c r="G69" s="143"/>
      <c r="H69" s="203"/>
      <c r="I69" s="42">
        <v>1477.48</v>
      </c>
      <c r="J69" s="1">
        <v>30</v>
      </c>
      <c r="K69" s="2">
        <f>I69/J69</f>
        <v>49.249333333333333</v>
      </c>
      <c r="L69" s="1">
        <v>3</v>
      </c>
      <c r="M69" s="1">
        <v>1</v>
      </c>
      <c r="N69" s="1">
        <v>0</v>
      </c>
      <c r="O69" s="1">
        <v>0</v>
      </c>
      <c r="P69" s="192">
        <f>L69+M69+N69+O69</f>
        <v>4</v>
      </c>
      <c r="Q69" s="42">
        <f>K69*50%*L69</f>
        <v>73.873999999999995</v>
      </c>
      <c r="R69" s="42">
        <f>K69*60%*M69</f>
        <v>29.549599999999998</v>
      </c>
      <c r="S69" s="42">
        <f>K69*60%*N69</f>
        <v>0</v>
      </c>
      <c r="T69" s="42">
        <f>K69*75%*O69</f>
        <v>0</v>
      </c>
      <c r="U69" s="42">
        <f>S69+T69</f>
        <v>0</v>
      </c>
      <c r="V69" s="42">
        <f>K69*(M69+O69+L69+N69)*100%</f>
        <v>196.99733333333333</v>
      </c>
    </row>
    <row r="70" spans="1:23" x14ac:dyDescent="0.25">
      <c r="A70" s="196">
        <v>2290</v>
      </c>
      <c r="B70" s="44" t="s">
        <v>406</v>
      </c>
      <c r="C70" s="65" t="s">
        <v>539</v>
      </c>
      <c r="D70" s="55">
        <v>100</v>
      </c>
      <c r="E70" s="55" t="s">
        <v>22</v>
      </c>
      <c r="F70" s="12">
        <v>45877</v>
      </c>
      <c r="G70" s="143"/>
      <c r="H70" s="203">
        <v>45880</v>
      </c>
      <c r="I70" s="42">
        <v>1531.14</v>
      </c>
      <c r="J70" s="1">
        <v>30</v>
      </c>
      <c r="K70" s="2">
        <f>I70/J70</f>
        <v>51.038000000000004</v>
      </c>
      <c r="L70" s="1">
        <v>3</v>
      </c>
      <c r="M70" s="1">
        <v>1</v>
      </c>
      <c r="N70" s="1">
        <v>0</v>
      </c>
      <c r="O70" s="1">
        <v>0</v>
      </c>
      <c r="P70" s="192">
        <f t="shared" si="3"/>
        <v>4</v>
      </c>
      <c r="Q70" s="42">
        <f>K70*50%*L70</f>
        <v>76.557000000000002</v>
      </c>
      <c r="R70" s="42">
        <f>K70*60%*M70</f>
        <v>30.622800000000002</v>
      </c>
      <c r="S70" s="42">
        <f>K70*60%*N70</f>
        <v>0</v>
      </c>
      <c r="T70" s="42">
        <f>K70*75%*O70</f>
        <v>0</v>
      </c>
      <c r="U70" s="42">
        <f>S70+T70</f>
        <v>0</v>
      </c>
      <c r="V70" s="42">
        <f>K70*(M70+O70+L70+N70)*100%</f>
        <v>204.15200000000002</v>
      </c>
    </row>
    <row r="71" spans="1:23" x14ac:dyDescent="0.25">
      <c r="A71" s="89">
        <v>2290</v>
      </c>
      <c r="B71" s="68" t="s">
        <v>406</v>
      </c>
      <c r="C71" s="66" t="s">
        <v>407</v>
      </c>
      <c r="D71" s="205">
        <v>100</v>
      </c>
      <c r="E71" s="205" t="s">
        <v>22</v>
      </c>
      <c r="F71" s="141">
        <v>45883</v>
      </c>
      <c r="G71" s="141"/>
      <c r="H71" s="141"/>
      <c r="I71" s="85"/>
      <c r="J71" s="85"/>
      <c r="K71" s="85"/>
      <c r="L71" s="85"/>
      <c r="M71" s="85"/>
      <c r="N71" s="85"/>
      <c r="O71" s="85"/>
      <c r="P71" s="192">
        <f t="shared" si="3"/>
        <v>0</v>
      </c>
      <c r="Q71" s="83" t="s">
        <v>88</v>
      </c>
      <c r="R71" s="68"/>
      <c r="S71" s="68"/>
      <c r="T71" s="68"/>
      <c r="U71" s="85"/>
      <c r="V71" s="68"/>
    </row>
    <row r="72" spans="1:23" s="185" customFormat="1" ht="14.25" customHeight="1" x14ac:dyDescent="0.25">
      <c r="A72" s="193" t="s">
        <v>593</v>
      </c>
      <c r="B72" s="177"/>
      <c r="C72" s="178"/>
      <c r="D72" s="179"/>
      <c r="E72" s="180"/>
      <c r="F72" s="194"/>
      <c r="G72" s="181"/>
      <c r="H72" s="194"/>
      <c r="I72" s="182"/>
      <c r="J72" s="183"/>
      <c r="K72" s="184"/>
      <c r="L72" s="183"/>
      <c r="M72" s="183"/>
      <c r="N72" s="183"/>
      <c r="O72" s="183"/>
      <c r="P72" s="192"/>
      <c r="Q72" s="182"/>
      <c r="R72" s="182"/>
      <c r="S72" s="182"/>
      <c r="T72" s="182"/>
      <c r="U72" s="182"/>
      <c r="V72" s="182"/>
    </row>
    <row r="73" spans="1:23" x14ac:dyDescent="0.25">
      <c r="A73" s="196">
        <v>2290</v>
      </c>
      <c r="B73" s="44" t="s">
        <v>98</v>
      </c>
      <c r="C73" s="65" t="s">
        <v>99</v>
      </c>
      <c r="D73" s="55">
        <v>100</v>
      </c>
      <c r="E73" s="55" t="s">
        <v>22</v>
      </c>
      <c r="F73" s="12">
        <v>45607</v>
      </c>
      <c r="G73" s="143">
        <v>45915</v>
      </c>
      <c r="H73" s="12" t="s">
        <v>616</v>
      </c>
      <c r="I73" s="42">
        <v>1500.04</v>
      </c>
      <c r="J73" s="1">
        <v>30</v>
      </c>
      <c r="K73" s="2">
        <f>I73/J73</f>
        <v>50.001333333333335</v>
      </c>
      <c r="L73" s="1">
        <v>0</v>
      </c>
      <c r="M73" s="1">
        <v>0</v>
      </c>
      <c r="N73" s="1">
        <v>0</v>
      </c>
      <c r="O73" s="1">
        <v>31</v>
      </c>
      <c r="P73" s="192">
        <f>L73+M73+N73+O73</f>
        <v>31</v>
      </c>
      <c r="Q73" s="42">
        <f>K73*50%*L73</f>
        <v>0</v>
      </c>
      <c r="R73" s="42">
        <f>K73*60%*M73</f>
        <v>0</v>
      </c>
      <c r="S73" s="42">
        <f>K73*60%*N73</f>
        <v>0</v>
      </c>
      <c r="T73" s="42">
        <f>K73*75%*O73</f>
        <v>1162.5310000000002</v>
      </c>
      <c r="U73" s="42">
        <f>S73+T73</f>
        <v>1162.5310000000002</v>
      </c>
      <c r="V73" s="42">
        <f>K73*(M73+O73+L73+N73)*100%</f>
        <v>1550.0413333333333</v>
      </c>
      <c r="W73" s="241"/>
    </row>
    <row r="74" spans="1:23" x14ac:dyDescent="0.25">
      <c r="A74" s="193" t="s">
        <v>531</v>
      </c>
      <c r="B74" s="177"/>
      <c r="C74" s="178"/>
      <c r="D74" s="179"/>
      <c r="E74" s="180"/>
      <c r="F74" s="194"/>
      <c r="G74" s="181"/>
      <c r="H74" s="194"/>
      <c r="I74" s="220" t="s">
        <v>642</v>
      </c>
      <c r="J74" s="183"/>
      <c r="K74" s="184"/>
      <c r="L74" s="183"/>
      <c r="M74" s="183"/>
      <c r="N74" s="183"/>
      <c r="O74" s="183"/>
      <c r="P74" s="192"/>
      <c r="Q74" s="182"/>
      <c r="R74" s="182"/>
      <c r="S74" s="182"/>
      <c r="T74" s="182"/>
      <c r="U74" s="182"/>
      <c r="V74" s="182"/>
    </row>
    <row r="75" spans="1:23" s="185" customFormat="1" ht="15" customHeight="1" x14ac:dyDescent="0.25">
      <c r="A75" s="209">
        <v>2290</v>
      </c>
      <c r="B75" s="210" t="s">
        <v>427</v>
      </c>
      <c r="C75" s="211" t="s">
        <v>437</v>
      </c>
      <c r="D75" s="212">
        <v>100</v>
      </c>
      <c r="E75" s="212" t="s">
        <v>22</v>
      </c>
      <c r="F75" s="213">
        <v>45797</v>
      </c>
      <c r="G75" s="237">
        <v>45909</v>
      </c>
      <c r="H75" s="213" t="s">
        <v>587</v>
      </c>
      <c r="I75" s="214">
        <v>1547.49</v>
      </c>
      <c r="J75" s="215">
        <v>27</v>
      </c>
      <c r="K75" s="216">
        <v>51.62</v>
      </c>
      <c r="L75" s="215">
        <v>0</v>
      </c>
      <c r="M75" s="215">
        <v>0</v>
      </c>
      <c r="N75" s="215">
        <v>0</v>
      </c>
      <c r="O75" s="215">
        <v>31</v>
      </c>
      <c r="P75" s="238">
        <f>L75+M75+N75+O75</f>
        <v>31</v>
      </c>
      <c r="Q75" s="214">
        <f>K75*50%*L75</f>
        <v>0</v>
      </c>
      <c r="R75" s="214">
        <f>K75*60%*M75</f>
        <v>0</v>
      </c>
      <c r="S75" s="214">
        <f>K75*60%*N75</f>
        <v>0</v>
      </c>
      <c r="T75" s="214">
        <f>K75*75%*O75</f>
        <v>1200.165</v>
      </c>
      <c r="U75" s="214">
        <f>S75+T75</f>
        <v>1200.165</v>
      </c>
      <c r="V75" s="214">
        <f>K75*(M75+O75+L75+N75)*100%</f>
        <v>1600.22</v>
      </c>
      <c r="W75" s="241"/>
    </row>
    <row r="76" spans="1:23" s="185" customFormat="1" ht="15" customHeight="1" x14ac:dyDescent="0.25">
      <c r="A76" s="193" t="s">
        <v>468</v>
      </c>
      <c r="B76" s="177"/>
      <c r="C76" s="178"/>
      <c r="D76" s="179"/>
      <c r="E76" s="180"/>
      <c r="F76" s="194"/>
      <c r="G76" s="181"/>
      <c r="H76" s="194"/>
      <c r="I76" s="220" t="s">
        <v>643</v>
      </c>
      <c r="J76" s="183"/>
      <c r="K76" s="184"/>
      <c r="L76" s="183"/>
      <c r="M76" s="183"/>
      <c r="N76" s="183"/>
      <c r="O76" s="183"/>
      <c r="P76" s="192"/>
      <c r="Q76" s="182"/>
      <c r="R76" s="182"/>
      <c r="S76" s="182"/>
      <c r="T76" s="182"/>
      <c r="U76" s="182"/>
      <c r="V76" s="182"/>
    </row>
    <row r="77" spans="1:23" x14ac:dyDescent="0.25">
      <c r="A77" s="196">
        <v>2290</v>
      </c>
      <c r="B77" s="44" t="s">
        <v>499</v>
      </c>
      <c r="C77" s="65" t="s">
        <v>500</v>
      </c>
      <c r="D77" s="55">
        <v>100</v>
      </c>
      <c r="E77" s="55" t="s">
        <v>22</v>
      </c>
      <c r="F77" s="12">
        <v>45845</v>
      </c>
      <c r="G77" s="143">
        <v>45908</v>
      </c>
      <c r="H77" s="12" t="s">
        <v>623</v>
      </c>
      <c r="I77" s="42">
        <v>2500</v>
      </c>
      <c r="J77" s="1">
        <v>30</v>
      </c>
      <c r="K77" s="2">
        <f>I77/J77</f>
        <v>83.333333333333329</v>
      </c>
      <c r="L77" s="1">
        <v>0</v>
      </c>
      <c r="M77" s="1">
        <v>0</v>
      </c>
      <c r="N77" s="1">
        <v>0</v>
      </c>
      <c r="O77" s="1">
        <v>31</v>
      </c>
      <c r="P77" s="192">
        <f>L77+M77+N77+O77</f>
        <v>31</v>
      </c>
      <c r="Q77" s="42">
        <f>K77*50%*L77</f>
        <v>0</v>
      </c>
      <c r="R77" s="42">
        <f>K77*60%*M77</f>
        <v>0</v>
      </c>
      <c r="S77" s="42">
        <f>K77*60%*N77</f>
        <v>0</v>
      </c>
      <c r="T77" s="42">
        <f>K77*75%*O77</f>
        <v>1937.5</v>
      </c>
      <c r="U77" s="42">
        <f>S77+T77</f>
        <v>1937.5</v>
      </c>
      <c r="V77" s="42">
        <f>K77*(M77+O77+L77+N77)*100%</f>
        <v>2583.333333333333</v>
      </c>
      <c r="W77" s="241"/>
    </row>
    <row r="78" spans="1:23" x14ac:dyDescent="0.25">
      <c r="A78" s="196">
        <v>2290</v>
      </c>
      <c r="B78" s="44" t="s">
        <v>97</v>
      </c>
      <c r="C78" s="65" t="s">
        <v>100</v>
      </c>
      <c r="D78" s="55">
        <v>100</v>
      </c>
      <c r="E78" s="55" t="s">
        <v>22</v>
      </c>
      <c r="F78" s="12">
        <v>45561</v>
      </c>
      <c r="G78" s="143">
        <v>45901</v>
      </c>
      <c r="H78" s="12" t="s">
        <v>574</v>
      </c>
      <c r="I78" s="42">
        <v>1512.48</v>
      </c>
      <c r="J78" s="1">
        <v>30</v>
      </c>
      <c r="K78" s="2">
        <f>I78/J78</f>
        <v>50.416000000000004</v>
      </c>
      <c r="L78" s="1">
        <v>0</v>
      </c>
      <c r="M78" s="1">
        <v>0</v>
      </c>
      <c r="N78" s="1">
        <v>0</v>
      </c>
      <c r="O78" s="1">
        <v>31</v>
      </c>
      <c r="P78" s="192">
        <f>L78+M78+N78+O78</f>
        <v>31</v>
      </c>
      <c r="Q78" s="42">
        <f>K78*50%*L78</f>
        <v>0</v>
      </c>
      <c r="R78" s="42">
        <f>K78*60%*M78</f>
        <v>0</v>
      </c>
      <c r="S78" s="42">
        <f>K78*60%*N78</f>
        <v>0</v>
      </c>
      <c r="T78" s="42">
        <f>K78*75%*O78</f>
        <v>1172.1720000000003</v>
      </c>
      <c r="U78" s="42">
        <f>S78+T78</f>
        <v>1172.1720000000003</v>
      </c>
      <c r="V78" s="42">
        <f>K78*(M78+O78+L78+N78)*100%</f>
        <v>1562.8960000000002</v>
      </c>
      <c r="W78" s="241"/>
    </row>
    <row r="79" spans="1:23" s="185" customFormat="1" ht="15" customHeight="1" x14ac:dyDescent="0.25">
      <c r="A79" s="193" t="s">
        <v>117</v>
      </c>
      <c r="B79" s="177"/>
      <c r="C79" s="178"/>
      <c r="D79" s="179"/>
      <c r="E79" s="180"/>
      <c r="F79" s="194"/>
      <c r="G79" s="181"/>
      <c r="H79" s="194"/>
      <c r="I79" s="182"/>
      <c r="J79" s="183"/>
      <c r="K79" s="184"/>
      <c r="L79" s="183"/>
      <c r="M79" s="183"/>
      <c r="N79" s="183"/>
      <c r="O79" s="183"/>
      <c r="P79" s="192"/>
      <c r="Q79" s="182"/>
      <c r="R79" s="182"/>
      <c r="S79" s="182"/>
      <c r="T79" s="182"/>
      <c r="U79" s="182"/>
      <c r="V79" s="182"/>
    </row>
    <row r="80" spans="1:23" x14ac:dyDescent="0.25">
      <c r="A80" s="196">
        <v>2290</v>
      </c>
      <c r="B80" s="44" t="s">
        <v>650</v>
      </c>
      <c r="C80" s="65" t="s">
        <v>458</v>
      </c>
      <c r="D80" s="55">
        <v>200</v>
      </c>
      <c r="E80" s="55" t="s">
        <v>22</v>
      </c>
      <c r="F80" s="12">
        <v>45899</v>
      </c>
      <c r="G80" s="143">
        <v>45906</v>
      </c>
      <c r="H80" s="12"/>
      <c r="I80" s="42">
        <v>748.59</v>
      </c>
      <c r="J80" s="1">
        <v>38</v>
      </c>
      <c r="K80" s="2">
        <f>I80/J80</f>
        <v>19.699736842105263</v>
      </c>
      <c r="L80" s="1">
        <v>2</v>
      </c>
      <c r="M80" s="1">
        <v>0</v>
      </c>
      <c r="N80" s="1">
        <v>0</v>
      </c>
      <c r="O80" s="1">
        <v>0</v>
      </c>
      <c r="P80" s="192">
        <f>L80+M80+N80+O80</f>
        <v>2</v>
      </c>
      <c r="Q80" s="42">
        <f>K80*50%*L80</f>
        <v>19.699736842105263</v>
      </c>
      <c r="R80" s="42">
        <f>K80*60%*M80</f>
        <v>0</v>
      </c>
      <c r="S80" s="42">
        <f>K80*60%*N80</f>
        <v>0</v>
      </c>
      <c r="T80" s="42">
        <f>K80*75%*O80</f>
        <v>0</v>
      </c>
      <c r="U80" s="42">
        <f>S80+T80</f>
        <v>0</v>
      </c>
      <c r="V80" s="42">
        <f>K80*(M80+O80+L80+N80)*100%</f>
        <v>39.399473684210527</v>
      </c>
      <c r="W80" s="263"/>
    </row>
    <row r="81" spans="1:24" x14ac:dyDescent="0.25">
      <c r="A81" s="196">
        <v>2290</v>
      </c>
      <c r="B81" s="44" t="s">
        <v>515</v>
      </c>
      <c r="C81" s="65" t="s">
        <v>114</v>
      </c>
      <c r="D81" s="55">
        <v>100</v>
      </c>
      <c r="E81" s="55" t="s">
        <v>22</v>
      </c>
      <c r="F81" s="12">
        <v>45856</v>
      </c>
      <c r="G81" s="143">
        <v>45912</v>
      </c>
      <c r="H81" s="12" t="s">
        <v>644</v>
      </c>
      <c r="I81" s="42">
        <v>1477.48</v>
      </c>
      <c r="J81" s="1">
        <v>30</v>
      </c>
      <c r="K81" s="2">
        <f>I81/J81</f>
        <v>49.249333333333333</v>
      </c>
      <c r="L81" s="1">
        <v>0</v>
      </c>
      <c r="M81" s="1">
        <v>1</v>
      </c>
      <c r="N81" s="1">
        <v>5</v>
      </c>
      <c r="O81" s="1">
        <v>25</v>
      </c>
      <c r="P81" s="192">
        <f>L81+M81+N81+O81</f>
        <v>31</v>
      </c>
      <c r="Q81" s="42">
        <f>K81*50%*L81</f>
        <v>0</v>
      </c>
      <c r="R81" s="42">
        <f>K81*60%*M81</f>
        <v>29.549599999999998</v>
      </c>
      <c r="S81" s="42">
        <f>K81*60%*N81</f>
        <v>147.74799999999999</v>
      </c>
      <c r="T81" s="42">
        <f>K81*75%*O81</f>
        <v>923.42499999999995</v>
      </c>
      <c r="U81" s="42">
        <f>S81+T81</f>
        <v>1071.173</v>
      </c>
      <c r="V81" s="42">
        <f>K81*(M81+O81+L81+N81)*100%</f>
        <v>1526.7293333333332</v>
      </c>
      <c r="W81" s="241"/>
      <c r="X81" s="241"/>
    </row>
    <row r="82" spans="1:24" s="185" customFormat="1" ht="15" customHeight="1" x14ac:dyDescent="0.25">
      <c r="A82" s="193" t="s">
        <v>592</v>
      </c>
      <c r="B82" s="177"/>
      <c r="C82" s="178"/>
      <c r="D82" s="179"/>
      <c r="E82" s="180"/>
      <c r="F82" s="194"/>
      <c r="G82" s="181"/>
      <c r="H82" s="194"/>
      <c r="I82" s="182"/>
      <c r="J82" s="183"/>
      <c r="K82" s="184"/>
      <c r="L82" s="183"/>
      <c r="M82" s="183"/>
      <c r="N82" s="183"/>
      <c r="O82" s="183"/>
      <c r="P82" s="192"/>
      <c r="Q82" s="182"/>
      <c r="R82" s="182"/>
      <c r="S82" s="182"/>
      <c r="T82" s="182"/>
      <c r="U82" s="182"/>
      <c r="V82" s="182"/>
    </row>
    <row r="83" spans="1:24" x14ac:dyDescent="0.25">
      <c r="A83" s="196">
        <v>2290</v>
      </c>
      <c r="B83" s="44" t="s">
        <v>648</v>
      </c>
      <c r="C83" s="65" t="s">
        <v>649</v>
      </c>
      <c r="D83" s="55">
        <v>100</v>
      </c>
      <c r="E83" s="55" t="s">
        <v>22</v>
      </c>
      <c r="F83" s="12">
        <v>45898</v>
      </c>
      <c r="G83" s="143"/>
      <c r="H83" s="203">
        <v>45898</v>
      </c>
      <c r="I83" s="42">
        <v>1500.04</v>
      </c>
      <c r="J83" s="1">
        <v>30</v>
      </c>
      <c r="K83" s="2">
        <f>I83/J83</f>
        <v>50.001333333333335</v>
      </c>
      <c r="L83" s="1">
        <v>1</v>
      </c>
      <c r="M83" s="1">
        <v>0</v>
      </c>
      <c r="N83" s="1">
        <v>0</v>
      </c>
      <c r="O83" s="1">
        <v>0</v>
      </c>
      <c r="P83" s="192">
        <f>L83+M83+N83+O83</f>
        <v>1</v>
      </c>
      <c r="Q83" s="42">
        <f>K83*50%*L83</f>
        <v>25.000666666666667</v>
      </c>
      <c r="R83" s="42">
        <f>K83*60%*M83</f>
        <v>0</v>
      </c>
      <c r="S83" s="42">
        <f>K83*60%*N83</f>
        <v>0</v>
      </c>
      <c r="T83" s="42">
        <f>K83*75%*O83</f>
        <v>0</v>
      </c>
      <c r="U83" s="42">
        <f>S83+T83</f>
        <v>0</v>
      </c>
      <c r="V83" s="42">
        <f>K83*(M83+O83+L83+N83)*100%</f>
        <v>50.001333333333335</v>
      </c>
      <c r="W83" s="263"/>
    </row>
    <row r="84" spans="1:24" x14ac:dyDescent="0.25">
      <c r="A84" s="196">
        <v>2290</v>
      </c>
      <c r="B84" s="44" t="s">
        <v>615</v>
      </c>
      <c r="C84" s="65" t="s">
        <v>102</v>
      </c>
      <c r="D84" s="55">
        <v>100</v>
      </c>
      <c r="E84" s="55" t="s">
        <v>22</v>
      </c>
      <c r="F84" s="12">
        <v>45891</v>
      </c>
      <c r="G84" s="143">
        <v>45905</v>
      </c>
      <c r="H84" s="12" t="s">
        <v>645</v>
      </c>
      <c r="I84" s="42">
        <v>1477.48</v>
      </c>
      <c r="J84" s="1">
        <v>30</v>
      </c>
      <c r="K84" s="2">
        <f>I84/J84</f>
        <v>49.249333333333333</v>
      </c>
      <c r="L84" s="1">
        <v>3</v>
      </c>
      <c r="M84" s="1">
        <v>7</v>
      </c>
      <c r="N84" s="1">
        <v>0</v>
      </c>
      <c r="O84" s="1">
        <v>0</v>
      </c>
      <c r="P84" s="192">
        <f>L84+M84+N84+O84</f>
        <v>10</v>
      </c>
      <c r="Q84" s="42">
        <f>K84*50%*L84</f>
        <v>73.873999999999995</v>
      </c>
      <c r="R84" s="42">
        <f>K84*60%*M84</f>
        <v>206.84719999999999</v>
      </c>
      <c r="S84" s="42">
        <f>K84*60%*N84</f>
        <v>0</v>
      </c>
      <c r="T84" s="42">
        <f>K84*75%*O84</f>
        <v>0</v>
      </c>
      <c r="U84" s="42">
        <f>S84+T84</f>
        <v>0</v>
      </c>
      <c r="V84" s="42">
        <f>K84*(M84+O84+L84+N84)*100%</f>
        <v>492.49333333333334</v>
      </c>
      <c r="W84" s="263"/>
    </row>
    <row r="85" spans="1:24" x14ac:dyDescent="0.25">
      <c r="A85" s="193" t="s">
        <v>627</v>
      </c>
      <c r="B85" s="177"/>
      <c r="C85" s="178"/>
      <c r="D85" s="179"/>
      <c r="E85" s="180"/>
      <c r="F85" s="194"/>
      <c r="G85" s="181"/>
      <c r="H85" s="194"/>
      <c r="I85" s="182"/>
      <c r="J85" s="183"/>
      <c r="K85" s="184"/>
      <c r="L85" s="183"/>
      <c r="M85" s="183"/>
      <c r="N85" s="183"/>
      <c r="O85" s="183"/>
      <c r="P85" s="192"/>
      <c r="Q85" s="182"/>
      <c r="R85" s="182"/>
      <c r="S85" s="182"/>
      <c r="T85" s="182"/>
      <c r="U85" s="182"/>
      <c r="V85" s="182"/>
    </row>
    <row r="86" spans="1:24" x14ac:dyDescent="0.25">
      <c r="A86" s="197">
        <v>2290</v>
      </c>
      <c r="B86" s="9" t="s">
        <v>54</v>
      </c>
      <c r="C86" s="51"/>
      <c r="D86" s="56"/>
      <c r="E86" s="56"/>
      <c r="F86" s="142"/>
      <c r="G86" s="142"/>
      <c r="H86" s="52"/>
      <c r="I86" s="53"/>
      <c r="J86" s="52"/>
      <c r="K86" s="53"/>
      <c r="L86" s="52"/>
      <c r="M86" s="52"/>
      <c r="N86" s="52"/>
      <c r="O86" s="52"/>
      <c r="P86" s="192">
        <f>L86+M86+N86+O86</f>
        <v>0</v>
      </c>
      <c r="Q86" s="10"/>
      <c r="R86" s="10"/>
      <c r="S86" s="10"/>
      <c r="T86" s="10"/>
      <c r="U86" s="11">
        <f>SUM(U71:U81)</f>
        <v>6543.5410000000002</v>
      </c>
      <c r="V86" s="10"/>
    </row>
    <row r="87" spans="1:24" s="185" customFormat="1" x14ac:dyDescent="0.25">
      <c r="A87" s="196">
        <v>2350</v>
      </c>
      <c r="B87" s="44" t="s">
        <v>93</v>
      </c>
      <c r="C87" s="65" t="s">
        <v>94</v>
      </c>
      <c r="D87" s="55">
        <v>100</v>
      </c>
      <c r="E87" s="55" t="s">
        <v>22</v>
      </c>
      <c r="F87" s="12">
        <v>45443</v>
      </c>
      <c r="G87" s="143">
        <v>45807</v>
      </c>
      <c r="H87" s="12" t="s">
        <v>435</v>
      </c>
      <c r="I87" s="186">
        <v>1323</v>
      </c>
      <c r="J87" s="1">
        <v>30</v>
      </c>
      <c r="K87" s="2">
        <f>I87/J87</f>
        <v>44.1</v>
      </c>
      <c r="L87" s="1">
        <v>0</v>
      </c>
      <c r="M87" s="1">
        <v>0</v>
      </c>
      <c r="N87" s="1">
        <v>0</v>
      </c>
      <c r="O87" s="1">
        <v>31</v>
      </c>
      <c r="P87" s="192">
        <f>L87+M87+N87+O87</f>
        <v>31</v>
      </c>
      <c r="Q87" s="42">
        <f>K87*50%*L87</f>
        <v>0</v>
      </c>
      <c r="R87" s="42">
        <f>K87*60%*M87</f>
        <v>0</v>
      </c>
      <c r="S87" s="42">
        <f>K87*60%*N87</f>
        <v>0</v>
      </c>
      <c r="T87" s="42">
        <f>K87*75%*O87</f>
        <v>1025.325</v>
      </c>
      <c r="U87" s="42">
        <f>S87+T87</f>
        <v>1025.325</v>
      </c>
      <c r="V87" s="42">
        <f>K87*(M87+O87+L87+N87)*100%</f>
        <v>1367.1000000000001</v>
      </c>
      <c r="W87" s="241"/>
    </row>
    <row r="88" spans="1:24" x14ac:dyDescent="0.25">
      <c r="A88" s="197">
        <v>2350</v>
      </c>
      <c r="B88" s="9" t="s">
        <v>78</v>
      </c>
      <c r="C88" s="51"/>
      <c r="D88" s="56"/>
      <c r="E88" s="56"/>
      <c r="F88" s="142"/>
      <c r="G88" s="142"/>
      <c r="H88" s="52"/>
      <c r="I88" s="53"/>
      <c r="J88" s="52"/>
      <c r="K88" s="53"/>
      <c r="L88" s="52"/>
      <c r="M88" s="52"/>
      <c r="N88" s="52"/>
      <c r="O88" s="52"/>
      <c r="P88" s="192">
        <f>L88+M88+N88+O88</f>
        <v>0</v>
      </c>
      <c r="Q88" s="10"/>
      <c r="R88" s="10"/>
      <c r="S88" s="10"/>
      <c r="T88" s="10"/>
      <c r="U88" s="11">
        <f>SUM(U87:U87)</f>
        <v>1025.325</v>
      </c>
      <c r="V88" s="10"/>
    </row>
    <row r="89" spans="1:24" x14ac:dyDescent="0.25">
      <c r="A89" s="196">
        <v>2375</v>
      </c>
      <c r="B89" s="44" t="s">
        <v>224</v>
      </c>
      <c r="C89" s="65" t="s">
        <v>573</v>
      </c>
      <c r="D89" s="55">
        <v>100</v>
      </c>
      <c r="E89" s="55" t="s">
        <v>22</v>
      </c>
      <c r="F89" s="12">
        <v>45875</v>
      </c>
      <c r="G89" s="143">
        <v>45903</v>
      </c>
      <c r="H89" s="12" t="s">
        <v>591</v>
      </c>
      <c r="I89" s="42">
        <v>1625.99</v>
      </c>
      <c r="J89" s="1">
        <v>30</v>
      </c>
      <c r="K89" s="2">
        <f>I89/J89</f>
        <v>54.199666666666666</v>
      </c>
      <c r="L89" s="1">
        <v>3</v>
      </c>
      <c r="M89" s="1">
        <v>12</v>
      </c>
      <c r="N89" s="1">
        <v>5</v>
      </c>
      <c r="O89" s="1">
        <v>6</v>
      </c>
      <c r="P89" s="192">
        <f>L89+M89+N89+O89</f>
        <v>26</v>
      </c>
      <c r="Q89" s="42">
        <f>K89*50%*L89</f>
        <v>81.299499999999995</v>
      </c>
      <c r="R89" s="42">
        <f>K89*60%*M89</f>
        <v>390.23759999999993</v>
      </c>
      <c r="S89" s="42">
        <f>K89*60%*N89</f>
        <v>162.59899999999999</v>
      </c>
      <c r="T89" s="42">
        <f>K89*75%*O89</f>
        <v>243.89849999999998</v>
      </c>
      <c r="U89" s="42">
        <f>S89+T89</f>
        <v>406.49749999999995</v>
      </c>
      <c r="V89" s="42">
        <f>K89*(M89+O89+L89+N89)*100%</f>
        <v>1409.1913333333332</v>
      </c>
      <c r="W89" s="241"/>
    </row>
    <row r="90" spans="1:24" s="185" customFormat="1" ht="15" customHeight="1" x14ac:dyDescent="0.25">
      <c r="A90" s="193" t="s">
        <v>597</v>
      </c>
      <c r="B90" s="177"/>
      <c r="C90" s="178"/>
      <c r="D90" s="179"/>
      <c r="E90" s="180"/>
      <c r="F90" s="194"/>
      <c r="G90" s="181"/>
      <c r="H90" s="194"/>
      <c r="I90" s="182"/>
      <c r="J90" s="183"/>
      <c r="K90" s="184"/>
      <c r="L90" s="183"/>
      <c r="M90" s="183"/>
      <c r="N90" s="183"/>
      <c r="O90" s="183"/>
      <c r="P90" s="192"/>
      <c r="Q90" s="182"/>
      <c r="R90" s="182"/>
      <c r="S90" s="182"/>
      <c r="T90" s="182"/>
      <c r="U90" s="182"/>
      <c r="V90" s="182"/>
    </row>
    <row r="91" spans="1:24" x14ac:dyDescent="0.25">
      <c r="A91" s="197">
        <v>2375</v>
      </c>
      <c r="B91" s="9" t="s">
        <v>572</v>
      </c>
      <c r="C91" s="51"/>
      <c r="D91" s="56"/>
      <c r="E91" s="56"/>
      <c r="F91" s="142"/>
      <c r="G91" s="142"/>
      <c r="H91" s="52"/>
      <c r="I91" s="53"/>
      <c r="J91" s="52"/>
      <c r="K91" s="53"/>
      <c r="L91" s="52"/>
      <c r="M91" s="52"/>
      <c r="N91" s="52"/>
      <c r="O91" s="52"/>
      <c r="P91" s="192"/>
      <c r="Q91" s="10"/>
      <c r="R91" s="10"/>
      <c r="S91" s="10"/>
      <c r="T91" s="10"/>
      <c r="U91" s="11">
        <f>SUM(U89)</f>
        <v>406.49749999999995</v>
      </c>
      <c r="V91" s="10"/>
    </row>
    <row r="92" spans="1:24" x14ac:dyDescent="0.25">
      <c r="A92" s="89">
        <v>2393</v>
      </c>
      <c r="B92" s="68" t="s">
        <v>507</v>
      </c>
      <c r="C92" s="66">
        <v>3810486966</v>
      </c>
      <c r="D92" s="205">
        <v>100</v>
      </c>
      <c r="E92" s="205" t="s">
        <v>22</v>
      </c>
      <c r="F92" s="141">
        <v>45853</v>
      </c>
      <c r="G92" s="141"/>
      <c r="H92" s="141">
        <v>45908</v>
      </c>
      <c r="I92" s="85"/>
      <c r="J92" s="85"/>
      <c r="K92" s="85"/>
      <c r="L92" s="85"/>
      <c r="M92" s="85"/>
      <c r="N92" s="85"/>
      <c r="O92" s="85"/>
      <c r="P92" s="192"/>
      <c r="Q92" s="83" t="s">
        <v>508</v>
      </c>
      <c r="R92" s="68"/>
      <c r="S92" s="68"/>
      <c r="T92" s="68"/>
      <c r="U92" s="85"/>
      <c r="V92" s="68"/>
    </row>
    <row r="93" spans="1:24" x14ac:dyDescent="0.25">
      <c r="A93" s="193" t="s">
        <v>523</v>
      </c>
      <c r="B93" s="177"/>
      <c r="C93" s="178"/>
      <c r="D93" s="179"/>
      <c r="E93" s="180"/>
      <c r="F93" s="194"/>
      <c r="G93" s="181"/>
      <c r="H93" s="194"/>
      <c r="I93" s="182"/>
      <c r="J93" s="183"/>
      <c r="K93" s="184"/>
      <c r="L93" s="183"/>
      <c r="M93" s="183"/>
      <c r="N93" s="183"/>
      <c r="O93" s="183"/>
      <c r="P93" s="192"/>
      <c r="Q93" s="182"/>
      <c r="R93" s="182"/>
      <c r="S93" s="182"/>
      <c r="T93" s="182"/>
      <c r="U93" s="182"/>
      <c r="V93" s="182"/>
    </row>
    <row r="94" spans="1:24" x14ac:dyDescent="0.25">
      <c r="A94" s="195">
        <v>2393</v>
      </c>
      <c r="B94" s="9" t="s">
        <v>319</v>
      </c>
      <c r="C94" s="51">
        <v>38112289295</v>
      </c>
      <c r="D94" s="56"/>
      <c r="E94" s="56"/>
      <c r="F94" s="142"/>
      <c r="G94" s="142"/>
      <c r="H94" s="52"/>
      <c r="I94" s="53"/>
      <c r="J94" s="52"/>
      <c r="K94" s="53"/>
      <c r="L94" s="52"/>
      <c r="M94" s="52"/>
      <c r="N94" s="52"/>
      <c r="O94" s="52"/>
      <c r="P94" s="192"/>
      <c r="Q94" s="10"/>
      <c r="R94" s="10"/>
      <c r="S94" s="10"/>
      <c r="T94" s="10"/>
      <c r="U94" s="11"/>
      <c r="V94" s="10"/>
    </row>
    <row r="95" spans="1:24" x14ac:dyDescent="0.25">
      <c r="A95" s="196">
        <v>2541</v>
      </c>
      <c r="B95" s="44" t="s">
        <v>557</v>
      </c>
      <c r="C95" s="65" t="s">
        <v>558</v>
      </c>
      <c r="D95" s="55">
        <v>100</v>
      </c>
      <c r="E95" s="55" t="s">
        <v>22</v>
      </c>
      <c r="F95" s="12">
        <v>45869</v>
      </c>
      <c r="G95" s="143"/>
      <c r="H95" s="203">
        <v>45883</v>
      </c>
      <c r="I95" s="42">
        <v>1597.18</v>
      </c>
      <c r="J95" s="1">
        <v>30</v>
      </c>
      <c r="K95" s="2">
        <f>I95/J95</f>
        <v>53.239333333333335</v>
      </c>
      <c r="L95" s="1">
        <v>2</v>
      </c>
      <c r="M95" s="1">
        <v>12</v>
      </c>
      <c r="N95" s="1">
        <v>0</v>
      </c>
      <c r="O95" s="1">
        <v>0</v>
      </c>
      <c r="P95" s="192">
        <f>L95+M95+N95+O95</f>
        <v>14</v>
      </c>
      <c r="Q95" s="42">
        <f>K95*50%*L95</f>
        <v>53.239333333333335</v>
      </c>
      <c r="R95" s="42">
        <f>K95*60%*M95</f>
        <v>383.32319999999999</v>
      </c>
      <c r="S95" s="42">
        <f>K95*60%*N95</f>
        <v>0</v>
      </c>
      <c r="T95" s="42">
        <f>K95*75%*O95</f>
        <v>0</v>
      </c>
      <c r="U95" s="42">
        <f>S95+T95</f>
        <v>0</v>
      </c>
      <c r="V95" s="42">
        <f>K95*(M95+O95+L95+N95)*100%</f>
        <v>745.35066666666671</v>
      </c>
    </row>
    <row r="96" spans="1:24" x14ac:dyDescent="0.25">
      <c r="A96" s="195">
        <v>2541</v>
      </c>
      <c r="B96" s="9" t="s">
        <v>556</v>
      </c>
      <c r="C96" s="51"/>
      <c r="D96" s="56"/>
      <c r="E96" s="56"/>
      <c r="F96" s="142"/>
      <c r="G96" s="142"/>
      <c r="H96" s="52"/>
      <c r="I96" s="53"/>
      <c r="J96" s="52"/>
      <c r="K96" s="53"/>
      <c r="L96" s="52"/>
      <c r="M96" s="52"/>
      <c r="N96" s="52"/>
      <c r="O96" s="52"/>
      <c r="P96" s="192">
        <f>L96+M96+N96+O96</f>
        <v>0</v>
      </c>
      <c r="Q96" s="10"/>
      <c r="R96" s="10"/>
      <c r="S96" s="10"/>
      <c r="T96" s="10"/>
      <c r="U96" s="11">
        <f>SUM(U95)</f>
        <v>0</v>
      </c>
      <c r="V96" s="10"/>
    </row>
    <row r="97" spans="1:22" x14ac:dyDescent="0.25">
      <c r="A97" s="196">
        <v>2569</v>
      </c>
      <c r="B97" s="44" t="s">
        <v>628</v>
      </c>
      <c r="C97" s="65" t="s">
        <v>630</v>
      </c>
      <c r="D97" s="55">
        <v>100</v>
      </c>
      <c r="E97" s="55" t="s">
        <v>22</v>
      </c>
      <c r="F97" s="12">
        <v>45754</v>
      </c>
      <c r="G97" s="143"/>
      <c r="H97" s="203"/>
      <c r="I97" s="42">
        <v>1513.8</v>
      </c>
      <c r="J97" s="1">
        <v>30</v>
      </c>
      <c r="K97" s="2">
        <f>I97/J97</f>
        <v>50.46</v>
      </c>
      <c r="L97" s="1">
        <v>0</v>
      </c>
      <c r="M97" s="1">
        <v>0</v>
      </c>
      <c r="N97" s="1">
        <v>0</v>
      </c>
      <c r="O97" s="1">
        <v>31</v>
      </c>
      <c r="P97" s="192">
        <f>L97+M97+N97+O97</f>
        <v>31</v>
      </c>
      <c r="Q97" s="42">
        <f>K97*50%*L97</f>
        <v>0</v>
      </c>
      <c r="R97" s="42">
        <f>K97*60%*M97</f>
        <v>0</v>
      </c>
      <c r="S97" s="42">
        <f>K97*60%*N97</f>
        <v>0</v>
      </c>
      <c r="T97" s="42">
        <f>K97*75%*O97</f>
        <v>1173.1949999999999</v>
      </c>
      <c r="U97" s="42">
        <f>S97+T97</f>
        <v>1173.1949999999999</v>
      </c>
      <c r="V97" s="42">
        <f>K97*(M97+O97+L97+N97)*100%</f>
        <v>1564.26</v>
      </c>
    </row>
    <row r="98" spans="1:22" x14ac:dyDescent="0.25">
      <c r="A98" s="195">
        <v>2569</v>
      </c>
      <c r="B98" s="9" t="s">
        <v>629</v>
      </c>
      <c r="C98" s="51"/>
      <c r="D98" s="56"/>
      <c r="E98" s="56"/>
      <c r="F98" s="142"/>
      <c r="G98" s="142"/>
      <c r="H98" s="52"/>
      <c r="I98" s="53"/>
      <c r="J98" s="52"/>
      <c r="K98" s="53"/>
      <c r="L98" s="52"/>
      <c r="M98" s="52"/>
      <c r="N98" s="52"/>
      <c r="O98" s="52"/>
      <c r="P98" s="192">
        <f>L98+M98+N98+O98</f>
        <v>0</v>
      </c>
      <c r="Q98" s="10"/>
      <c r="R98" s="10"/>
      <c r="S98" s="10"/>
      <c r="T98" s="10"/>
      <c r="U98" s="11">
        <f>SUM(U97)</f>
        <v>1173.1949999999999</v>
      </c>
      <c r="V98" s="10"/>
    </row>
    <row r="99" spans="1:22" x14ac:dyDescent="0.25">
      <c r="A99" s="91"/>
      <c r="B99" s="14" t="s">
        <v>24</v>
      </c>
      <c r="C99" s="15"/>
      <c r="D99" s="57"/>
      <c r="E99" s="57"/>
      <c r="F99" s="145"/>
      <c r="G99" s="145"/>
      <c r="H99" s="67"/>
      <c r="I99" s="16"/>
      <c r="J99" s="17"/>
      <c r="K99" s="17"/>
      <c r="L99" s="17"/>
      <c r="M99" s="17"/>
      <c r="N99" s="17"/>
      <c r="O99" s="17"/>
      <c r="P99" s="18"/>
      <c r="Q99" s="16"/>
      <c r="R99" s="43"/>
      <c r="S99" s="43"/>
      <c r="T99" s="43"/>
      <c r="U99" s="43"/>
      <c r="V99" s="43"/>
    </row>
    <row r="100" spans="1:22" x14ac:dyDescent="0.25">
      <c r="A100" s="90">
        <v>2149</v>
      </c>
      <c r="B100" s="8" t="s">
        <v>517</v>
      </c>
      <c r="C100" s="65"/>
      <c r="D100" s="55"/>
      <c r="E100" s="55" t="s">
        <v>71</v>
      </c>
      <c r="F100" s="12">
        <v>45870</v>
      </c>
      <c r="G100" s="144"/>
      <c r="H100" s="146">
        <v>45897</v>
      </c>
      <c r="I100" s="19"/>
      <c r="J100" s="20"/>
      <c r="K100" s="20"/>
      <c r="L100" s="100" t="s">
        <v>653</v>
      </c>
      <c r="M100" s="86"/>
      <c r="N100" s="86"/>
      <c r="O100" s="86"/>
      <c r="P100" s="73"/>
      <c r="Q100" s="73"/>
      <c r="R100" s="73"/>
      <c r="S100" s="73"/>
      <c r="T100" s="73"/>
      <c r="U100" s="86"/>
      <c r="V100" s="74"/>
    </row>
    <row r="101" spans="1:22" x14ac:dyDescent="0.25">
      <c r="A101" s="195">
        <v>2149</v>
      </c>
      <c r="B101" s="9" t="s">
        <v>517</v>
      </c>
      <c r="C101" s="51"/>
      <c r="D101" s="56"/>
      <c r="E101" s="56"/>
      <c r="F101" s="142"/>
      <c r="G101" s="142"/>
      <c r="H101" s="52"/>
      <c r="I101" s="53"/>
      <c r="J101" s="52"/>
      <c r="K101" s="53"/>
      <c r="L101" s="52"/>
      <c r="M101" s="52"/>
      <c r="N101" s="52"/>
      <c r="O101" s="52"/>
      <c r="P101" s="192"/>
      <c r="Q101" s="10"/>
      <c r="R101" s="10"/>
      <c r="S101" s="10"/>
      <c r="T101" s="10"/>
      <c r="U101" s="11"/>
      <c r="V101" s="10"/>
    </row>
    <row r="102" spans="1:22" x14ac:dyDescent="0.25">
      <c r="A102" s="90">
        <v>2273</v>
      </c>
      <c r="B102" s="8" t="s">
        <v>578</v>
      </c>
      <c r="C102" s="65" t="s">
        <v>579</v>
      </c>
      <c r="D102" s="55"/>
      <c r="E102" s="55" t="s">
        <v>71</v>
      </c>
      <c r="F102" s="12">
        <v>45877</v>
      </c>
      <c r="G102" s="144">
        <v>45912</v>
      </c>
      <c r="H102" s="146" t="s">
        <v>647</v>
      </c>
      <c r="I102" s="19"/>
      <c r="J102" s="20"/>
      <c r="K102" s="20"/>
      <c r="L102" s="100"/>
      <c r="M102" s="86"/>
      <c r="N102" s="86"/>
      <c r="O102" s="86"/>
      <c r="P102" s="73"/>
      <c r="Q102" s="73"/>
      <c r="R102" s="73"/>
      <c r="S102" s="73"/>
      <c r="T102" s="73"/>
      <c r="U102" s="86"/>
      <c r="V102" s="74"/>
    </row>
    <row r="103" spans="1:22" x14ac:dyDescent="0.25">
      <c r="A103" s="195">
        <v>2273</v>
      </c>
      <c r="B103" s="9" t="s">
        <v>577</v>
      </c>
      <c r="C103" s="51"/>
      <c r="D103" s="56"/>
      <c r="E103" s="56"/>
      <c r="F103" s="142"/>
      <c r="G103" s="142"/>
      <c r="H103" s="52"/>
      <c r="I103" s="53"/>
      <c r="J103" s="52"/>
      <c r="K103" s="53"/>
      <c r="L103" s="52"/>
      <c r="M103" s="52"/>
      <c r="N103" s="52"/>
      <c r="O103" s="52"/>
      <c r="P103" s="192"/>
      <c r="Q103" s="10"/>
      <c r="R103" s="10"/>
      <c r="S103" s="10"/>
      <c r="T103" s="10"/>
      <c r="U103" s="11"/>
      <c r="V103" s="10"/>
    </row>
    <row r="104" spans="1:22" x14ac:dyDescent="0.25">
      <c r="A104" s="90">
        <v>2442</v>
      </c>
      <c r="B104" s="8" t="s">
        <v>82</v>
      </c>
      <c r="C104" s="65" t="s">
        <v>83</v>
      </c>
      <c r="D104" s="55"/>
      <c r="E104" s="55" t="s">
        <v>71</v>
      </c>
      <c r="F104" s="12">
        <v>45385</v>
      </c>
      <c r="G104" s="144">
        <v>45784</v>
      </c>
      <c r="H104" s="146" t="s">
        <v>340</v>
      </c>
      <c r="I104" s="19"/>
      <c r="J104" s="20"/>
      <c r="K104" s="20"/>
      <c r="L104" s="100" t="s">
        <v>470</v>
      </c>
      <c r="M104" s="86"/>
      <c r="N104" s="86"/>
      <c r="O104" s="86"/>
      <c r="P104" s="73"/>
      <c r="Q104" s="73"/>
      <c r="R104" s="73"/>
      <c r="S104" s="73"/>
      <c r="T104" s="73"/>
      <c r="U104" s="86"/>
      <c r="V104" s="74"/>
    </row>
    <row r="105" spans="1:22" x14ac:dyDescent="0.25">
      <c r="A105" s="90">
        <v>2442</v>
      </c>
      <c r="B105" s="8" t="s">
        <v>575</v>
      </c>
      <c r="C105" s="65" t="s">
        <v>576</v>
      </c>
      <c r="D105" s="55"/>
      <c r="E105" s="55" t="s">
        <v>71</v>
      </c>
      <c r="F105" s="12">
        <v>45877</v>
      </c>
      <c r="G105" s="144">
        <v>45912</v>
      </c>
      <c r="H105" s="146" t="s">
        <v>646</v>
      </c>
      <c r="I105" s="19"/>
      <c r="J105" s="20"/>
      <c r="K105" s="20"/>
      <c r="L105" s="100"/>
      <c r="M105" s="86"/>
      <c r="N105" s="86"/>
      <c r="O105" s="86"/>
      <c r="P105" s="73"/>
      <c r="Q105" s="73"/>
      <c r="R105" s="73"/>
      <c r="S105" s="73"/>
      <c r="T105" s="73"/>
      <c r="U105" s="86"/>
      <c r="V105" s="74"/>
    </row>
    <row r="106" spans="1:22" x14ac:dyDescent="0.25">
      <c r="A106" s="195">
        <v>2442</v>
      </c>
      <c r="B106" s="9" t="s">
        <v>84</v>
      </c>
      <c r="C106" s="51"/>
      <c r="D106" s="56"/>
      <c r="E106" s="56"/>
      <c r="F106" s="142"/>
      <c r="G106" s="142"/>
      <c r="H106" s="52"/>
      <c r="I106" s="53"/>
      <c r="J106" s="52"/>
      <c r="K106" s="53"/>
      <c r="L106" s="52"/>
      <c r="M106" s="52"/>
      <c r="N106" s="52"/>
      <c r="O106" s="52"/>
      <c r="P106" s="192"/>
      <c r="Q106" s="10"/>
      <c r="R106" s="10"/>
      <c r="S106" s="10"/>
      <c r="T106" s="10"/>
      <c r="U106" s="11"/>
      <c r="V106" s="10"/>
    </row>
    <row r="107" spans="1:22" ht="15.75" thickBot="1" x14ac:dyDescent="0.3">
      <c r="A107" s="87"/>
      <c r="C107" s="23"/>
      <c r="D107" s="58"/>
      <c r="F107" s="23"/>
      <c r="G107" s="23"/>
      <c r="H107" s="23"/>
      <c r="I107" s="72"/>
      <c r="J107" s="23"/>
      <c r="K107" s="23"/>
      <c r="L107" s="23"/>
      <c r="M107" s="23"/>
      <c r="N107" s="23"/>
      <c r="O107" s="23"/>
      <c r="P107" s="23"/>
      <c r="Q107" s="72"/>
      <c r="R107" s="72"/>
      <c r="S107" s="72"/>
      <c r="T107" s="72"/>
      <c r="U107" s="72"/>
      <c r="V107" s="72"/>
    </row>
    <row r="108" spans="1:22" ht="15.75" thickBot="1" x14ac:dyDescent="0.3">
      <c r="A108" s="87"/>
      <c r="C108" s="23"/>
      <c r="D108" s="58"/>
      <c r="E108" s="23"/>
      <c r="F108" s="23"/>
      <c r="G108" s="23"/>
      <c r="H108" s="160" t="s">
        <v>25</v>
      </c>
      <c r="I108" s="161"/>
      <c r="J108" s="101"/>
      <c r="K108" s="102"/>
      <c r="L108" s="103"/>
      <c r="M108" s="104"/>
      <c r="N108" s="38"/>
      <c r="O108" s="38"/>
      <c r="P108" s="105"/>
      <c r="Q108" s="106"/>
      <c r="R108" s="107"/>
      <c r="S108" s="108"/>
      <c r="T108" s="108"/>
      <c r="U108" s="25"/>
      <c r="V108" s="109"/>
    </row>
    <row r="109" spans="1:22" x14ac:dyDescent="0.25">
      <c r="A109" s="93"/>
      <c r="B109" s="46"/>
      <c r="C109" s="46" t="s">
        <v>26</v>
      </c>
      <c r="D109" s="59"/>
      <c r="E109" s="46"/>
      <c r="F109" s="46"/>
      <c r="G109" s="47"/>
      <c r="H109" s="162"/>
      <c r="I109" s="163"/>
      <c r="J109" s="79" t="s">
        <v>27</v>
      </c>
      <c r="K109" s="110"/>
      <c r="L109" s="111"/>
      <c r="M109" s="110"/>
      <c r="N109" s="111"/>
      <c r="O109" s="111"/>
      <c r="P109" s="112"/>
      <c r="Q109" s="113"/>
      <c r="R109" s="110"/>
      <c r="S109" s="113"/>
      <c r="T109" s="114"/>
      <c r="U109" s="45"/>
      <c r="V109" s="115"/>
    </row>
    <row r="110" spans="1:22" x14ac:dyDescent="0.25">
      <c r="A110" s="94"/>
      <c r="B110" s="27"/>
      <c r="C110" s="27" t="s">
        <v>28</v>
      </c>
      <c r="D110" s="60"/>
      <c r="E110" s="28"/>
      <c r="F110" s="27"/>
      <c r="G110" s="48"/>
      <c r="H110" s="164" t="s">
        <v>29</v>
      </c>
      <c r="I110" s="165"/>
      <c r="J110" s="117" t="s">
        <v>30</v>
      </c>
      <c r="K110" s="116"/>
      <c r="L110" s="118"/>
      <c r="M110" s="116"/>
      <c r="N110" s="118"/>
      <c r="O110" s="118"/>
      <c r="P110" s="119"/>
      <c r="Q110" s="120"/>
      <c r="R110" s="116"/>
      <c r="S110" s="120"/>
      <c r="T110" s="121"/>
      <c r="U110" s="29"/>
      <c r="V110" s="122"/>
    </row>
    <row r="111" spans="1:22" ht="15.75" thickBot="1" x14ac:dyDescent="0.3">
      <c r="A111" s="95"/>
      <c r="B111" s="30"/>
      <c r="C111" s="30" t="s">
        <v>31</v>
      </c>
      <c r="D111" s="61"/>
      <c r="E111" s="30"/>
      <c r="F111" s="30"/>
      <c r="G111" s="49"/>
      <c r="H111" s="166"/>
      <c r="I111" s="167"/>
      <c r="J111" s="82" t="s">
        <v>32</v>
      </c>
      <c r="K111" s="123"/>
      <c r="L111" s="124"/>
      <c r="M111" s="123"/>
      <c r="N111" s="124"/>
      <c r="O111" s="124"/>
      <c r="P111" s="125"/>
      <c r="Q111" s="123"/>
      <c r="R111" s="123"/>
      <c r="S111" s="123"/>
      <c r="T111" s="126"/>
      <c r="U111" s="31"/>
      <c r="V111" s="127"/>
    </row>
    <row r="112" spans="1:22" x14ac:dyDescent="0.25">
      <c r="A112" s="156"/>
      <c r="B112" s="157"/>
      <c r="C112" s="157" t="s">
        <v>33</v>
      </c>
      <c r="D112" s="158"/>
      <c r="E112" s="157"/>
      <c r="F112" s="157"/>
      <c r="G112" s="159"/>
      <c r="H112" s="168" t="s">
        <v>34</v>
      </c>
      <c r="I112" s="169"/>
      <c r="J112" s="129"/>
      <c r="K112" s="129"/>
      <c r="L112" s="129"/>
      <c r="M112" s="129"/>
      <c r="N112" s="129"/>
      <c r="O112" s="129"/>
      <c r="P112" s="130"/>
      <c r="Q112" s="128"/>
      <c r="R112" s="128"/>
      <c r="S112" s="128"/>
      <c r="T112" s="131"/>
      <c r="U112" s="32"/>
      <c r="V112" s="132"/>
    </row>
    <row r="113" spans="1:22" ht="15.75" thickBot="1" x14ac:dyDescent="0.3">
      <c r="A113" s="96"/>
      <c r="B113" s="201"/>
      <c r="C113" s="76" t="s">
        <v>35</v>
      </c>
      <c r="D113" s="77"/>
      <c r="E113" s="76"/>
      <c r="F113" s="76"/>
      <c r="G113" s="78"/>
      <c r="H113" s="170" t="s">
        <v>36</v>
      </c>
      <c r="I113" s="171"/>
      <c r="J113" s="134"/>
      <c r="K113" s="134"/>
      <c r="L113" s="134"/>
      <c r="M113" s="134"/>
      <c r="N113" s="134"/>
      <c r="O113" s="134"/>
      <c r="P113" s="135"/>
      <c r="Q113" s="133"/>
      <c r="R113" s="133"/>
      <c r="S113" s="133"/>
      <c r="T113" s="136"/>
      <c r="U113" s="33"/>
      <c r="V113" s="137"/>
    </row>
    <row r="114" spans="1:22" ht="15.75" thickBot="1" x14ac:dyDescent="0.3">
      <c r="A114" s="97"/>
      <c r="B114" s="34"/>
      <c r="C114" s="34" t="s">
        <v>37</v>
      </c>
      <c r="D114" s="62"/>
      <c r="E114" s="34"/>
      <c r="F114" s="34"/>
      <c r="G114" s="50"/>
      <c r="H114" s="172" t="s">
        <v>38</v>
      </c>
      <c r="I114" s="165"/>
      <c r="J114" s="117" t="s">
        <v>30</v>
      </c>
      <c r="K114" s="116"/>
      <c r="L114" s="118"/>
      <c r="M114" s="116"/>
      <c r="N114" s="118"/>
      <c r="O114" s="118"/>
      <c r="P114" s="119"/>
      <c r="Q114" s="120"/>
      <c r="R114" s="116"/>
      <c r="S114" s="120"/>
      <c r="T114" s="121"/>
      <c r="U114" s="29"/>
      <c r="V114" s="122"/>
    </row>
    <row r="115" spans="1:22" ht="15.75" thickBot="1" x14ac:dyDescent="0.3">
      <c r="A115" s="98"/>
      <c r="B115" s="35" t="s">
        <v>39</v>
      </c>
      <c r="C115" s="36"/>
      <c r="D115" s="63"/>
      <c r="E115" s="36"/>
      <c r="F115" s="36"/>
      <c r="G115" s="37"/>
      <c r="H115" s="173"/>
      <c r="I115" s="174"/>
      <c r="J115" s="80" t="s">
        <v>40</v>
      </c>
      <c r="K115" s="104"/>
      <c r="L115" s="103"/>
      <c r="M115" s="104"/>
      <c r="N115" s="103"/>
      <c r="O115" s="103"/>
      <c r="P115" s="138"/>
      <c r="Q115" s="104"/>
      <c r="R115" s="104"/>
      <c r="S115" s="104"/>
      <c r="T115" s="139"/>
      <c r="U115" s="26"/>
      <c r="V115" s="140"/>
    </row>
    <row r="116" spans="1:22" ht="15.75" thickBot="1" x14ac:dyDescent="0.3">
      <c r="A116" s="148"/>
      <c r="B116" s="152" t="s">
        <v>57</v>
      </c>
      <c r="C116" s="149"/>
      <c r="D116" s="150"/>
      <c r="E116" s="149"/>
      <c r="F116" s="149"/>
      <c r="G116" s="151"/>
      <c r="H116" s="173"/>
      <c r="I116" s="174"/>
      <c r="J116" s="80" t="s">
        <v>41</v>
      </c>
      <c r="K116" s="104"/>
      <c r="L116" s="103"/>
      <c r="M116" s="104"/>
      <c r="N116" s="103"/>
      <c r="O116" s="103"/>
      <c r="P116" s="138"/>
      <c r="Q116" s="104"/>
      <c r="R116" s="104"/>
      <c r="S116" s="104"/>
      <c r="T116" s="139"/>
      <c r="U116" s="26"/>
      <c r="V116" s="140"/>
    </row>
    <row r="117" spans="1:22" ht="15.75" thickBot="1" x14ac:dyDescent="0.3">
      <c r="A117" s="290" t="s">
        <v>123</v>
      </c>
      <c r="B117" s="291"/>
      <c r="C117" s="291"/>
      <c r="D117" s="291"/>
      <c r="E117" s="291"/>
      <c r="F117" s="291"/>
      <c r="G117" s="292"/>
      <c r="H117" s="166"/>
      <c r="I117" s="167"/>
      <c r="J117" s="82" t="s">
        <v>42</v>
      </c>
      <c r="K117" s="123"/>
      <c r="L117" s="124"/>
      <c r="M117" s="123"/>
      <c r="N117" s="124"/>
      <c r="O117" s="124"/>
      <c r="P117" s="125"/>
      <c r="Q117" s="123"/>
      <c r="R117" s="123"/>
      <c r="S117" s="123"/>
      <c r="T117" s="126"/>
      <c r="U117" s="31"/>
      <c r="V117" s="127"/>
    </row>
    <row r="118" spans="1:22" x14ac:dyDescent="0.25">
      <c r="A118" s="87"/>
      <c r="C118" s="23"/>
      <c r="D118" s="58"/>
      <c r="E118" s="23"/>
      <c r="F118" s="23"/>
      <c r="G118" s="23"/>
      <c r="H118" s="172" t="s">
        <v>43</v>
      </c>
      <c r="I118" s="165"/>
      <c r="J118" s="117" t="s">
        <v>44</v>
      </c>
      <c r="K118" s="116"/>
      <c r="L118" s="118"/>
      <c r="M118" s="116"/>
      <c r="N118" s="118"/>
      <c r="O118" s="118"/>
      <c r="P118" s="119"/>
      <c r="Q118" s="120"/>
      <c r="R118" s="116"/>
      <c r="S118" s="120"/>
      <c r="T118" s="121"/>
      <c r="U118" s="29"/>
      <c r="V118" s="122"/>
    </row>
    <row r="119" spans="1:22" x14ac:dyDescent="0.25">
      <c r="A119" s="99"/>
      <c r="B119" s="38"/>
      <c r="C119" s="39"/>
      <c r="D119" s="64"/>
      <c r="E119" s="24"/>
      <c r="F119" s="71"/>
      <c r="G119" s="71"/>
      <c r="H119" s="173"/>
      <c r="I119" s="174"/>
      <c r="J119" s="80" t="s">
        <v>45</v>
      </c>
      <c r="K119" s="104"/>
      <c r="L119" s="103"/>
      <c r="M119" s="104"/>
      <c r="N119" s="103"/>
      <c r="O119" s="103"/>
      <c r="P119" s="138"/>
      <c r="Q119" s="104"/>
      <c r="R119" s="104"/>
      <c r="S119" s="104"/>
      <c r="T119" s="139"/>
      <c r="U119" s="26"/>
      <c r="V119" s="140"/>
    </row>
    <row r="120" spans="1:22" x14ac:dyDescent="0.25">
      <c r="A120" s="87"/>
      <c r="C120" s="23"/>
      <c r="D120" s="58"/>
      <c r="E120" s="23"/>
      <c r="F120" s="23"/>
      <c r="G120" s="23"/>
      <c r="H120" s="173"/>
      <c r="I120" s="174"/>
      <c r="J120" s="80" t="s">
        <v>46</v>
      </c>
      <c r="K120" s="104"/>
      <c r="L120" s="103"/>
      <c r="M120" s="104"/>
      <c r="N120" s="103"/>
      <c r="O120" s="103"/>
      <c r="P120" s="138"/>
      <c r="Q120" s="104"/>
      <c r="R120" s="104"/>
      <c r="S120" s="104"/>
      <c r="T120" s="139"/>
      <c r="U120" s="26"/>
      <c r="V120" s="140"/>
    </row>
    <row r="121" spans="1:22" ht="15.75" thickBot="1" x14ac:dyDescent="0.3">
      <c r="A121" s="87"/>
      <c r="C121" s="23"/>
      <c r="D121" s="58"/>
      <c r="E121" s="23"/>
      <c r="F121" s="23"/>
      <c r="G121" s="23"/>
      <c r="H121" s="175"/>
      <c r="I121" s="176"/>
      <c r="J121" s="82" t="s">
        <v>47</v>
      </c>
      <c r="K121" s="123"/>
      <c r="L121" s="124"/>
      <c r="M121" s="123"/>
      <c r="N121" s="124"/>
      <c r="O121" s="124"/>
      <c r="P121" s="125"/>
      <c r="Q121" s="123"/>
      <c r="R121" s="123"/>
      <c r="S121" s="123"/>
      <c r="T121" s="126"/>
      <c r="U121" s="31"/>
      <c r="V121" s="127"/>
    </row>
  </sheetData>
  <mergeCells count="1">
    <mergeCell ref="A117:G117"/>
  </mergeCells>
  <pageMargins left="0.11811023622047245" right="0.11811023622047245" top="0.11811023622047245" bottom="0.11811023622047245" header="0.31496062992125984" footer="0.31496062992125984"/>
  <pageSetup paperSize="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8"/>
  <sheetViews>
    <sheetView topLeftCell="A44" zoomScale="228" zoomScaleNormal="228" workbookViewId="0">
      <selection activeCell="L10" sqref="L10"/>
    </sheetView>
  </sheetViews>
  <sheetFormatPr baseColWidth="10" defaultRowHeight="15" x14ac:dyDescent="0.25"/>
  <cols>
    <col min="1" max="1" width="4.140625" customWidth="1"/>
    <col min="2" max="2" width="19.85546875" customWidth="1"/>
    <col min="3" max="3" width="11.42578125" customWidth="1"/>
    <col min="4" max="4" width="3.5703125" style="23" customWidth="1"/>
    <col min="5" max="5" width="2.85546875" customWidth="1"/>
    <col min="6" max="6" width="8.85546875" customWidth="1"/>
    <col min="7" max="7" width="11.42578125" customWidth="1"/>
    <col min="8" max="8" width="10.42578125" customWidth="1"/>
    <col min="9" max="9" width="8.85546875" customWidth="1"/>
    <col min="10" max="10" width="3.5703125" customWidth="1"/>
    <col min="11" max="11" width="5.8554687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7" width="7.42578125" customWidth="1"/>
    <col min="18" max="18" width="5.85546875" customWidth="1"/>
    <col min="19" max="19" width="5.42578125" customWidth="1"/>
    <col min="20" max="20" width="7" bestFit="1" customWidth="1"/>
    <col min="21" max="21" width="8.5703125" customWidth="1"/>
    <col min="22" max="22" width="7.42578125" customWidth="1"/>
  </cols>
  <sheetData>
    <row r="1" spans="1:23" x14ac:dyDescent="0.25">
      <c r="A1" s="87"/>
      <c r="B1" s="81" t="s">
        <v>631</v>
      </c>
      <c r="C1" s="4">
        <v>45932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3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3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3" ht="14.1" hidden="1" customHeight="1" x14ac:dyDescent="0.25">
      <c r="A4" s="89">
        <v>8</v>
      </c>
      <c r="B4" s="68" t="s">
        <v>512</v>
      </c>
      <c r="C4" s="226" t="s">
        <v>513</v>
      </c>
      <c r="D4" s="227" t="s">
        <v>50</v>
      </c>
      <c r="E4" s="205" t="s">
        <v>22</v>
      </c>
      <c r="F4" s="141">
        <v>45850</v>
      </c>
      <c r="G4" s="228"/>
      <c r="H4" s="147">
        <v>45961</v>
      </c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48</v>
      </c>
      <c r="R4" s="68"/>
      <c r="S4" s="68"/>
      <c r="T4" s="68"/>
      <c r="U4" s="85"/>
      <c r="V4" s="68"/>
    </row>
    <row r="5" spans="1:23" ht="14.1" hidden="1" customHeight="1" x14ac:dyDescent="0.25">
      <c r="A5" s="89">
        <v>8</v>
      </c>
      <c r="B5" s="68" t="s">
        <v>421</v>
      </c>
      <c r="C5" s="226" t="s">
        <v>422</v>
      </c>
      <c r="D5" s="227" t="s">
        <v>52</v>
      </c>
      <c r="E5" s="205" t="s">
        <v>22</v>
      </c>
      <c r="F5" s="141">
        <v>45796</v>
      </c>
      <c r="G5" s="228"/>
      <c r="H5" s="147" t="s">
        <v>565</v>
      </c>
      <c r="I5" s="229"/>
      <c r="J5" s="85"/>
      <c r="K5" s="230"/>
      <c r="L5" s="85"/>
      <c r="M5" s="85"/>
      <c r="N5" s="85"/>
      <c r="O5" s="85"/>
      <c r="P5" s="192">
        <f>L5+M5+N5+O5</f>
        <v>0</v>
      </c>
      <c r="Q5" s="83" t="s">
        <v>88</v>
      </c>
      <c r="R5" s="68"/>
      <c r="S5" s="68"/>
      <c r="T5" s="68"/>
      <c r="U5" s="85"/>
      <c r="V5" s="68"/>
    </row>
    <row r="6" spans="1:23" s="185" customFormat="1" ht="15" hidden="1" customHeight="1" x14ac:dyDescent="0.25">
      <c r="A6" s="193" t="s">
        <v>423</v>
      </c>
      <c r="B6" s="177"/>
      <c r="C6" s="178"/>
      <c r="D6" s="179"/>
      <c r="E6" s="180"/>
      <c r="F6" s="194"/>
      <c r="G6" s="181"/>
      <c r="H6" s="194"/>
      <c r="I6" s="182"/>
      <c r="J6" s="183"/>
      <c r="K6" s="184"/>
      <c r="L6" s="183"/>
      <c r="M6" s="183"/>
      <c r="N6" s="183"/>
      <c r="O6" s="183"/>
      <c r="P6" s="192">
        <f>L6+M6+N6+O6</f>
        <v>0</v>
      </c>
      <c r="Q6" s="182"/>
      <c r="R6" s="182"/>
      <c r="S6" s="182"/>
      <c r="T6" s="182"/>
      <c r="U6" s="182"/>
      <c r="V6" s="182"/>
    </row>
    <row r="7" spans="1:23" hidden="1" x14ac:dyDescent="0.25">
      <c r="A7" s="195">
        <v>8</v>
      </c>
      <c r="B7" s="9" t="s">
        <v>489</v>
      </c>
      <c r="C7" s="51"/>
      <c r="D7" s="56"/>
      <c r="E7" s="56"/>
      <c r="F7" s="142"/>
      <c r="G7" s="142"/>
      <c r="H7" s="52"/>
      <c r="I7" s="53"/>
      <c r="J7" s="52"/>
      <c r="K7" s="53"/>
      <c r="L7" s="52"/>
      <c r="M7" s="52"/>
      <c r="N7" s="52"/>
      <c r="O7" s="52"/>
      <c r="P7" s="192"/>
      <c r="Q7" s="10"/>
      <c r="R7" s="10"/>
      <c r="S7" s="10"/>
      <c r="T7" s="10"/>
      <c r="U7" s="11"/>
      <c r="V7" s="10"/>
    </row>
    <row r="8" spans="1:23" ht="13.5" customHeight="1" x14ac:dyDescent="0.25">
      <c r="A8" s="90">
        <v>28</v>
      </c>
      <c r="B8" s="8" t="s">
        <v>397</v>
      </c>
      <c r="C8" s="65" t="s">
        <v>398</v>
      </c>
      <c r="D8" s="75" t="s">
        <v>399</v>
      </c>
      <c r="E8" s="55" t="s">
        <v>22</v>
      </c>
      <c r="F8" s="12">
        <v>45866</v>
      </c>
      <c r="G8" s="143"/>
      <c r="H8" s="203">
        <v>45903</v>
      </c>
      <c r="I8" s="208">
        <v>1477.48</v>
      </c>
      <c r="J8" s="1">
        <v>30</v>
      </c>
      <c r="K8" s="2">
        <f>I8/J8</f>
        <v>49.249333333333333</v>
      </c>
      <c r="L8" s="1">
        <v>0</v>
      </c>
      <c r="M8" s="1">
        <v>0</v>
      </c>
      <c r="N8" s="1">
        <v>0</v>
      </c>
      <c r="O8" s="1">
        <v>3</v>
      </c>
      <c r="P8" s="192">
        <f>L8+M8+N8+O8</f>
        <v>3</v>
      </c>
      <c r="Q8" s="42">
        <f>K8*50%*L8</f>
        <v>0</v>
      </c>
      <c r="R8" s="42">
        <f>K8*60%*M8</f>
        <v>0</v>
      </c>
      <c r="S8" s="42">
        <f>K8*60%*N8</f>
        <v>0</v>
      </c>
      <c r="T8" s="42">
        <f>K8*75%*O8</f>
        <v>110.81099999999999</v>
      </c>
      <c r="U8" s="42">
        <f>S8+T8</f>
        <v>110.81099999999999</v>
      </c>
      <c r="V8" s="42">
        <f>K8*(M8+O8+L8+N8)*100%</f>
        <v>147.74799999999999</v>
      </c>
      <c r="W8" s="241"/>
    </row>
    <row r="9" spans="1:23" x14ac:dyDescent="0.25">
      <c r="A9" s="195">
        <v>28</v>
      </c>
      <c r="B9" s="9" t="s">
        <v>396</v>
      </c>
      <c r="C9" s="51"/>
      <c r="D9" s="56"/>
      <c r="E9" s="56"/>
      <c r="F9" s="142"/>
      <c r="G9" s="142"/>
      <c r="H9" s="52"/>
      <c r="I9" s="53"/>
      <c r="J9" s="52"/>
      <c r="K9" s="53"/>
      <c r="L9" s="52"/>
      <c r="M9" s="52"/>
      <c r="N9" s="52"/>
      <c r="O9" s="52"/>
      <c r="P9" s="192"/>
      <c r="Q9" s="10"/>
      <c r="R9" s="10"/>
      <c r="S9" s="10"/>
      <c r="T9" s="10"/>
      <c r="U9" s="11">
        <f>SUM(U8:U8)</f>
        <v>110.81099999999999</v>
      </c>
      <c r="V9" s="10"/>
    </row>
    <row r="10" spans="1:23" ht="14.25" customHeight="1" x14ac:dyDescent="0.25">
      <c r="A10" s="90">
        <v>717</v>
      </c>
      <c r="B10" s="8" t="s">
        <v>695</v>
      </c>
      <c r="C10" s="65" t="s">
        <v>696</v>
      </c>
      <c r="D10" s="75" t="s">
        <v>52</v>
      </c>
      <c r="E10" s="55" t="s">
        <v>22</v>
      </c>
      <c r="F10" s="12">
        <v>45924</v>
      </c>
      <c r="G10" s="143">
        <v>45950</v>
      </c>
      <c r="H10" s="12" t="s">
        <v>714</v>
      </c>
      <c r="I10" s="208">
        <v>1702.75</v>
      </c>
      <c r="J10" s="1">
        <v>30</v>
      </c>
      <c r="K10" s="2">
        <f>I10/J10</f>
        <v>56.758333333333333</v>
      </c>
      <c r="L10" s="1">
        <v>3</v>
      </c>
      <c r="M10" s="1">
        <v>4</v>
      </c>
      <c r="N10" s="1">
        <v>0</v>
      </c>
      <c r="O10" s="1">
        <v>0</v>
      </c>
      <c r="P10" s="192">
        <f>L10+M10+N10+O10</f>
        <v>7</v>
      </c>
      <c r="Q10" s="42">
        <f>K10*50%*L10</f>
        <v>85.137500000000003</v>
      </c>
      <c r="R10" s="42">
        <f>K10*60%*M10</f>
        <v>136.22</v>
      </c>
      <c r="S10" s="42">
        <f>K10*60%*N10</f>
        <v>0</v>
      </c>
      <c r="T10" s="42">
        <f>K10*75%*O10</f>
        <v>0</v>
      </c>
      <c r="U10" s="42">
        <f>S10+T10</f>
        <v>0</v>
      </c>
      <c r="V10" s="42">
        <f>K10*(M10+O10+L10+N10)*100%</f>
        <v>397.30833333333334</v>
      </c>
    </row>
    <row r="11" spans="1:23" x14ac:dyDescent="0.25">
      <c r="A11" s="195">
        <v>717</v>
      </c>
      <c r="B11" s="9" t="s">
        <v>49</v>
      </c>
      <c r="C11" s="51"/>
      <c r="D11" s="56"/>
      <c r="E11" s="56"/>
      <c r="F11" s="142"/>
      <c r="G11" s="142"/>
      <c r="H11" s="52"/>
      <c r="I11" s="53"/>
      <c r="J11" s="52"/>
      <c r="K11" s="53"/>
      <c r="L11" s="52"/>
      <c r="M11" s="52"/>
      <c r="N11" s="52"/>
      <c r="O11" s="52"/>
      <c r="P11" s="192"/>
      <c r="Q11" s="10"/>
      <c r="R11" s="10"/>
      <c r="S11" s="10"/>
      <c r="T11" s="10"/>
      <c r="U11" s="11">
        <f>SUM(U10:U10)</f>
        <v>0</v>
      </c>
      <c r="V11" s="10"/>
    </row>
    <row r="12" spans="1:23" ht="14.25" customHeight="1" x14ac:dyDescent="0.25">
      <c r="A12" s="266">
        <v>1378</v>
      </c>
      <c r="B12" s="267" t="s">
        <v>698</v>
      </c>
      <c r="C12" s="268" t="s">
        <v>699</v>
      </c>
      <c r="D12" s="269" t="s">
        <v>52</v>
      </c>
      <c r="E12" s="270" t="s">
        <v>568</v>
      </c>
      <c r="F12" s="271">
        <v>45925</v>
      </c>
      <c r="G12" s="272"/>
      <c r="H12" s="271"/>
      <c r="I12" s="273">
        <v>1381.34</v>
      </c>
      <c r="J12" s="274">
        <v>30</v>
      </c>
      <c r="K12" s="275">
        <f>I12/J12</f>
        <v>46.044666666666664</v>
      </c>
      <c r="L12" s="274">
        <v>3</v>
      </c>
      <c r="M12" s="274">
        <v>3</v>
      </c>
      <c r="N12" s="274">
        <v>0</v>
      </c>
      <c r="O12" s="274">
        <v>0</v>
      </c>
      <c r="P12" s="192">
        <f>L12+M12+N12+O12</f>
        <v>6</v>
      </c>
      <c r="Q12" s="273">
        <f>K12*50%*L12</f>
        <v>69.066999999999993</v>
      </c>
      <c r="R12" s="273">
        <f>K12*60%*M12</f>
        <v>82.880399999999995</v>
      </c>
      <c r="S12" s="273">
        <f>K12*60%*N12</f>
        <v>0</v>
      </c>
      <c r="T12" s="273">
        <f>K12*75%*O12</f>
        <v>0</v>
      </c>
      <c r="U12" s="273">
        <f>S12+T12</f>
        <v>0</v>
      </c>
      <c r="V12" s="273">
        <f>K12*(M12+O12+L12+N12)*100%</f>
        <v>276.26799999999997</v>
      </c>
    </row>
    <row r="13" spans="1:23" ht="14.25" customHeight="1" x14ac:dyDescent="0.25">
      <c r="A13" s="90">
        <v>1378</v>
      </c>
      <c r="B13" s="8" t="s">
        <v>543</v>
      </c>
      <c r="C13" s="65" t="s">
        <v>544</v>
      </c>
      <c r="D13" s="75" t="s">
        <v>52</v>
      </c>
      <c r="E13" s="55" t="s">
        <v>22</v>
      </c>
      <c r="F13" s="12">
        <v>45866</v>
      </c>
      <c r="G13" s="143">
        <v>45943</v>
      </c>
      <c r="H13" s="12" t="s">
        <v>689</v>
      </c>
      <c r="I13" s="208">
        <v>1381.34</v>
      </c>
      <c r="J13" s="1">
        <v>30</v>
      </c>
      <c r="K13" s="2">
        <f>I13/J13</f>
        <v>46.044666666666664</v>
      </c>
      <c r="L13" s="1">
        <v>0</v>
      </c>
      <c r="M13" s="1">
        <v>0</v>
      </c>
      <c r="N13" s="1">
        <v>0</v>
      </c>
      <c r="O13" s="1">
        <v>30</v>
      </c>
      <c r="P13" s="192">
        <f>L13+M13+N13+O13</f>
        <v>30</v>
      </c>
      <c r="Q13" s="42">
        <f>K13*50%*L13</f>
        <v>0</v>
      </c>
      <c r="R13" s="42">
        <f>K13*60%*M13</f>
        <v>0</v>
      </c>
      <c r="S13" s="42">
        <f>K13*60%*N13</f>
        <v>0</v>
      </c>
      <c r="T13" s="42">
        <f>K13*75%*O13</f>
        <v>1036.0049999999999</v>
      </c>
      <c r="U13" s="42">
        <f>S13+T13</f>
        <v>1036.0049999999999</v>
      </c>
      <c r="V13" s="42">
        <f>K13*(M13+O13+L13+N13)*100%</f>
        <v>1381.34</v>
      </c>
    </row>
    <row r="14" spans="1:23" x14ac:dyDescent="0.25">
      <c r="A14" s="90">
        <v>1378</v>
      </c>
      <c r="B14" s="8" t="s">
        <v>226</v>
      </c>
      <c r="C14" s="65" t="s">
        <v>227</v>
      </c>
      <c r="D14" s="75" t="s">
        <v>52</v>
      </c>
      <c r="E14" s="55" t="s">
        <v>22</v>
      </c>
      <c r="F14" s="12">
        <v>45698</v>
      </c>
      <c r="G14" s="143">
        <v>45950</v>
      </c>
      <c r="H14" s="12" t="s">
        <v>715</v>
      </c>
      <c r="I14" s="208">
        <v>1381.5</v>
      </c>
      <c r="J14" s="1">
        <v>30</v>
      </c>
      <c r="K14" s="2">
        <f>I14/J14</f>
        <v>46.05</v>
      </c>
      <c r="L14" s="1">
        <v>0</v>
      </c>
      <c r="M14" s="1">
        <v>0</v>
      </c>
      <c r="N14" s="1">
        <v>0</v>
      </c>
      <c r="O14" s="1">
        <v>30</v>
      </c>
      <c r="P14" s="192">
        <f t="shared" ref="P14:P25" si="0">L14+M14+N14+O14</f>
        <v>30</v>
      </c>
      <c r="Q14" s="42">
        <f>K14*50%*L14</f>
        <v>0</v>
      </c>
      <c r="R14" s="42">
        <f>K14*60%*M14</f>
        <v>0</v>
      </c>
      <c r="S14" s="42">
        <f>K14*60%*N14</f>
        <v>0</v>
      </c>
      <c r="T14" s="42">
        <f>K14*75%*O14</f>
        <v>1036.1249999999998</v>
      </c>
      <c r="U14" s="42">
        <f>S14+T14</f>
        <v>1036.1249999999998</v>
      </c>
      <c r="V14" s="42">
        <f>K14*(M14+O14+L14+N14)*100%</f>
        <v>1381.5</v>
      </c>
    </row>
    <row r="15" spans="1:23" x14ac:dyDescent="0.25">
      <c r="A15" s="193" t="s">
        <v>633</v>
      </c>
      <c r="B15" s="177"/>
      <c r="C15" s="178"/>
      <c r="D15" s="179"/>
      <c r="E15" s="180"/>
      <c r="F15" s="194"/>
      <c r="G15" s="181"/>
      <c r="H15" s="194"/>
      <c r="I15" s="220"/>
      <c r="J15" s="183"/>
      <c r="K15" s="184"/>
      <c r="L15" s="183"/>
      <c r="M15" s="183"/>
      <c r="N15" s="183"/>
      <c r="O15" s="183"/>
      <c r="P15" s="192">
        <f>L15+M15+N15+O15</f>
        <v>0</v>
      </c>
      <c r="Q15" s="182"/>
      <c r="R15" s="182"/>
      <c r="S15" s="182"/>
      <c r="T15" s="182"/>
      <c r="U15" s="182"/>
      <c r="V15" s="182"/>
    </row>
    <row r="16" spans="1:23" x14ac:dyDescent="0.25">
      <c r="A16" s="90">
        <v>1378</v>
      </c>
      <c r="B16" s="8" t="s">
        <v>69</v>
      </c>
      <c r="C16" s="65" t="s">
        <v>70</v>
      </c>
      <c r="D16" s="75" t="s">
        <v>50</v>
      </c>
      <c r="E16" s="55" t="s">
        <v>22</v>
      </c>
      <c r="F16" s="12">
        <v>45916</v>
      </c>
      <c r="G16" s="143">
        <v>45937</v>
      </c>
      <c r="H16" s="12" t="s">
        <v>717</v>
      </c>
      <c r="I16" s="208">
        <v>1381.2</v>
      </c>
      <c r="J16" s="1">
        <v>30</v>
      </c>
      <c r="K16" s="2">
        <f>I16/J16</f>
        <v>46.04</v>
      </c>
      <c r="L16" s="1">
        <v>3</v>
      </c>
      <c r="M16" s="1">
        <v>12</v>
      </c>
      <c r="N16" s="1">
        <v>0</v>
      </c>
      <c r="O16" s="1">
        <v>0</v>
      </c>
      <c r="P16" s="192">
        <f>L16+M16+N16+O16</f>
        <v>15</v>
      </c>
      <c r="Q16" s="42">
        <f>K16*50%*L16</f>
        <v>69.06</v>
      </c>
      <c r="R16" s="42">
        <f>K16*60%*M16</f>
        <v>331.488</v>
      </c>
      <c r="S16" s="42">
        <f>K16*60%*N16</f>
        <v>0</v>
      </c>
      <c r="T16" s="42">
        <f>K16*75%*O16</f>
        <v>0</v>
      </c>
      <c r="U16" s="42">
        <f>S16+T16</f>
        <v>0</v>
      </c>
      <c r="V16" s="42">
        <f>K16*(M16+O16+L16+N16)*100%</f>
        <v>690.6</v>
      </c>
    </row>
    <row r="17" spans="1:23" x14ac:dyDescent="0.25">
      <c r="A17" s="90">
        <v>1378</v>
      </c>
      <c r="B17" s="8" t="s">
        <v>321</v>
      </c>
      <c r="C17" s="65" t="s">
        <v>322</v>
      </c>
      <c r="D17" s="75" t="s">
        <v>50</v>
      </c>
      <c r="E17" s="55" t="s">
        <v>22</v>
      </c>
      <c r="F17" s="12">
        <v>45743</v>
      </c>
      <c r="G17" s="143">
        <v>45932</v>
      </c>
      <c r="H17" s="12" t="s">
        <v>666</v>
      </c>
      <c r="I17" s="208">
        <v>1381.5</v>
      </c>
      <c r="J17" s="1">
        <v>30</v>
      </c>
      <c r="K17" s="2">
        <f>I17/J17</f>
        <v>46.05</v>
      </c>
      <c r="L17" s="1">
        <v>0</v>
      </c>
      <c r="M17" s="1">
        <v>0</v>
      </c>
      <c r="N17" s="1">
        <v>0</v>
      </c>
      <c r="O17" s="1">
        <v>30</v>
      </c>
      <c r="P17" s="192">
        <f t="shared" si="0"/>
        <v>30</v>
      </c>
      <c r="Q17" s="42">
        <f>K17*50%*L17</f>
        <v>0</v>
      </c>
      <c r="R17" s="42">
        <f>K17*60%*M17</f>
        <v>0</v>
      </c>
      <c r="S17" s="42">
        <f>K17*60%*N17</f>
        <v>0</v>
      </c>
      <c r="T17" s="42">
        <f>K17*75%*O17</f>
        <v>1036.1249999999998</v>
      </c>
      <c r="U17" s="42">
        <f>S17+T17</f>
        <v>1036.1249999999998</v>
      </c>
      <c r="V17" s="42">
        <f>K17*(M17+O17+L17+N17)*100%</f>
        <v>1381.5</v>
      </c>
    </row>
    <row r="18" spans="1:23" x14ac:dyDescent="0.25">
      <c r="A18" s="193" t="s">
        <v>634</v>
      </c>
      <c r="B18" s="177"/>
      <c r="C18" s="178"/>
      <c r="D18" s="179"/>
      <c r="E18" s="180"/>
      <c r="F18" s="194"/>
      <c r="G18" s="181"/>
      <c r="H18" s="194"/>
      <c r="I18" s="182"/>
      <c r="J18" s="183"/>
      <c r="K18" s="184"/>
      <c r="L18" s="183"/>
      <c r="M18" s="183"/>
      <c r="N18" s="183"/>
      <c r="O18" s="183"/>
      <c r="P18" s="192">
        <f t="shared" si="0"/>
        <v>0</v>
      </c>
      <c r="Q18" s="182"/>
      <c r="R18" s="182"/>
      <c r="S18" s="182"/>
      <c r="T18" s="182"/>
      <c r="U18" s="182"/>
      <c r="V18" s="182"/>
    </row>
    <row r="19" spans="1:23" x14ac:dyDescent="0.25">
      <c r="A19" s="90">
        <v>1378</v>
      </c>
      <c r="B19" s="8" t="s">
        <v>124</v>
      </c>
      <c r="C19" s="65" t="s">
        <v>68</v>
      </c>
      <c r="D19" s="75" t="s">
        <v>50</v>
      </c>
      <c r="E19" s="55" t="s">
        <v>22</v>
      </c>
      <c r="F19" s="12">
        <v>45608</v>
      </c>
      <c r="G19" s="143">
        <v>45958</v>
      </c>
      <c r="H19" s="12" t="s">
        <v>710</v>
      </c>
      <c r="I19" s="186">
        <v>1323</v>
      </c>
      <c r="J19" s="1">
        <v>30</v>
      </c>
      <c r="K19" s="2">
        <f>I19/J19</f>
        <v>44.1</v>
      </c>
      <c r="L19" s="1">
        <v>0</v>
      </c>
      <c r="M19" s="1">
        <v>0</v>
      </c>
      <c r="N19" s="1">
        <v>0</v>
      </c>
      <c r="O19" s="1">
        <v>30</v>
      </c>
      <c r="P19" s="192">
        <f t="shared" si="0"/>
        <v>30</v>
      </c>
      <c r="Q19" s="42">
        <f>K19*50%*L19</f>
        <v>0</v>
      </c>
      <c r="R19" s="42">
        <f>K19*60%*M19</f>
        <v>0</v>
      </c>
      <c r="S19" s="42">
        <f>K19*60%*N19</f>
        <v>0</v>
      </c>
      <c r="T19" s="42">
        <f>K19*75%*O19</f>
        <v>992.25000000000011</v>
      </c>
      <c r="U19" s="42">
        <f>S19+T19</f>
        <v>992.25000000000011</v>
      </c>
      <c r="V19" s="42">
        <f>K19*(M19+O19+L19+N19)*100%</f>
        <v>1323</v>
      </c>
    </row>
    <row r="20" spans="1:23" ht="14.25" customHeight="1" x14ac:dyDescent="0.25">
      <c r="A20" s="90">
        <v>1378</v>
      </c>
      <c r="B20" s="8" t="s">
        <v>294</v>
      </c>
      <c r="C20" s="65" t="s">
        <v>561</v>
      </c>
      <c r="D20" s="75" t="s">
        <v>50</v>
      </c>
      <c r="E20" s="55" t="s">
        <v>22</v>
      </c>
      <c r="F20" s="12">
        <v>45869</v>
      </c>
      <c r="G20" s="143"/>
      <c r="H20" s="203">
        <v>45912</v>
      </c>
      <c r="I20" s="208">
        <v>1381.34</v>
      </c>
      <c r="J20" s="1">
        <v>30</v>
      </c>
      <c r="K20" s="2">
        <f>I20/J20</f>
        <v>46.044666666666664</v>
      </c>
      <c r="L20" s="1">
        <v>0</v>
      </c>
      <c r="M20" s="1">
        <v>0</v>
      </c>
      <c r="N20" s="1">
        <v>0</v>
      </c>
      <c r="O20" s="1">
        <v>12</v>
      </c>
      <c r="P20" s="192">
        <f t="shared" si="0"/>
        <v>12</v>
      </c>
      <c r="Q20" s="42">
        <f>K20*50%*L20</f>
        <v>0</v>
      </c>
      <c r="R20" s="42">
        <f>K20*60%*M20</f>
        <v>0</v>
      </c>
      <c r="S20" s="42">
        <f>K20*60%*N20</f>
        <v>0</v>
      </c>
      <c r="T20" s="42">
        <f>K20*75%*O20</f>
        <v>414.40199999999993</v>
      </c>
      <c r="U20" s="42">
        <f>S20+T20</f>
        <v>414.40199999999993</v>
      </c>
      <c r="V20" s="42">
        <f>K20*(M20+O20+L20+N20)*100%</f>
        <v>552.53599999999994</v>
      </c>
    </row>
    <row r="21" spans="1:23" ht="14.25" customHeight="1" x14ac:dyDescent="0.25">
      <c r="A21" s="90">
        <v>1378</v>
      </c>
      <c r="B21" s="8" t="s">
        <v>294</v>
      </c>
      <c r="C21" s="65" t="s">
        <v>561</v>
      </c>
      <c r="D21" s="75" t="s">
        <v>50</v>
      </c>
      <c r="E21" s="55" t="s">
        <v>22</v>
      </c>
      <c r="F21" s="12">
        <v>45930</v>
      </c>
      <c r="G21" s="143">
        <v>45937</v>
      </c>
      <c r="H21" s="203"/>
      <c r="I21" s="208">
        <v>1381.2</v>
      </c>
      <c r="J21" s="1">
        <v>30</v>
      </c>
      <c r="K21" s="2">
        <f>I21/J21</f>
        <v>46.04</v>
      </c>
      <c r="L21" s="1">
        <v>1</v>
      </c>
      <c r="M21" s="1">
        <v>0</v>
      </c>
      <c r="N21" s="1">
        <v>0</v>
      </c>
      <c r="O21" s="1">
        <v>0</v>
      </c>
      <c r="P21" s="192">
        <f>L21+M21+N21+O21</f>
        <v>1</v>
      </c>
      <c r="Q21" s="42">
        <f>K21*50%*L21</f>
        <v>23.02</v>
      </c>
      <c r="R21" s="42">
        <f>K21*60%*M21</f>
        <v>0</v>
      </c>
      <c r="S21" s="42">
        <f>K21*60%*N21</f>
        <v>0</v>
      </c>
      <c r="T21" s="42">
        <f>K21*75%*O21</f>
        <v>0</v>
      </c>
      <c r="U21" s="42">
        <f>S21+T21</f>
        <v>0</v>
      </c>
      <c r="V21" s="42">
        <f>K21*(M21+O21+L21+N21)*100%</f>
        <v>46.04</v>
      </c>
    </row>
    <row r="22" spans="1:23" ht="14.25" customHeight="1" x14ac:dyDescent="0.25">
      <c r="A22" s="90">
        <v>1378</v>
      </c>
      <c r="B22" s="8" t="s">
        <v>115</v>
      </c>
      <c r="C22" s="65" t="s">
        <v>116</v>
      </c>
      <c r="D22" s="75" t="s">
        <v>52</v>
      </c>
      <c r="E22" s="55" t="s">
        <v>22</v>
      </c>
      <c r="F22" s="12">
        <v>45618</v>
      </c>
      <c r="G22" s="143">
        <v>45938</v>
      </c>
      <c r="H22" s="12" t="s">
        <v>677</v>
      </c>
      <c r="I22" s="186">
        <v>1323</v>
      </c>
      <c r="J22" s="1">
        <v>30</v>
      </c>
      <c r="K22" s="2">
        <f>I22/J22</f>
        <v>44.1</v>
      </c>
      <c r="L22" s="1">
        <v>0</v>
      </c>
      <c r="M22" s="1">
        <v>0</v>
      </c>
      <c r="N22" s="1">
        <v>0</v>
      </c>
      <c r="O22" s="1">
        <v>30</v>
      </c>
      <c r="P22" s="192">
        <f t="shared" si="0"/>
        <v>30</v>
      </c>
      <c r="Q22" s="42">
        <f>K22*50%*L22</f>
        <v>0</v>
      </c>
      <c r="R22" s="42">
        <f>K22*60%*M22</f>
        <v>0</v>
      </c>
      <c r="S22" s="42">
        <f>K22*60%*N22</f>
        <v>0</v>
      </c>
      <c r="T22" s="42">
        <f>K22*75%*O22</f>
        <v>992.25000000000011</v>
      </c>
      <c r="U22" s="42">
        <f>S22+T22</f>
        <v>992.25000000000011</v>
      </c>
      <c r="V22" s="42">
        <f>K22*(M22+O22+L22+N22)*100%</f>
        <v>1323</v>
      </c>
    </row>
    <row r="23" spans="1:23" x14ac:dyDescent="0.25">
      <c r="A23" s="193" t="s">
        <v>635</v>
      </c>
      <c r="B23" s="177"/>
      <c r="C23" s="178"/>
      <c r="D23" s="179"/>
      <c r="E23" s="180"/>
      <c r="F23" s="194"/>
      <c r="G23" s="181"/>
      <c r="H23" s="194"/>
      <c r="I23" s="260" t="s">
        <v>652</v>
      </c>
      <c r="J23" s="183"/>
      <c r="K23" s="184"/>
      <c r="L23" s="183"/>
      <c r="M23" s="183"/>
      <c r="N23" s="183"/>
      <c r="O23" s="183"/>
      <c r="P23" s="192">
        <f t="shared" si="0"/>
        <v>0</v>
      </c>
      <c r="Q23" s="182"/>
      <c r="R23" s="182"/>
      <c r="S23" s="182"/>
      <c r="T23" s="182"/>
      <c r="U23" s="182"/>
      <c r="V23" s="182"/>
    </row>
    <row r="24" spans="1:23" x14ac:dyDescent="0.25">
      <c r="A24" s="195">
        <v>1378</v>
      </c>
      <c r="B24" s="9" t="s">
        <v>23</v>
      </c>
      <c r="C24" s="51">
        <v>38102537361</v>
      </c>
      <c r="D24" s="56"/>
      <c r="E24" s="56"/>
      <c r="F24" s="142"/>
      <c r="G24" s="142"/>
      <c r="H24" s="52"/>
      <c r="I24" s="53"/>
      <c r="J24" s="52"/>
      <c r="K24" s="53"/>
      <c r="L24" s="52"/>
      <c r="M24" s="52"/>
      <c r="N24" s="52"/>
      <c r="O24" s="52"/>
      <c r="P24" s="192">
        <f t="shared" si="0"/>
        <v>0</v>
      </c>
      <c r="Q24" s="10"/>
      <c r="R24" s="10"/>
      <c r="S24" s="10"/>
      <c r="T24" s="10"/>
      <c r="U24" s="11">
        <f>SUM(U13:U22)</f>
        <v>5507.1569999999992</v>
      </c>
      <c r="V24" s="10"/>
    </row>
    <row r="25" spans="1:23" x14ac:dyDescent="0.25">
      <c r="A25" s="187">
        <v>1481</v>
      </c>
      <c r="B25" s="44" t="s">
        <v>551</v>
      </c>
      <c r="C25" s="65" t="s">
        <v>552</v>
      </c>
      <c r="D25" s="75" t="s">
        <v>52</v>
      </c>
      <c r="E25" s="55" t="s">
        <v>22</v>
      </c>
      <c r="F25" s="12">
        <v>45873</v>
      </c>
      <c r="G25" s="143"/>
      <c r="H25" s="203">
        <v>45908</v>
      </c>
      <c r="I25" s="42">
        <v>1879.12</v>
      </c>
      <c r="J25" s="1">
        <v>30</v>
      </c>
      <c r="K25" s="2">
        <f>I25/J25</f>
        <v>62.637333333333331</v>
      </c>
      <c r="L25" s="1">
        <v>0</v>
      </c>
      <c r="M25" s="1">
        <v>0</v>
      </c>
      <c r="N25" s="1">
        <v>0</v>
      </c>
      <c r="O25" s="1">
        <v>8</v>
      </c>
      <c r="P25" s="192">
        <f t="shared" si="0"/>
        <v>8</v>
      </c>
      <c r="Q25" s="42">
        <f>K25*50%*L25</f>
        <v>0</v>
      </c>
      <c r="R25" s="42">
        <f>K25*60%*M25</f>
        <v>0</v>
      </c>
      <c r="S25" s="42">
        <f>K25*60%*N25</f>
        <v>0</v>
      </c>
      <c r="T25" s="42">
        <f>K25*75%*O25</f>
        <v>375.82399999999996</v>
      </c>
      <c r="U25" s="42">
        <f>S25+T25</f>
        <v>375.82399999999996</v>
      </c>
      <c r="V25" s="42">
        <f>K25*(M25+O25+L25+N25)*100%</f>
        <v>501.09866666666665</v>
      </c>
    </row>
    <row r="26" spans="1:23" x14ac:dyDescent="0.25">
      <c r="A26" s="195">
        <v>1481</v>
      </c>
      <c r="B26" s="9" t="s">
        <v>550</v>
      </c>
      <c r="C26" s="51"/>
      <c r="D26" s="56"/>
      <c r="E26" s="56"/>
      <c r="F26" s="142"/>
      <c r="G26" s="142"/>
      <c r="H26" s="52"/>
      <c r="I26" s="53"/>
      <c r="J26" s="52"/>
      <c r="K26" s="53"/>
      <c r="L26" s="52"/>
      <c r="M26" s="52"/>
      <c r="N26" s="52"/>
      <c r="O26" s="52"/>
      <c r="P26" s="192"/>
      <c r="Q26" s="10"/>
      <c r="R26" s="10"/>
      <c r="S26" s="10"/>
      <c r="T26" s="10"/>
      <c r="U26" s="11">
        <f>SUM(U25:U25)</f>
        <v>375.82399999999996</v>
      </c>
      <c r="V26" s="10"/>
    </row>
    <row r="27" spans="1:23" x14ac:dyDescent="0.25">
      <c r="A27" s="187">
        <v>1628</v>
      </c>
      <c r="B27" s="44" t="s">
        <v>105</v>
      </c>
      <c r="C27" s="65" t="s">
        <v>106</v>
      </c>
      <c r="D27" s="75" t="s">
        <v>52</v>
      </c>
      <c r="E27" s="55" t="s">
        <v>22</v>
      </c>
      <c r="F27" s="12">
        <v>45536</v>
      </c>
      <c r="G27" s="143">
        <v>45905</v>
      </c>
      <c r="H27" s="12" t="s">
        <v>605</v>
      </c>
      <c r="I27" s="42">
        <v>1500</v>
      </c>
      <c r="J27" s="1">
        <v>30</v>
      </c>
      <c r="K27" s="2">
        <f>I27/J27</f>
        <v>50</v>
      </c>
      <c r="L27" s="1">
        <v>0</v>
      </c>
      <c r="M27" s="1">
        <v>0</v>
      </c>
      <c r="N27" s="1">
        <v>0</v>
      </c>
      <c r="O27" s="1">
        <v>30</v>
      </c>
      <c r="P27" s="192">
        <f t="shared" ref="P27:P32" si="1">L27+M27+N27+O27</f>
        <v>30</v>
      </c>
      <c r="Q27" s="42">
        <f>K27*50%*L27</f>
        <v>0</v>
      </c>
      <c r="R27" s="42">
        <f>K27*60%*M27</f>
        <v>0</v>
      </c>
      <c r="S27" s="42">
        <f>K27*60%*N27</f>
        <v>0</v>
      </c>
      <c r="T27" s="42">
        <f>K27*75%*O27</f>
        <v>1125</v>
      </c>
      <c r="U27" s="42">
        <f>S27+T27</f>
        <v>1125</v>
      </c>
      <c r="V27" s="42">
        <f>K27*(M27+O27+L27+N27)*100%</f>
        <v>1500</v>
      </c>
      <c r="W27" t="s">
        <v>719</v>
      </c>
    </row>
    <row r="28" spans="1:23" ht="14.1" customHeight="1" x14ac:dyDescent="0.25">
      <c r="A28" s="195">
        <v>1628</v>
      </c>
      <c r="B28" s="9" t="s">
        <v>104</v>
      </c>
      <c r="C28" s="51"/>
      <c r="D28" s="56"/>
      <c r="E28" s="56"/>
      <c r="F28" s="142"/>
      <c r="G28" s="142"/>
      <c r="H28" s="52"/>
      <c r="I28" s="53"/>
      <c r="J28" s="52"/>
      <c r="K28" s="53"/>
      <c r="L28" s="52"/>
      <c r="M28" s="52"/>
      <c r="N28" s="52"/>
      <c r="O28" s="52"/>
      <c r="P28" s="192">
        <f t="shared" si="1"/>
        <v>0</v>
      </c>
      <c r="Q28" s="10"/>
      <c r="R28" s="10"/>
      <c r="S28" s="10"/>
      <c r="T28" s="10"/>
      <c r="U28" s="11">
        <f>SUM(U27:U27)</f>
        <v>1125</v>
      </c>
      <c r="V28" s="10"/>
    </row>
    <row r="29" spans="1:23" ht="14.25" customHeight="1" x14ac:dyDescent="0.25">
      <c r="A29" s="90">
        <v>1846</v>
      </c>
      <c r="B29" s="8" t="s">
        <v>256</v>
      </c>
      <c r="C29" s="65" t="s">
        <v>257</v>
      </c>
      <c r="D29" s="75" t="s">
        <v>51</v>
      </c>
      <c r="E29" s="55" t="s">
        <v>22</v>
      </c>
      <c r="F29" s="12">
        <v>45929</v>
      </c>
      <c r="G29" s="143"/>
      <c r="H29" s="203">
        <v>45930</v>
      </c>
      <c r="I29" s="42">
        <v>963.63</v>
      </c>
      <c r="J29" s="1">
        <v>92</v>
      </c>
      <c r="K29" s="2">
        <f>I29/J29</f>
        <v>10.474239130434782</v>
      </c>
      <c r="L29" s="1">
        <v>2</v>
      </c>
      <c r="M29" s="1">
        <v>0</v>
      </c>
      <c r="N29" s="1">
        <v>0</v>
      </c>
      <c r="O29" s="1">
        <v>0</v>
      </c>
      <c r="P29" s="192">
        <f t="shared" si="1"/>
        <v>2</v>
      </c>
      <c r="Q29" s="42">
        <f>K29*50%*L29</f>
        <v>10.474239130434782</v>
      </c>
      <c r="R29" s="42">
        <f>K29*60%*M29</f>
        <v>0</v>
      </c>
      <c r="S29" s="42">
        <f>K29*60%*N29</f>
        <v>0</v>
      </c>
      <c r="T29" s="42">
        <f>K29*75%*O29</f>
        <v>0</v>
      </c>
      <c r="U29" s="42">
        <f>S29+T29</f>
        <v>0</v>
      </c>
      <c r="V29" s="42">
        <f>K29*(M29+O29+L29+N29)*100%</f>
        <v>20.948478260869564</v>
      </c>
    </row>
    <row r="30" spans="1:23" ht="14.25" customHeight="1" x14ac:dyDescent="0.25">
      <c r="A30" s="90">
        <v>1846</v>
      </c>
      <c r="B30" s="8" t="s">
        <v>139</v>
      </c>
      <c r="C30" s="65" t="s">
        <v>140</v>
      </c>
      <c r="D30" s="75" t="s">
        <v>51</v>
      </c>
      <c r="E30" s="55" t="s">
        <v>22</v>
      </c>
      <c r="F30" s="12">
        <v>45659</v>
      </c>
      <c r="G30" s="143">
        <v>45932</v>
      </c>
      <c r="H30" s="12" t="s">
        <v>661</v>
      </c>
      <c r="I30" s="186">
        <v>2108.3200000000002</v>
      </c>
      <c r="J30" s="1">
        <v>92</v>
      </c>
      <c r="K30" s="2">
        <f>I30/J30</f>
        <v>22.916521739130438</v>
      </c>
      <c r="L30" s="1">
        <v>0</v>
      </c>
      <c r="M30" s="1">
        <v>0</v>
      </c>
      <c r="N30" s="1">
        <v>0</v>
      </c>
      <c r="O30" s="1">
        <v>30</v>
      </c>
      <c r="P30" s="192">
        <f t="shared" si="1"/>
        <v>30</v>
      </c>
      <c r="Q30" s="42">
        <f>K30*50%*L30</f>
        <v>0</v>
      </c>
      <c r="R30" s="42">
        <f>K30*60%*M30</f>
        <v>0</v>
      </c>
      <c r="S30" s="42">
        <f>K30*60%*N30</f>
        <v>0</v>
      </c>
      <c r="T30" s="42">
        <f>K30*75%*O30</f>
        <v>515.62173913043478</v>
      </c>
      <c r="U30" s="42">
        <f>S30+T30</f>
        <v>515.62173913043478</v>
      </c>
      <c r="V30" s="42">
        <f>K30*(M30+O30+L30+N30)*100%</f>
        <v>687.49565217391319</v>
      </c>
    </row>
    <row r="31" spans="1:23" ht="14.1" customHeight="1" x14ac:dyDescent="0.25">
      <c r="A31" s="195">
        <v>1846</v>
      </c>
      <c r="B31" s="9" t="s">
        <v>138</v>
      </c>
      <c r="C31" s="51">
        <v>38120237336</v>
      </c>
      <c r="D31" s="56"/>
      <c r="E31" s="56"/>
      <c r="F31" s="142"/>
      <c r="G31" s="142"/>
      <c r="H31" s="52"/>
      <c r="I31" s="53"/>
      <c r="J31" s="52"/>
      <c r="K31" s="53"/>
      <c r="L31" s="52"/>
      <c r="M31" s="52"/>
      <c r="N31" s="52"/>
      <c r="O31" s="52"/>
      <c r="P31" s="192">
        <f t="shared" si="1"/>
        <v>0</v>
      </c>
      <c r="Q31" s="10"/>
      <c r="R31" s="10"/>
      <c r="S31" s="10"/>
      <c r="T31" s="10"/>
      <c r="U31" s="11">
        <f>SUM(U30)</f>
        <v>515.62173913043478</v>
      </c>
      <c r="V31" s="10"/>
    </row>
    <row r="32" spans="1:23" x14ac:dyDescent="0.25">
      <c r="A32" s="187">
        <v>1903</v>
      </c>
      <c r="B32" s="44" t="s">
        <v>89</v>
      </c>
      <c r="C32" s="65" t="s">
        <v>90</v>
      </c>
      <c r="D32" s="75" t="s">
        <v>51</v>
      </c>
      <c r="E32" s="55" t="s">
        <v>22</v>
      </c>
      <c r="F32" s="12">
        <v>45418</v>
      </c>
      <c r="G32" s="143"/>
      <c r="H32" s="203">
        <v>45916</v>
      </c>
      <c r="I32" s="218">
        <v>1809.18</v>
      </c>
      <c r="J32" s="1">
        <v>79</v>
      </c>
      <c r="K32" s="2">
        <f>I32/J32</f>
        <v>22.901012658227849</v>
      </c>
      <c r="L32" s="1">
        <v>0</v>
      </c>
      <c r="M32" s="1">
        <v>0</v>
      </c>
      <c r="N32" s="1">
        <v>0</v>
      </c>
      <c r="O32" s="1">
        <v>16</v>
      </c>
      <c r="P32" s="192">
        <f t="shared" si="1"/>
        <v>16</v>
      </c>
      <c r="Q32" s="42">
        <f>K32*50%*L32</f>
        <v>0</v>
      </c>
      <c r="R32" s="42">
        <f>K32*60%*M32</f>
        <v>0</v>
      </c>
      <c r="S32" s="42">
        <f>K32*60%*N32</f>
        <v>0</v>
      </c>
      <c r="T32" s="42">
        <f>K32*75%*O32</f>
        <v>274.81215189873421</v>
      </c>
      <c r="U32" s="42">
        <f>S32+T32</f>
        <v>274.81215189873421</v>
      </c>
      <c r="V32" s="42">
        <f>K32*(M32+O32+L32+N32)*100%</f>
        <v>366.41620253164558</v>
      </c>
      <c r="W32" s="241"/>
    </row>
    <row r="33" spans="1:23" x14ac:dyDescent="0.25">
      <c r="A33" s="193" t="s">
        <v>637</v>
      </c>
      <c r="B33" s="177"/>
      <c r="C33" s="178"/>
      <c r="D33" s="179"/>
      <c r="E33" s="180"/>
      <c r="F33" s="194"/>
      <c r="G33" s="181"/>
      <c r="H33" s="194"/>
      <c r="I33" s="220" t="s">
        <v>676</v>
      </c>
      <c r="J33" s="183"/>
      <c r="K33" s="184"/>
      <c r="L33" s="183"/>
      <c r="M33" s="183"/>
      <c r="N33" s="183"/>
      <c r="O33" s="183"/>
      <c r="P33" s="192"/>
      <c r="Q33" s="182"/>
      <c r="R33" s="182"/>
      <c r="S33" s="182"/>
      <c r="T33" s="182"/>
      <c r="U33" s="182"/>
      <c r="V33" s="182"/>
    </row>
    <row r="34" spans="1:23" x14ac:dyDescent="0.25">
      <c r="A34" s="187">
        <v>1903</v>
      </c>
      <c r="B34" s="44" t="s">
        <v>447</v>
      </c>
      <c r="C34" s="65" t="s">
        <v>448</v>
      </c>
      <c r="D34" s="75" t="s">
        <v>51</v>
      </c>
      <c r="E34" s="55" t="s">
        <v>22</v>
      </c>
      <c r="F34" s="12">
        <v>45813</v>
      </c>
      <c r="G34" s="143">
        <v>45946</v>
      </c>
      <c r="H34" s="12" t="s">
        <v>700</v>
      </c>
      <c r="I34" s="1">
        <v>3755.95</v>
      </c>
      <c r="J34" s="1">
        <v>89</v>
      </c>
      <c r="K34" s="2">
        <f>I34/J34</f>
        <v>42.201685393258423</v>
      </c>
      <c r="L34" s="1">
        <v>0</v>
      </c>
      <c r="M34" s="1">
        <v>0</v>
      </c>
      <c r="N34" s="1">
        <v>0</v>
      </c>
      <c r="O34" s="1">
        <v>30</v>
      </c>
      <c r="P34" s="192">
        <f>L34+M34+N34+O34</f>
        <v>30</v>
      </c>
      <c r="Q34" s="42">
        <f>K34*50%*L34</f>
        <v>0</v>
      </c>
      <c r="R34" s="42">
        <f>K34*60%*M34</f>
        <v>0</v>
      </c>
      <c r="S34" s="42">
        <f>K34*60%*N34</f>
        <v>0</v>
      </c>
      <c r="T34" s="42">
        <f>K34*75%*O34</f>
        <v>949.53792134831451</v>
      </c>
      <c r="U34" s="42">
        <f>S34+T34</f>
        <v>949.53792134831451</v>
      </c>
      <c r="V34" s="42">
        <f>K34*(M34+O34+L34+N34)*100%</f>
        <v>1266.0505617977526</v>
      </c>
      <c r="W34" s="241"/>
    </row>
    <row r="35" spans="1:23" x14ac:dyDescent="0.25">
      <c r="A35" s="187">
        <v>1903</v>
      </c>
      <c r="B35" s="44" t="s">
        <v>190</v>
      </c>
      <c r="C35" s="65" t="s">
        <v>191</v>
      </c>
      <c r="D35" s="75" t="s">
        <v>51</v>
      </c>
      <c r="E35" s="55" t="s">
        <v>22</v>
      </c>
      <c r="F35" s="12">
        <v>45685</v>
      </c>
      <c r="G35" s="143">
        <v>45950</v>
      </c>
      <c r="H35" s="12" t="s">
        <v>711</v>
      </c>
      <c r="I35" s="218">
        <v>669.48</v>
      </c>
      <c r="J35" s="1">
        <v>31</v>
      </c>
      <c r="K35" s="2">
        <f>I35/J35</f>
        <v>21.596129032258066</v>
      </c>
      <c r="L35" s="1">
        <v>0</v>
      </c>
      <c r="M35" s="1">
        <v>0</v>
      </c>
      <c r="N35" s="1">
        <v>0</v>
      </c>
      <c r="O35" s="1">
        <v>30</v>
      </c>
      <c r="P35" s="192">
        <f>L35+M35+N35+O35</f>
        <v>30</v>
      </c>
      <c r="Q35" s="42">
        <f>K35*50%*L35</f>
        <v>0</v>
      </c>
      <c r="R35" s="42">
        <f>K35*60%*M35</f>
        <v>0</v>
      </c>
      <c r="S35" s="42">
        <f>K35*60%*N35</f>
        <v>0</v>
      </c>
      <c r="T35" s="42">
        <f>K35*75%*O35</f>
        <v>485.91290322580653</v>
      </c>
      <c r="U35" s="42">
        <f>S35+T35</f>
        <v>485.91290322580653</v>
      </c>
      <c r="V35" s="42">
        <f>K35*(M35+O35+L35+N35)*100%</f>
        <v>647.88387096774193</v>
      </c>
      <c r="W35" s="278"/>
    </row>
    <row r="36" spans="1:23" x14ac:dyDescent="0.25">
      <c r="A36" s="193" t="s">
        <v>639</v>
      </c>
      <c r="B36" s="177"/>
      <c r="C36" s="178"/>
      <c r="D36" s="179"/>
      <c r="E36" s="180"/>
      <c r="F36" s="194"/>
      <c r="G36" s="181"/>
      <c r="H36" s="194"/>
      <c r="I36" s="182"/>
      <c r="J36" s="183"/>
      <c r="K36" s="184"/>
      <c r="L36" s="183"/>
      <c r="M36" s="183"/>
      <c r="N36" s="183"/>
      <c r="O36" s="183"/>
      <c r="P36" s="192">
        <f>L36+M36+N36+O36</f>
        <v>0</v>
      </c>
      <c r="Q36" s="182"/>
      <c r="R36" s="182"/>
      <c r="S36" s="182"/>
      <c r="T36" s="182"/>
      <c r="U36" s="182"/>
      <c r="V36" s="182"/>
    </row>
    <row r="37" spans="1:23" x14ac:dyDescent="0.25">
      <c r="A37" s="195">
        <v>1903</v>
      </c>
      <c r="B37" s="9" t="s">
        <v>143</v>
      </c>
      <c r="C37" s="51"/>
      <c r="D37" s="56"/>
      <c r="E37" s="56"/>
      <c r="F37" s="142"/>
      <c r="G37" s="142"/>
      <c r="H37" s="52"/>
      <c r="I37" s="53"/>
      <c r="J37" s="52"/>
      <c r="K37" s="53"/>
      <c r="L37" s="52"/>
      <c r="M37" s="52"/>
      <c r="N37" s="52"/>
      <c r="O37" s="52"/>
      <c r="P37" s="192">
        <f>L37+M37+N37+O37</f>
        <v>0</v>
      </c>
      <c r="Q37" s="10"/>
      <c r="R37" s="10"/>
      <c r="S37" s="10"/>
      <c r="T37" s="10"/>
      <c r="U37" s="11">
        <f>SUM(U32:U35)</f>
        <v>1710.2629764728554</v>
      </c>
      <c r="V37" s="10"/>
    </row>
    <row r="38" spans="1:23" x14ac:dyDescent="0.25">
      <c r="A38" s="187">
        <v>1939</v>
      </c>
      <c r="B38" s="44" t="s">
        <v>625</v>
      </c>
      <c r="C38" s="65" t="s">
        <v>626</v>
      </c>
      <c r="D38" s="75" t="s">
        <v>52</v>
      </c>
      <c r="E38" s="55" t="s">
        <v>22</v>
      </c>
      <c r="F38" s="12">
        <v>45894</v>
      </c>
      <c r="G38" s="143">
        <v>45943</v>
      </c>
      <c r="H38" s="12" t="s">
        <v>725</v>
      </c>
      <c r="I38" s="189">
        <v>1995.99</v>
      </c>
      <c r="J38" s="1">
        <v>30</v>
      </c>
      <c r="K38" s="2">
        <f>I38/J38</f>
        <v>66.533000000000001</v>
      </c>
      <c r="L38" s="1">
        <v>0</v>
      </c>
      <c r="M38" s="1">
        <v>8</v>
      </c>
      <c r="N38" s="1">
        <v>5</v>
      </c>
      <c r="O38" s="1">
        <v>17</v>
      </c>
      <c r="P38" s="192">
        <f>L38+M38+N38+O38</f>
        <v>30</v>
      </c>
      <c r="Q38" s="42">
        <f>K38*50%*L38</f>
        <v>0</v>
      </c>
      <c r="R38" s="42">
        <f>K38*60%*M38</f>
        <v>319.35840000000002</v>
      </c>
      <c r="S38" s="42">
        <f>K38*60%*N38</f>
        <v>199.59900000000002</v>
      </c>
      <c r="T38" s="42">
        <f>K38*75%*O38</f>
        <v>848.29575</v>
      </c>
      <c r="U38" s="42">
        <f>S38+T38</f>
        <v>1047.8947499999999</v>
      </c>
      <c r="V38" s="42">
        <f>K38*(M38+O38+L38+N38)*100%</f>
        <v>1995.99</v>
      </c>
    </row>
    <row r="39" spans="1:23" x14ac:dyDescent="0.25">
      <c r="A39" s="195">
        <v>1939</v>
      </c>
      <c r="B39" s="9" t="s">
        <v>624</v>
      </c>
      <c r="C39" s="51"/>
      <c r="D39" s="56"/>
      <c r="E39" s="56"/>
      <c r="F39" s="142"/>
      <c r="G39" s="142"/>
      <c r="H39" s="52"/>
      <c r="I39" s="53"/>
      <c r="J39" s="52"/>
      <c r="K39" s="53"/>
      <c r="L39" s="52"/>
      <c r="M39" s="52"/>
      <c r="N39" s="52"/>
      <c r="O39" s="52"/>
      <c r="P39" s="192"/>
      <c r="Q39" s="10"/>
      <c r="R39" s="10"/>
      <c r="S39" s="10"/>
      <c r="T39" s="10"/>
      <c r="U39" s="11">
        <f>SUM(U38)</f>
        <v>1047.8947499999999</v>
      </c>
      <c r="V39" s="10"/>
    </row>
    <row r="40" spans="1:23" x14ac:dyDescent="0.25">
      <c r="A40" s="187">
        <v>1983</v>
      </c>
      <c r="B40" s="44" t="s">
        <v>240</v>
      </c>
      <c r="C40" s="65" t="s">
        <v>662</v>
      </c>
      <c r="D40" s="75" t="s">
        <v>51</v>
      </c>
      <c r="E40" s="55" t="s">
        <v>22</v>
      </c>
      <c r="F40" s="12">
        <v>45911</v>
      </c>
      <c r="G40" s="143"/>
      <c r="H40" s="203">
        <v>45912</v>
      </c>
      <c r="I40" s="189">
        <v>1083.1300000000001</v>
      </c>
      <c r="J40" s="1">
        <v>30</v>
      </c>
      <c r="K40" s="2">
        <f>I40/J40</f>
        <v>36.104333333333336</v>
      </c>
      <c r="L40" s="1">
        <v>2</v>
      </c>
      <c r="M40" s="1">
        <v>0</v>
      </c>
      <c r="N40" s="1">
        <v>0</v>
      </c>
      <c r="O40" s="1">
        <v>0</v>
      </c>
      <c r="P40" s="192">
        <f>L40+M40+N40+O40</f>
        <v>2</v>
      </c>
      <c r="Q40" s="42">
        <f>K40*50%*L40</f>
        <v>36.104333333333336</v>
      </c>
      <c r="R40" s="42">
        <f>K40*60%*M40</f>
        <v>0</v>
      </c>
      <c r="S40" s="42">
        <f>K40*60%*N40</f>
        <v>0</v>
      </c>
      <c r="T40" s="42">
        <f>K40*75%*O40</f>
        <v>0</v>
      </c>
      <c r="U40" s="42">
        <f>S40+T40</f>
        <v>0</v>
      </c>
      <c r="V40" s="42">
        <f>K40*(M40+O40+L40+N40)*100%</f>
        <v>72.208666666666673</v>
      </c>
    </row>
    <row r="41" spans="1:23" x14ac:dyDescent="0.25">
      <c r="A41" s="195">
        <v>1983</v>
      </c>
      <c r="B41" s="9" t="s">
        <v>239</v>
      </c>
      <c r="C41" s="51"/>
      <c r="D41" s="56"/>
      <c r="E41" s="56"/>
      <c r="F41" s="142"/>
      <c r="G41" s="142"/>
      <c r="H41" s="52"/>
      <c r="I41" s="53"/>
      <c r="J41" s="52"/>
      <c r="K41" s="53"/>
      <c r="L41" s="52"/>
      <c r="M41" s="52"/>
      <c r="N41" s="52"/>
      <c r="O41" s="52"/>
      <c r="P41" s="192"/>
      <c r="Q41" s="10"/>
      <c r="R41" s="10"/>
      <c r="S41" s="10"/>
      <c r="T41" s="10"/>
      <c r="U41" s="11"/>
      <c r="V41" s="10"/>
    </row>
    <row r="42" spans="1:23" x14ac:dyDescent="0.25">
      <c r="A42" s="187">
        <v>1985</v>
      </c>
      <c r="B42" s="44" t="s">
        <v>581</v>
      </c>
      <c r="C42" s="65" t="s">
        <v>582</v>
      </c>
      <c r="D42" s="75" t="s">
        <v>51</v>
      </c>
      <c r="E42" s="55" t="s">
        <v>22</v>
      </c>
      <c r="F42" s="12">
        <v>45876</v>
      </c>
      <c r="G42" s="143"/>
      <c r="H42" s="203">
        <v>45915</v>
      </c>
      <c r="I42" s="189">
        <v>3144.96</v>
      </c>
      <c r="J42" s="1">
        <v>91</v>
      </c>
      <c r="K42" s="2">
        <f>I42/J42</f>
        <v>34.56</v>
      </c>
      <c r="L42" s="1">
        <v>0</v>
      </c>
      <c r="M42" s="1">
        <v>0</v>
      </c>
      <c r="N42" s="1">
        <v>0</v>
      </c>
      <c r="O42" s="1">
        <v>15</v>
      </c>
      <c r="P42" s="192">
        <f>L42+M42+N42+O42</f>
        <v>15</v>
      </c>
      <c r="Q42" s="42">
        <f>K42*50%*L42</f>
        <v>0</v>
      </c>
      <c r="R42" s="42">
        <f>K42*60%*M42</f>
        <v>0</v>
      </c>
      <c r="S42" s="42">
        <f>K42*60%*N42</f>
        <v>0</v>
      </c>
      <c r="T42" s="42">
        <f>K42*75%*O42</f>
        <v>388.8</v>
      </c>
      <c r="U42" s="42">
        <f>S42+T42</f>
        <v>388.8</v>
      </c>
      <c r="V42" s="42">
        <f>K42*(M42+O42+L42+N42)*100%</f>
        <v>518.40000000000009</v>
      </c>
    </row>
    <row r="43" spans="1:23" x14ac:dyDescent="0.25">
      <c r="A43" s="193" t="s">
        <v>620</v>
      </c>
      <c r="B43" s="177"/>
      <c r="C43" s="178"/>
      <c r="D43" s="179"/>
      <c r="E43" s="180"/>
      <c r="F43" s="194"/>
      <c r="G43" s="181"/>
      <c r="H43" s="194"/>
      <c r="I43" s="220" t="s">
        <v>685</v>
      </c>
      <c r="J43" s="183"/>
      <c r="K43" s="184"/>
      <c r="L43" s="183"/>
      <c r="M43" s="183"/>
      <c r="N43" s="183"/>
      <c r="O43" s="183"/>
      <c r="P43" s="192">
        <f>L43+M43+N43+O43</f>
        <v>0</v>
      </c>
      <c r="Q43" s="182"/>
      <c r="R43" s="182"/>
      <c r="S43" s="182"/>
      <c r="T43" s="182"/>
      <c r="U43" s="182"/>
      <c r="V43" s="182"/>
    </row>
    <row r="44" spans="1:23" x14ac:dyDescent="0.25">
      <c r="A44" s="187">
        <v>1985</v>
      </c>
      <c r="B44" s="44" t="s">
        <v>594</v>
      </c>
      <c r="C44" s="65" t="s">
        <v>595</v>
      </c>
      <c r="D44" s="75" t="s">
        <v>50</v>
      </c>
      <c r="E44" s="55" t="s">
        <v>22</v>
      </c>
      <c r="F44" s="12">
        <v>45882</v>
      </c>
      <c r="G44" s="143">
        <v>45951</v>
      </c>
      <c r="H44" s="12" t="s">
        <v>717</v>
      </c>
      <c r="I44" s="189">
        <v>1675.21</v>
      </c>
      <c r="J44" s="1">
        <v>30</v>
      </c>
      <c r="K44" s="2">
        <f>I44/J44</f>
        <v>55.840333333333334</v>
      </c>
      <c r="L44" s="1">
        <v>0</v>
      </c>
      <c r="M44" s="1">
        <v>0</v>
      </c>
      <c r="N44" s="1">
        <v>0</v>
      </c>
      <c r="O44" s="1">
        <v>30</v>
      </c>
      <c r="P44" s="192">
        <f>L44+M44+N44+O44</f>
        <v>30</v>
      </c>
      <c r="Q44" s="42">
        <f>K44*50%*L44</f>
        <v>0</v>
      </c>
      <c r="R44" s="42">
        <f>K44*60%*M44</f>
        <v>0</v>
      </c>
      <c r="S44" s="42">
        <f>K44*60%*N44</f>
        <v>0</v>
      </c>
      <c r="T44" s="42">
        <f>K44*75%*O44</f>
        <v>1256.4075</v>
      </c>
      <c r="U44" s="42">
        <f>S44+T44</f>
        <v>1256.4075</v>
      </c>
      <c r="V44" s="42">
        <f>K44*(M44+O44+L44+N44)*100%</f>
        <v>1675.21</v>
      </c>
    </row>
    <row r="45" spans="1:23" x14ac:dyDescent="0.25">
      <c r="A45" s="193" t="s">
        <v>619</v>
      </c>
      <c r="B45" s="177"/>
      <c r="C45" s="178"/>
      <c r="D45" s="179"/>
      <c r="E45" s="180"/>
      <c r="F45" s="194"/>
      <c r="G45" s="181"/>
      <c r="H45" s="194"/>
      <c r="I45" s="220"/>
      <c r="J45" s="183"/>
      <c r="K45" s="184"/>
      <c r="L45" s="183"/>
      <c r="M45" s="183"/>
      <c r="N45" s="183"/>
      <c r="O45" s="183"/>
      <c r="P45" s="192">
        <f>L45+M45+N45+O45</f>
        <v>0</v>
      </c>
      <c r="Q45" s="182"/>
      <c r="R45" s="182"/>
      <c r="S45" s="182"/>
      <c r="T45" s="182"/>
      <c r="U45" s="182"/>
      <c r="V45" s="182"/>
    </row>
    <row r="46" spans="1:23" x14ac:dyDescent="0.25">
      <c r="A46" s="195">
        <v>1985</v>
      </c>
      <c r="B46" s="9" t="s">
        <v>212</v>
      </c>
      <c r="C46" s="51"/>
      <c r="D46" s="56"/>
      <c r="E46" s="56"/>
      <c r="F46" s="142"/>
      <c r="G46" s="142"/>
      <c r="H46" s="52"/>
      <c r="I46" s="53"/>
      <c r="J46" s="52"/>
      <c r="K46" s="53"/>
      <c r="L46" s="52"/>
      <c r="M46" s="52"/>
      <c r="N46" s="52"/>
      <c r="O46" s="52"/>
      <c r="P46" s="192"/>
      <c r="Q46" s="10"/>
      <c r="R46" s="10"/>
      <c r="S46" s="10"/>
      <c r="T46" s="10"/>
      <c r="U46" s="11">
        <f>SUM(U42:U44)</f>
        <v>1645.2075</v>
      </c>
      <c r="V46" s="10"/>
    </row>
    <row r="47" spans="1:23" s="185" customFormat="1" x14ac:dyDescent="0.25">
      <c r="A47" s="89">
        <v>2201</v>
      </c>
      <c r="B47" s="68" t="s">
        <v>301</v>
      </c>
      <c r="C47" s="66" t="s">
        <v>86</v>
      </c>
      <c r="D47" s="205">
        <v>200</v>
      </c>
      <c r="E47" s="84"/>
      <c r="F47" s="141">
        <v>45915</v>
      </c>
      <c r="G47" s="141"/>
      <c r="H47" s="147">
        <v>45984</v>
      </c>
      <c r="I47" s="85"/>
      <c r="J47" s="85"/>
      <c r="K47" s="85"/>
      <c r="L47" s="85"/>
      <c r="M47" s="85"/>
      <c r="N47" s="85"/>
      <c r="O47" s="85"/>
      <c r="P47" s="192">
        <f t="shared" ref="P47:P54" si="2">L47+M47+N47+O47</f>
        <v>0</v>
      </c>
      <c r="Q47" s="83" t="s">
        <v>48</v>
      </c>
      <c r="R47" s="68"/>
      <c r="S47" s="68"/>
      <c r="T47" s="68"/>
      <c r="U47" s="85"/>
      <c r="V47" s="68"/>
    </row>
    <row r="48" spans="1:23" x14ac:dyDescent="0.25">
      <c r="A48" s="195">
        <v>2201</v>
      </c>
      <c r="B48" s="9" t="s">
        <v>315</v>
      </c>
      <c r="C48" s="51"/>
      <c r="D48" s="56"/>
      <c r="E48" s="56"/>
      <c r="F48" s="142"/>
      <c r="G48" s="142"/>
      <c r="H48" s="52"/>
      <c r="I48" s="53"/>
      <c r="J48" s="52"/>
      <c r="K48" s="53"/>
      <c r="L48" s="52"/>
      <c r="M48" s="52"/>
      <c r="N48" s="52"/>
      <c r="O48" s="52"/>
      <c r="P48" s="192">
        <f t="shared" si="2"/>
        <v>0</v>
      </c>
      <c r="Q48" s="10"/>
      <c r="R48" s="10"/>
      <c r="S48" s="10"/>
      <c r="T48" s="10"/>
      <c r="U48" s="11">
        <f>SUM(U47)</f>
        <v>0</v>
      </c>
      <c r="V48" s="10"/>
    </row>
    <row r="49" spans="1:24" x14ac:dyDescent="0.25">
      <c r="A49" s="196">
        <v>2281</v>
      </c>
      <c r="B49" s="44" t="s">
        <v>296</v>
      </c>
      <c r="C49" s="65" t="s">
        <v>297</v>
      </c>
      <c r="D49" s="55">
        <v>100</v>
      </c>
      <c r="E49" s="55" t="s">
        <v>22</v>
      </c>
      <c r="F49" s="12">
        <v>45896</v>
      </c>
      <c r="G49" s="143">
        <v>45931</v>
      </c>
      <c r="H49" s="12" t="s">
        <v>678</v>
      </c>
      <c r="I49" s="42">
        <v>1579.87</v>
      </c>
      <c r="J49" s="1">
        <v>30</v>
      </c>
      <c r="K49" s="2">
        <f>I49/J49</f>
        <v>52.662333333333329</v>
      </c>
      <c r="L49" s="1">
        <v>0</v>
      </c>
      <c r="M49" s="1">
        <v>10</v>
      </c>
      <c r="N49" s="1">
        <v>5</v>
      </c>
      <c r="O49" s="1">
        <v>15</v>
      </c>
      <c r="P49" s="192">
        <f>L49+M49+N49+O49</f>
        <v>30</v>
      </c>
      <c r="Q49" s="42">
        <f>K49*50%*L49</f>
        <v>0</v>
      </c>
      <c r="R49" s="42">
        <f>K49*60%*M49</f>
        <v>315.97399999999999</v>
      </c>
      <c r="S49" s="42">
        <f>K49*60%*N49</f>
        <v>157.98699999999999</v>
      </c>
      <c r="T49" s="42">
        <f>K49*75%*O49</f>
        <v>592.45124999999996</v>
      </c>
      <c r="U49" s="42">
        <f>S49+T49</f>
        <v>750.43824999999993</v>
      </c>
      <c r="V49" s="42">
        <f>K49*(M49+O49+L49+N49)*100%</f>
        <v>1579.87</v>
      </c>
    </row>
    <row r="50" spans="1:24" x14ac:dyDescent="0.25">
      <c r="A50" s="196">
        <v>2281</v>
      </c>
      <c r="B50" s="44" t="s">
        <v>538</v>
      </c>
      <c r="C50" s="65" t="s">
        <v>539</v>
      </c>
      <c r="D50" s="55">
        <v>100</v>
      </c>
      <c r="E50" s="55" t="s">
        <v>22</v>
      </c>
      <c r="F50" s="12">
        <v>45866</v>
      </c>
      <c r="G50" s="143"/>
      <c r="H50" s="203">
        <v>45905</v>
      </c>
      <c r="I50" s="42">
        <v>1468.59</v>
      </c>
      <c r="J50" s="1">
        <v>30</v>
      </c>
      <c r="K50" s="2">
        <f>I50/J50</f>
        <v>48.952999999999996</v>
      </c>
      <c r="L50" s="1">
        <v>0</v>
      </c>
      <c r="M50" s="1">
        <v>0</v>
      </c>
      <c r="N50" s="1">
        <v>0</v>
      </c>
      <c r="O50" s="1">
        <v>5</v>
      </c>
      <c r="P50" s="192">
        <f t="shared" si="2"/>
        <v>5</v>
      </c>
      <c r="Q50" s="42">
        <f>K50*50%*L50</f>
        <v>0</v>
      </c>
      <c r="R50" s="42">
        <f>K50*60%*M50</f>
        <v>0</v>
      </c>
      <c r="S50" s="42">
        <f>K50*60%*N50</f>
        <v>0</v>
      </c>
      <c r="T50" s="42">
        <f>K50*75%*O50</f>
        <v>183.57374999999996</v>
      </c>
      <c r="U50" s="42">
        <f>S50+T50</f>
        <v>183.57374999999996</v>
      </c>
      <c r="V50" s="42">
        <f>K50*(M50+O50+L50+N50)*100%</f>
        <v>244.76499999999999</v>
      </c>
    </row>
    <row r="51" spans="1:24" s="185" customFormat="1" ht="15" customHeight="1" x14ac:dyDescent="0.25">
      <c r="A51" s="195">
        <v>2281</v>
      </c>
      <c r="B51" s="9" t="s">
        <v>60</v>
      </c>
      <c r="C51" s="51"/>
      <c r="D51" s="56"/>
      <c r="E51" s="56"/>
      <c r="F51" s="142"/>
      <c r="G51" s="142"/>
      <c r="H51" s="52"/>
      <c r="I51" s="53"/>
      <c r="J51" s="52"/>
      <c r="K51" s="53"/>
      <c r="L51" s="52"/>
      <c r="M51" s="52"/>
      <c r="N51" s="52"/>
      <c r="O51" s="52"/>
      <c r="P51" s="192">
        <f t="shared" si="2"/>
        <v>0</v>
      </c>
      <c r="Q51" s="10"/>
      <c r="R51" s="10"/>
      <c r="S51" s="10"/>
      <c r="T51" s="10"/>
      <c r="U51" s="11">
        <f>SUM(U49:U50)</f>
        <v>934.01199999999994</v>
      </c>
      <c r="V51" s="10"/>
    </row>
    <row r="52" spans="1:24" x14ac:dyDescent="0.25">
      <c r="A52" s="196">
        <v>2290</v>
      </c>
      <c r="B52" s="44" t="s">
        <v>415</v>
      </c>
      <c r="C52" s="65" t="s">
        <v>416</v>
      </c>
      <c r="D52" s="55">
        <v>189</v>
      </c>
      <c r="E52" s="55" t="s">
        <v>22</v>
      </c>
      <c r="F52" s="12">
        <v>45897</v>
      </c>
      <c r="G52" s="143">
        <v>45932</v>
      </c>
      <c r="H52" s="12" t="s">
        <v>697</v>
      </c>
      <c r="I52" s="42">
        <v>1477.48</v>
      </c>
      <c r="J52" s="1">
        <v>30</v>
      </c>
      <c r="K52" s="2">
        <f>I52/J52</f>
        <v>49.249333333333333</v>
      </c>
      <c r="L52" s="1">
        <v>0</v>
      </c>
      <c r="M52" s="1">
        <v>11</v>
      </c>
      <c r="N52" s="1">
        <v>5</v>
      </c>
      <c r="O52" s="1">
        <v>14</v>
      </c>
      <c r="P52" s="192">
        <f t="shared" si="2"/>
        <v>30</v>
      </c>
      <c r="Q52" s="42">
        <f>K52*50%*L52</f>
        <v>0</v>
      </c>
      <c r="R52" s="42">
        <f>K52*60%*M52</f>
        <v>325.04559999999998</v>
      </c>
      <c r="S52" s="42">
        <f>K52*60%*N52</f>
        <v>147.74799999999999</v>
      </c>
      <c r="T52" s="42">
        <f>K52*75%*O52</f>
        <v>517.11799999999994</v>
      </c>
      <c r="U52" s="42">
        <f>S52+T52</f>
        <v>664.86599999999999</v>
      </c>
      <c r="V52" s="42">
        <f>K52*(M52+O52+L52+N52)*100%</f>
        <v>1477.48</v>
      </c>
      <c r="W52" s="241"/>
      <c r="X52" s="241"/>
    </row>
    <row r="53" spans="1:24" s="185" customFormat="1" ht="14.25" customHeight="1" x14ac:dyDescent="0.25">
      <c r="A53" s="193" t="s">
        <v>687</v>
      </c>
      <c r="B53" s="177"/>
      <c r="C53" s="178"/>
      <c r="D53" s="179"/>
      <c r="E53" s="180"/>
      <c r="F53" s="194"/>
      <c r="G53" s="181"/>
      <c r="H53" s="194"/>
      <c r="I53" s="182"/>
      <c r="J53" s="183"/>
      <c r="K53" s="184"/>
      <c r="L53" s="183"/>
      <c r="M53" s="183"/>
      <c r="N53" s="183"/>
      <c r="O53" s="183"/>
      <c r="P53" s="192"/>
      <c r="Q53" s="182"/>
      <c r="R53" s="182"/>
      <c r="S53" s="182"/>
      <c r="T53" s="182"/>
      <c r="U53" s="182"/>
      <c r="V53" s="182"/>
      <c r="W53" s="241"/>
    </row>
    <row r="54" spans="1:24" x14ac:dyDescent="0.25">
      <c r="A54" s="196">
        <v>2290</v>
      </c>
      <c r="B54" s="44" t="s">
        <v>659</v>
      </c>
      <c r="C54" s="65" t="s">
        <v>667</v>
      </c>
      <c r="D54" s="55">
        <v>100</v>
      </c>
      <c r="E54" s="55" t="s">
        <v>22</v>
      </c>
      <c r="F54" s="12">
        <v>45906</v>
      </c>
      <c r="G54" s="143"/>
      <c r="H54" s="203">
        <v>45929</v>
      </c>
      <c r="I54" s="42">
        <v>1535.04</v>
      </c>
      <c r="J54" s="1">
        <v>30</v>
      </c>
      <c r="K54" s="2">
        <f>I54/J54</f>
        <v>51.167999999999999</v>
      </c>
      <c r="L54" s="1">
        <v>3</v>
      </c>
      <c r="M54" s="1">
        <v>12</v>
      </c>
      <c r="N54" s="1">
        <v>5</v>
      </c>
      <c r="O54" s="1">
        <v>4</v>
      </c>
      <c r="P54" s="192">
        <f t="shared" si="2"/>
        <v>24</v>
      </c>
      <c r="Q54" s="42">
        <f>K54*50%*L54</f>
        <v>76.751999999999995</v>
      </c>
      <c r="R54" s="42">
        <f>K54*60%*M54</f>
        <v>368.40959999999995</v>
      </c>
      <c r="S54" s="42">
        <f>K54*60%*N54</f>
        <v>153.50399999999999</v>
      </c>
      <c r="T54" s="42">
        <f>K54*75%*O54</f>
        <v>153.50399999999999</v>
      </c>
      <c r="U54" s="42">
        <f>S54+T54</f>
        <v>307.00799999999998</v>
      </c>
      <c r="V54" s="42">
        <f>K54*(M54+O54+L54+N54)*100%</f>
        <v>1228.0319999999999</v>
      </c>
      <c r="W54" s="241"/>
      <c r="X54" s="241"/>
    </row>
    <row r="55" spans="1:24" s="185" customFormat="1" ht="14.25" customHeight="1" x14ac:dyDescent="0.25">
      <c r="A55" s="193" t="s">
        <v>660</v>
      </c>
      <c r="B55" s="177"/>
      <c r="C55" s="178"/>
      <c r="D55" s="179"/>
      <c r="E55" s="180"/>
      <c r="F55" s="194"/>
      <c r="G55" s="181"/>
      <c r="H55" s="194"/>
      <c r="I55" s="182"/>
      <c r="J55" s="183"/>
      <c r="K55" s="184"/>
      <c r="L55" s="183"/>
      <c r="M55" s="183"/>
      <c r="N55" s="183"/>
      <c r="O55" s="183"/>
      <c r="P55" s="192"/>
      <c r="Q55" s="182"/>
      <c r="R55" s="182"/>
      <c r="S55" s="182"/>
      <c r="T55" s="182"/>
      <c r="U55" s="182"/>
      <c r="V55" s="182"/>
      <c r="W55" s="241"/>
    </row>
    <row r="56" spans="1:24" x14ac:dyDescent="0.25">
      <c r="A56" s="89">
        <v>2290</v>
      </c>
      <c r="B56" s="68" t="s">
        <v>406</v>
      </c>
      <c r="C56" s="66" t="s">
        <v>407</v>
      </c>
      <c r="D56" s="205">
        <v>100</v>
      </c>
      <c r="E56" s="205" t="s">
        <v>22</v>
      </c>
      <c r="F56" s="141">
        <v>45883</v>
      </c>
      <c r="G56" s="141"/>
      <c r="H56" s="141"/>
      <c r="I56" s="85"/>
      <c r="J56" s="85"/>
      <c r="K56" s="85"/>
      <c r="L56" s="85"/>
      <c r="M56" s="85"/>
      <c r="N56" s="85"/>
      <c r="O56" s="85"/>
      <c r="P56" s="192">
        <f>L56+M56+N56+O56</f>
        <v>0</v>
      </c>
      <c r="Q56" s="83" t="s">
        <v>88</v>
      </c>
      <c r="R56" s="68"/>
      <c r="S56" s="68"/>
      <c r="T56" s="68"/>
      <c r="U56" s="85"/>
      <c r="V56" s="68"/>
      <c r="W56" s="241"/>
    </row>
    <row r="57" spans="1:24" s="185" customFormat="1" ht="14.25" customHeight="1" x14ac:dyDescent="0.25">
      <c r="A57" s="193" t="s">
        <v>641</v>
      </c>
      <c r="B57" s="177"/>
      <c r="C57" s="178"/>
      <c r="D57" s="179"/>
      <c r="E57" s="180"/>
      <c r="F57" s="194"/>
      <c r="G57" s="181"/>
      <c r="H57" s="194"/>
      <c r="I57" s="182"/>
      <c r="J57" s="183"/>
      <c r="K57" s="184"/>
      <c r="L57" s="183"/>
      <c r="M57" s="183"/>
      <c r="N57" s="183"/>
      <c r="O57" s="183"/>
      <c r="P57" s="192"/>
      <c r="Q57" s="182"/>
      <c r="R57" s="182"/>
      <c r="S57" s="182"/>
      <c r="T57" s="182"/>
      <c r="U57" s="182"/>
      <c r="V57" s="182"/>
      <c r="W57" s="241"/>
    </row>
    <row r="58" spans="1:24" x14ac:dyDescent="0.25">
      <c r="A58" s="196">
        <v>2290</v>
      </c>
      <c r="B58" s="44" t="s">
        <v>683</v>
      </c>
      <c r="C58" s="65" t="s">
        <v>707</v>
      </c>
      <c r="D58" s="55">
        <v>410</v>
      </c>
      <c r="E58" s="55" t="s">
        <v>22</v>
      </c>
      <c r="F58" s="12">
        <v>45923</v>
      </c>
      <c r="G58" s="143">
        <v>45940</v>
      </c>
      <c r="H58" s="12" t="s">
        <v>720</v>
      </c>
      <c r="I58" s="42">
        <v>1547.48</v>
      </c>
      <c r="J58" s="1">
        <v>30</v>
      </c>
      <c r="K58" s="2">
        <f>I58/J58</f>
        <v>51.582666666666668</v>
      </c>
      <c r="L58" s="1">
        <v>3</v>
      </c>
      <c r="M58" s="1">
        <v>5</v>
      </c>
      <c r="N58" s="1">
        <v>0</v>
      </c>
      <c r="O58" s="1">
        <v>0</v>
      </c>
      <c r="P58" s="192">
        <f>L58+M58+N58+O58</f>
        <v>8</v>
      </c>
      <c r="Q58" s="42">
        <f>K58*50%*L58</f>
        <v>77.373999999999995</v>
      </c>
      <c r="R58" s="42">
        <f>K58*60%*M58</f>
        <v>154.74799999999999</v>
      </c>
      <c r="S58" s="42">
        <f>K58*60%*N58</f>
        <v>0</v>
      </c>
      <c r="T58" s="42">
        <f>K58*75%*O58</f>
        <v>0</v>
      </c>
      <c r="U58" s="42">
        <f>S58+T58</f>
        <v>0</v>
      </c>
      <c r="V58" s="42">
        <f>K58*(M58+O58+L58+N58)*100%</f>
        <v>412.66133333333335</v>
      </c>
      <c r="W58" s="241"/>
    </row>
    <row r="59" spans="1:24" s="185" customFormat="1" ht="14.25" customHeight="1" x14ac:dyDescent="0.25">
      <c r="A59" s="193" t="s">
        <v>684</v>
      </c>
      <c r="B59" s="177"/>
      <c r="C59" s="178"/>
      <c r="D59" s="179"/>
      <c r="E59" s="180"/>
      <c r="F59" s="194"/>
      <c r="G59" s="181"/>
      <c r="H59" s="194"/>
      <c r="I59" s="182"/>
      <c r="J59" s="183"/>
      <c r="K59" s="184"/>
      <c r="L59" s="183"/>
      <c r="M59" s="183"/>
      <c r="N59" s="183"/>
      <c r="O59" s="183"/>
      <c r="P59" s="192"/>
      <c r="Q59" s="182"/>
      <c r="R59" s="182"/>
      <c r="S59" s="182"/>
      <c r="T59" s="182"/>
      <c r="U59" s="182"/>
      <c r="V59" s="182"/>
      <c r="W59" s="241"/>
    </row>
    <row r="60" spans="1:24" x14ac:dyDescent="0.25">
      <c r="A60" s="196">
        <v>2290</v>
      </c>
      <c r="B60" s="44" t="s">
        <v>675</v>
      </c>
      <c r="C60" s="65" t="s">
        <v>674</v>
      </c>
      <c r="D60" s="55">
        <v>100</v>
      </c>
      <c r="E60" s="55" t="s">
        <v>22</v>
      </c>
      <c r="F60" s="12">
        <v>45914</v>
      </c>
      <c r="G60" s="143">
        <v>45928</v>
      </c>
      <c r="H60" s="12" t="s">
        <v>694</v>
      </c>
      <c r="I60" s="42">
        <v>1710.38</v>
      </c>
      <c r="J60" s="1">
        <v>30</v>
      </c>
      <c r="K60" s="2">
        <f>I60/J60</f>
        <v>57.012666666666668</v>
      </c>
      <c r="L60" s="1">
        <v>3</v>
      </c>
      <c r="M60" s="1">
        <v>12</v>
      </c>
      <c r="N60" s="1">
        <v>2</v>
      </c>
      <c r="O60" s="1">
        <v>0</v>
      </c>
      <c r="P60" s="192">
        <f>L60+M60+N60+O60</f>
        <v>17</v>
      </c>
      <c r="Q60" s="42">
        <f>K60*50%*L60</f>
        <v>85.519000000000005</v>
      </c>
      <c r="R60" s="42">
        <f>K60*60%*M60</f>
        <v>410.49119999999999</v>
      </c>
      <c r="S60" s="42">
        <f>K60*60%*N60</f>
        <v>68.415199999999999</v>
      </c>
      <c r="T60" s="42">
        <f>K60*75%*O60</f>
        <v>0</v>
      </c>
      <c r="U60" s="42">
        <f>S60+T60</f>
        <v>68.415199999999999</v>
      </c>
      <c r="V60" s="42">
        <f>K60*(M60+O60+L60+N60)*100%</f>
        <v>969.21533333333332</v>
      </c>
      <c r="W60" s="241"/>
    </row>
    <row r="61" spans="1:24" s="185" customFormat="1" ht="14.25" customHeight="1" x14ac:dyDescent="0.25">
      <c r="A61" s="193" t="s">
        <v>716</v>
      </c>
      <c r="B61" s="177"/>
      <c r="C61" s="178"/>
      <c r="D61" s="179"/>
      <c r="E61" s="180"/>
      <c r="F61" s="194"/>
      <c r="G61" s="181"/>
      <c r="H61" s="194"/>
      <c r="I61" s="182"/>
      <c r="J61" s="183"/>
      <c r="K61" s="184"/>
      <c r="L61" s="183"/>
      <c r="M61" s="183"/>
      <c r="N61" s="183"/>
      <c r="O61" s="183"/>
      <c r="P61" s="192"/>
      <c r="Q61" s="182"/>
      <c r="R61" s="182"/>
      <c r="S61" s="182"/>
      <c r="T61" s="182"/>
      <c r="U61" s="182"/>
      <c r="V61" s="182"/>
      <c r="W61" s="241"/>
    </row>
    <row r="62" spans="1:24" x14ac:dyDescent="0.25">
      <c r="A62" s="196">
        <v>2290</v>
      </c>
      <c r="B62" s="44" t="s">
        <v>656</v>
      </c>
      <c r="C62" s="65" t="s">
        <v>657</v>
      </c>
      <c r="D62" s="55">
        <v>100</v>
      </c>
      <c r="E62" s="55" t="s">
        <v>22</v>
      </c>
      <c r="F62" s="12">
        <v>45909</v>
      </c>
      <c r="G62" s="143"/>
      <c r="H62" s="203">
        <v>45912</v>
      </c>
      <c r="I62" s="42">
        <v>1512.48</v>
      </c>
      <c r="J62" s="1">
        <v>30</v>
      </c>
      <c r="K62" s="2">
        <f>I62/J62</f>
        <v>50.416000000000004</v>
      </c>
      <c r="L62" s="1">
        <v>3</v>
      </c>
      <c r="M62" s="1">
        <v>1</v>
      </c>
      <c r="N62" s="1">
        <v>0</v>
      </c>
      <c r="O62" s="1">
        <v>0</v>
      </c>
      <c r="P62" s="192">
        <f>L62+M62+N62+O62</f>
        <v>4</v>
      </c>
      <c r="Q62" s="42">
        <f>K62*50%*L62</f>
        <v>75.624000000000009</v>
      </c>
      <c r="R62" s="42">
        <f>K62*60%*M62</f>
        <v>30.249600000000001</v>
      </c>
      <c r="S62" s="42">
        <f>K62*60%*N62</f>
        <v>0</v>
      </c>
      <c r="T62" s="42">
        <f>K62*75%*O62</f>
        <v>0</v>
      </c>
      <c r="U62" s="42">
        <f>S62+T62</f>
        <v>0</v>
      </c>
      <c r="V62" s="42">
        <f>K62*(M62+O62+L62+N62)*100%</f>
        <v>201.66400000000002</v>
      </c>
      <c r="W62" s="241"/>
    </row>
    <row r="63" spans="1:24" x14ac:dyDescent="0.25">
      <c r="A63" s="196">
        <v>2290</v>
      </c>
      <c r="B63" s="44" t="s">
        <v>98</v>
      </c>
      <c r="C63" s="65" t="s">
        <v>99</v>
      </c>
      <c r="D63" s="55">
        <v>100</v>
      </c>
      <c r="E63" s="55" t="s">
        <v>22</v>
      </c>
      <c r="F63" s="12">
        <v>45607</v>
      </c>
      <c r="G63" s="143" t="s">
        <v>671</v>
      </c>
      <c r="H63" s="12" t="s">
        <v>672</v>
      </c>
      <c r="I63" s="42">
        <v>1500.04</v>
      </c>
      <c r="J63" s="1">
        <v>30</v>
      </c>
      <c r="K63" s="2">
        <f>I63/J63</f>
        <v>50.001333333333335</v>
      </c>
      <c r="L63" s="1">
        <v>0</v>
      </c>
      <c r="M63" s="1">
        <v>0</v>
      </c>
      <c r="N63" s="1">
        <v>0</v>
      </c>
      <c r="O63" s="1">
        <v>30</v>
      </c>
      <c r="P63" s="192">
        <f t="shared" ref="P63:P74" si="3">L63+M63+N63+O63</f>
        <v>30</v>
      </c>
      <c r="Q63" s="42">
        <f t="shared" ref="Q63:Q74" si="4">K63*50%*L63</f>
        <v>0</v>
      </c>
      <c r="R63" s="42">
        <f t="shared" ref="R63:R74" si="5">K63*60%*M63</f>
        <v>0</v>
      </c>
      <c r="S63" s="42">
        <f t="shared" ref="S63:S74" si="6">K63*60%*N63</f>
        <v>0</v>
      </c>
      <c r="T63" s="42">
        <f t="shared" ref="T63:T74" si="7">K63*75%*O63</f>
        <v>1125.0300000000002</v>
      </c>
      <c r="U63" s="42">
        <f t="shared" ref="U63:U74" si="8">S63+T63</f>
        <v>1125.0300000000002</v>
      </c>
      <c r="V63" s="42">
        <f t="shared" ref="V63:V74" si="9">K63*(M63+O63+L63+N63)*100%</f>
        <v>1500.04</v>
      </c>
      <c r="W63" s="241"/>
    </row>
    <row r="64" spans="1:24" s="185" customFormat="1" ht="15" customHeight="1" x14ac:dyDescent="0.25">
      <c r="A64" s="209">
        <v>2290</v>
      </c>
      <c r="B64" s="210" t="s">
        <v>427</v>
      </c>
      <c r="C64" s="211" t="s">
        <v>437</v>
      </c>
      <c r="D64" s="212">
        <v>100</v>
      </c>
      <c r="E64" s="212" t="s">
        <v>22</v>
      </c>
      <c r="F64" s="213">
        <v>45797</v>
      </c>
      <c r="G64" s="237">
        <v>45936</v>
      </c>
      <c r="H64" s="213" t="s">
        <v>655</v>
      </c>
      <c r="I64" s="214">
        <v>1547.49</v>
      </c>
      <c r="J64" s="215">
        <v>27</v>
      </c>
      <c r="K64" s="216">
        <v>51.62</v>
      </c>
      <c r="L64" s="215">
        <v>0</v>
      </c>
      <c r="M64" s="215">
        <v>0</v>
      </c>
      <c r="N64" s="215">
        <v>0</v>
      </c>
      <c r="O64" s="215">
        <v>30</v>
      </c>
      <c r="P64" s="238">
        <f t="shared" si="3"/>
        <v>30</v>
      </c>
      <c r="Q64" s="214">
        <f t="shared" si="4"/>
        <v>0</v>
      </c>
      <c r="R64" s="214">
        <f t="shared" si="5"/>
        <v>0</v>
      </c>
      <c r="S64" s="214">
        <f t="shared" si="6"/>
        <v>0</v>
      </c>
      <c r="T64" s="214">
        <f t="shared" si="7"/>
        <v>1161.4499999999998</v>
      </c>
      <c r="U64" s="214">
        <f t="shared" si="8"/>
        <v>1161.4499999999998</v>
      </c>
      <c r="V64" s="214">
        <f t="shared" si="9"/>
        <v>1548.6</v>
      </c>
      <c r="W64" s="241"/>
    </row>
    <row r="65" spans="1:24" s="185" customFormat="1" ht="14.25" customHeight="1" x14ac:dyDescent="0.25">
      <c r="A65" s="193" t="s">
        <v>651</v>
      </c>
      <c r="B65" s="177"/>
      <c r="C65" s="178"/>
      <c r="D65" s="179"/>
      <c r="E65" s="180"/>
      <c r="F65" s="194"/>
      <c r="G65" s="181"/>
      <c r="H65" s="194"/>
      <c r="I65" s="182"/>
      <c r="J65" s="183"/>
      <c r="K65" s="184"/>
      <c r="L65" s="183"/>
      <c r="M65" s="183"/>
      <c r="N65" s="183"/>
      <c r="O65" s="183"/>
      <c r="P65" s="192"/>
      <c r="Q65" s="182"/>
      <c r="R65" s="182"/>
      <c r="S65" s="182"/>
      <c r="T65" s="182"/>
      <c r="U65" s="182"/>
      <c r="V65" s="182"/>
      <c r="W65" s="241"/>
    </row>
    <row r="66" spans="1:24" x14ac:dyDescent="0.25">
      <c r="A66" s="264">
        <v>2290</v>
      </c>
      <c r="B66" s="68" t="s">
        <v>499</v>
      </c>
      <c r="C66" s="226" t="s">
        <v>500</v>
      </c>
      <c r="D66" s="205">
        <v>100</v>
      </c>
      <c r="E66" s="205" t="s">
        <v>22</v>
      </c>
      <c r="F66" s="141">
        <v>45908</v>
      </c>
      <c r="G66" s="228"/>
      <c r="H66" s="147">
        <v>46040</v>
      </c>
      <c r="I66" s="229"/>
      <c r="J66" s="85"/>
      <c r="K66" s="230"/>
      <c r="L66" s="85"/>
      <c r="M66" s="85"/>
      <c r="N66" s="85"/>
      <c r="O66" s="85"/>
      <c r="P66" s="192">
        <f>L66+M66+N66+O66</f>
        <v>0</v>
      </c>
      <c r="Q66" s="83" t="s">
        <v>682</v>
      </c>
      <c r="R66" s="68"/>
      <c r="S66" s="68"/>
      <c r="T66" s="68"/>
      <c r="U66" s="85"/>
      <c r="V66" s="68"/>
      <c r="W66" s="241"/>
    </row>
    <row r="67" spans="1:24" s="185" customFormat="1" ht="15" customHeight="1" x14ac:dyDescent="0.25">
      <c r="A67" s="193" t="s">
        <v>680</v>
      </c>
      <c r="B67" s="177"/>
      <c r="C67" s="178"/>
      <c r="D67" s="179"/>
      <c r="E67" s="180"/>
      <c r="F67" s="194"/>
      <c r="G67" s="181"/>
      <c r="H67" s="194"/>
      <c r="I67" s="182"/>
      <c r="J67" s="183"/>
      <c r="K67" s="184"/>
      <c r="L67" s="183"/>
      <c r="M67" s="183"/>
      <c r="N67" s="183"/>
      <c r="O67" s="183"/>
      <c r="P67" s="192"/>
      <c r="Q67" s="182"/>
      <c r="R67" s="182"/>
      <c r="S67" s="182"/>
      <c r="T67" s="182"/>
      <c r="U67" s="182"/>
      <c r="V67" s="182"/>
      <c r="W67" s="241"/>
    </row>
    <row r="68" spans="1:24" x14ac:dyDescent="0.25">
      <c r="A68" s="196">
        <v>2290</v>
      </c>
      <c r="B68" s="44" t="s">
        <v>499</v>
      </c>
      <c r="C68" s="65" t="s">
        <v>500</v>
      </c>
      <c r="D68" s="55">
        <v>100</v>
      </c>
      <c r="E68" s="55" t="s">
        <v>22</v>
      </c>
      <c r="F68" s="12">
        <v>45845</v>
      </c>
      <c r="G68" s="143"/>
      <c r="H68" s="203">
        <v>45907</v>
      </c>
      <c r="I68" s="42">
        <v>2500</v>
      </c>
      <c r="J68" s="1">
        <v>30</v>
      </c>
      <c r="K68" s="2">
        <f>I68/J68</f>
        <v>83.333333333333329</v>
      </c>
      <c r="L68" s="1">
        <v>0</v>
      </c>
      <c r="M68" s="1">
        <v>0</v>
      </c>
      <c r="N68" s="1">
        <v>0</v>
      </c>
      <c r="O68" s="1">
        <v>7</v>
      </c>
      <c r="P68" s="192">
        <f t="shared" si="3"/>
        <v>7</v>
      </c>
      <c r="Q68" s="42">
        <f t="shared" si="4"/>
        <v>0</v>
      </c>
      <c r="R68" s="42">
        <f t="shared" si="5"/>
        <v>0</v>
      </c>
      <c r="S68" s="42">
        <f t="shared" si="6"/>
        <v>0</v>
      </c>
      <c r="T68" s="42">
        <f t="shared" si="7"/>
        <v>437.5</v>
      </c>
      <c r="U68" s="42">
        <f t="shared" si="8"/>
        <v>437.5</v>
      </c>
      <c r="V68" s="42">
        <f t="shared" si="9"/>
        <v>583.33333333333326</v>
      </c>
      <c r="W68" s="241"/>
    </row>
    <row r="69" spans="1:24" x14ac:dyDescent="0.25">
      <c r="A69" s="196">
        <v>2290</v>
      </c>
      <c r="B69" s="44" t="s">
        <v>97</v>
      </c>
      <c r="C69" s="65" t="s">
        <v>100</v>
      </c>
      <c r="D69" s="55">
        <v>100</v>
      </c>
      <c r="E69" s="55" t="s">
        <v>22</v>
      </c>
      <c r="F69" s="12">
        <v>45561</v>
      </c>
      <c r="G69" s="143">
        <v>45925</v>
      </c>
      <c r="H69" s="12" t="s">
        <v>688</v>
      </c>
      <c r="I69" s="42">
        <v>1512.48</v>
      </c>
      <c r="J69" s="1">
        <v>30</v>
      </c>
      <c r="K69" s="2">
        <f>I69/J69</f>
        <v>50.416000000000004</v>
      </c>
      <c r="L69" s="1">
        <v>0</v>
      </c>
      <c r="M69" s="1">
        <v>0</v>
      </c>
      <c r="N69" s="1">
        <v>0</v>
      </c>
      <c r="O69" s="1">
        <v>30</v>
      </c>
      <c r="P69" s="192">
        <f t="shared" si="3"/>
        <v>30</v>
      </c>
      <c r="Q69" s="42">
        <f t="shared" si="4"/>
        <v>0</v>
      </c>
      <c r="R69" s="42">
        <f t="shared" si="5"/>
        <v>0</v>
      </c>
      <c r="S69" s="42">
        <f t="shared" si="6"/>
        <v>0</v>
      </c>
      <c r="T69" s="42">
        <f t="shared" si="7"/>
        <v>1134.3600000000001</v>
      </c>
      <c r="U69" s="42">
        <f t="shared" si="8"/>
        <v>1134.3600000000001</v>
      </c>
      <c r="V69" s="42">
        <f t="shared" si="9"/>
        <v>1512.48</v>
      </c>
      <c r="W69" s="241"/>
    </row>
    <row r="70" spans="1:24" s="185" customFormat="1" x14ac:dyDescent="0.25">
      <c r="A70" s="89">
        <v>2290</v>
      </c>
      <c r="B70" s="68" t="s">
        <v>679</v>
      </c>
      <c r="C70" s="66">
        <v>351029776674</v>
      </c>
      <c r="D70" s="205">
        <v>100</v>
      </c>
      <c r="E70" s="84"/>
      <c r="F70" s="141">
        <v>45915</v>
      </c>
      <c r="G70" s="141"/>
      <c r="H70" s="147">
        <v>46033</v>
      </c>
      <c r="I70" s="85"/>
      <c r="J70" s="85"/>
      <c r="K70" s="85"/>
      <c r="L70" s="85"/>
      <c r="M70" s="85"/>
      <c r="N70" s="85"/>
      <c r="O70" s="85"/>
      <c r="P70" s="192">
        <f t="shared" si="3"/>
        <v>0</v>
      </c>
      <c r="Q70" s="83" t="s">
        <v>718</v>
      </c>
      <c r="R70" s="68"/>
      <c r="S70" s="68"/>
      <c r="T70" s="68"/>
      <c r="U70" s="85"/>
      <c r="V70" s="68"/>
      <c r="W70" s="241"/>
    </row>
    <row r="71" spans="1:24" s="185" customFormat="1" ht="15" customHeight="1" x14ac:dyDescent="0.25">
      <c r="A71" s="193" t="s">
        <v>681</v>
      </c>
      <c r="B71" s="177"/>
      <c r="C71" s="178"/>
      <c r="D71" s="179"/>
      <c r="E71" s="180"/>
      <c r="F71" s="194"/>
      <c r="G71" s="181"/>
      <c r="H71" s="194"/>
      <c r="I71" s="182"/>
      <c r="J71" s="183"/>
      <c r="K71" s="184"/>
      <c r="L71" s="183"/>
      <c r="M71" s="183"/>
      <c r="N71" s="183"/>
      <c r="O71" s="183"/>
      <c r="P71" s="192"/>
      <c r="Q71" s="182"/>
      <c r="R71" s="182"/>
      <c r="S71" s="182"/>
      <c r="T71" s="182"/>
      <c r="U71" s="182"/>
      <c r="V71" s="182"/>
      <c r="W71" s="241"/>
    </row>
    <row r="72" spans="1:24" x14ac:dyDescent="0.25">
      <c r="A72" s="196">
        <v>2290</v>
      </c>
      <c r="B72" s="44" t="s">
        <v>650</v>
      </c>
      <c r="C72" s="65" t="s">
        <v>458</v>
      </c>
      <c r="D72" s="55">
        <v>200</v>
      </c>
      <c r="E72" s="55" t="s">
        <v>22</v>
      </c>
      <c r="F72" s="12">
        <v>45899</v>
      </c>
      <c r="G72" s="143">
        <v>45920</v>
      </c>
      <c r="H72" s="12" t="s">
        <v>673</v>
      </c>
      <c r="I72" s="42">
        <v>748.59</v>
      </c>
      <c r="J72" s="1">
        <v>38</v>
      </c>
      <c r="K72" s="2">
        <f>I72/J72</f>
        <v>19.699736842105263</v>
      </c>
      <c r="L72" s="1">
        <v>1</v>
      </c>
      <c r="M72" s="1">
        <v>12</v>
      </c>
      <c r="N72" s="1">
        <v>5</v>
      </c>
      <c r="O72" s="1">
        <v>12</v>
      </c>
      <c r="P72" s="192">
        <f t="shared" si="3"/>
        <v>30</v>
      </c>
      <c r="Q72" s="42">
        <f t="shared" si="4"/>
        <v>9.8498684210526317</v>
      </c>
      <c r="R72" s="42">
        <f t="shared" si="5"/>
        <v>141.8381052631579</v>
      </c>
      <c r="S72" s="42">
        <f t="shared" si="6"/>
        <v>59.099210526315787</v>
      </c>
      <c r="T72" s="42">
        <f t="shared" si="7"/>
        <v>177.29763157894735</v>
      </c>
      <c r="U72" s="42">
        <f t="shared" si="8"/>
        <v>236.39684210526315</v>
      </c>
      <c r="V72" s="42">
        <f t="shared" si="9"/>
        <v>590.9921052631579</v>
      </c>
      <c r="W72" s="241"/>
      <c r="X72" s="241"/>
    </row>
    <row r="73" spans="1:24" s="185" customFormat="1" ht="15" customHeight="1" x14ac:dyDescent="0.25">
      <c r="A73" s="193" t="s">
        <v>658</v>
      </c>
      <c r="B73" s="177"/>
      <c r="C73" s="178"/>
      <c r="D73" s="179"/>
      <c r="E73" s="180"/>
      <c r="F73" s="194"/>
      <c r="G73" s="181"/>
      <c r="H73" s="194"/>
      <c r="I73" s="182"/>
      <c r="J73" s="183"/>
      <c r="K73" s="184"/>
      <c r="L73" s="183"/>
      <c r="M73" s="183"/>
      <c r="N73" s="183"/>
      <c r="O73" s="183"/>
      <c r="P73" s="192"/>
      <c r="Q73" s="182"/>
      <c r="R73" s="182"/>
      <c r="S73" s="182"/>
      <c r="T73" s="182"/>
      <c r="U73" s="182"/>
      <c r="V73" s="182"/>
      <c r="W73" s="241"/>
    </row>
    <row r="74" spans="1:24" x14ac:dyDescent="0.25">
      <c r="A74" s="196">
        <v>2290</v>
      </c>
      <c r="B74" s="44" t="s">
        <v>515</v>
      </c>
      <c r="C74" s="65" t="s">
        <v>114</v>
      </c>
      <c r="D74" s="55">
        <v>100</v>
      </c>
      <c r="E74" s="55" t="s">
        <v>22</v>
      </c>
      <c r="F74" s="12">
        <v>45856</v>
      </c>
      <c r="G74" s="143">
        <v>45947</v>
      </c>
      <c r="H74" s="12" t="s">
        <v>708</v>
      </c>
      <c r="I74" s="42">
        <v>1477.48</v>
      </c>
      <c r="J74" s="1">
        <v>30</v>
      </c>
      <c r="K74" s="2">
        <f>I74/J74</f>
        <v>49.249333333333333</v>
      </c>
      <c r="L74" s="1">
        <v>0</v>
      </c>
      <c r="M74" s="1">
        <v>0</v>
      </c>
      <c r="N74" s="1">
        <v>0</v>
      </c>
      <c r="O74" s="1">
        <v>30</v>
      </c>
      <c r="P74" s="192">
        <f t="shared" si="3"/>
        <v>30</v>
      </c>
      <c r="Q74" s="42">
        <f t="shared" si="4"/>
        <v>0</v>
      </c>
      <c r="R74" s="42">
        <f t="shared" si="5"/>
        <v>0</v>
      </c>
      <c r="S74" s="42">
        <f t="shared" si="6"/>
        <v>0</v>
      </c>
      <c r="T74" s="42">
        <f t="shared" si="7"/>
        <v>1108.1099999999999</v>
      </c>
      <c r="U74" s="42">
        <f t="shared" si="8"/>
        <v>1108.1099999999999</v>
      </c>
      <c r="V74" s="42">
        <f t="shared" si="9"/>
        <v>1477.48</v>
      </c>
      <c r="W74" s="241"/>
    </row>
    <row r="75" spans="1:24" s="185" customFormat="1" ht="15" customHeight="1" x14ac:dyDescent="0.25">
      <c r="A75" s="193" t="s">
        <v>592</v>
      </c>
      <c r="B75" s="177"/>
      <c r="C75" s="178"/>
      <c r="D75" s="179"/>
      <c r="E75" s="180"/>
      <c r="F75" s="194"/>
      <c r="G75" s="181"/>
      <c r="H75" s="194"/>
      <c r="I75" s="220" t="s">
        <v>669</v>
      </c>
      <c r="J75" s="183"/>
      <c r="K75" s="184"/>
      <c r="L75" s="183"/>
      <c r="M75" s="183"/>
      <c r="N75" s="183"/>
      <c r="O75" s="183"/>
      <c r="P75" s="192"/>
      <c r="Q75" s="182"/>
      <c r="R75" s="182"/>
      <c r="S75" s="182"/>
      <c r="T75" s="182"/>
      <c r="U75" s="182"/>
      <c r="V75" s="182"/>
      <c r="W75" s="241"/>
    </row>
    <row r="76" spans="1:24" s="185" customFormat="1" ht="15" customHeight="1" x14ac:dyDescent="0.25">
      <c r="A76" s="193" t="s">
        <v>668</v>
      </c>
      <c r="B76" s="177"/>
      <c r="C76" s="178"/>
      <c r="D76" s="179"/>
      <c r="E76" s="180"/>
      <c r="F76" s="194"/>
      <c r="G76" s="181"/>
      <c r="H76" s="194"/>
      <c r="I76" s="220" t="s">
        <v>670</v>
      </c>
      <c r="J76" s="183"/>
      <c r="K76" s="184"/>
      <c r="L76" s="183"/>
      <c r="M76" s="183"/>
      <c r="N76" s="183"/>
      <c r="O76" s="183"/>
      <c r="P76" s="192"/>
      <c r="Q76" s="182"/>
      <c r="R76" s="182"/>
      <c r="S76" s="182"/>
      <c r="T76" s="182"/>
      <c r="U76" s="182"/>
      <c r="V76" s="182"/>
      <c r="W76" s="241"/>
    </row>
    <row r="77" spans="1:24" s="185" customFormat="1" ht="15" customHeight="1" x14ac:dyDescent="0.25">
      <c r="A77" s="193" t="s">
        <v>686</v>
      </c>
      <c r="B77" s="177"/>
      <c r="C77" s="178"/>
      <c r="D77" s="179"/>
      <c r="E77" s="180"/>
      <c r="F77" s="194"/>
      <c r="G77" s="181"/>
      <c r="H77" s="194"/>
      <c r="I77" s="220"/>
      <c r="J77" s="183"/>
      <c r="K77" s="184"/>
      <c r="L77" s="183"/>
      <c r="M77" s="183"/>
      <c r="N77" s="183"/>
      <c r="O77" s="183"/>
      <c r="P77" s="192"/>
      <c r="Q77" s="182"/>
      <c r="R77" s="182"/>
      <c r="S77" s="182"/>
      <c r="T77" s="182"/>
      <c r="U77" s="182"/>
      <c r="V77" s="182"/>
      <c r="W77" s="241"/>
    </row>
    <row r="78" spans="1:24" x14ac:dyDescent="0.25">
      <c r="A78" s="196">
        <v>2290</v>
      </c>
      <c r="B78" s="44" t="s">
        <v>615</v>
      </c>
      <c r="C78" s="65" t="s">
        <v>102</v>
      </c>
      <c r="D78" s="55">
        <v>100</v>
      </c>
      <c r="E78" s="55" t="s">
        <v>22</v>
      </c>
      <c r="F78" s="12">
        <v>45891</v>
      </c>
      <c r="G78" s="143">
        <v>45919</v>
      </c>
      <c r="H78" s="12" t="s">
        <v>654</v>
      </c>
      <c r="I78" s="42">
        <v>1477.48</v>
      </c>
      <c r="J78" s="1">
        <v>30</v>
      </c>
      <c r="K78" s="2">
        <f>I78/J78</f>
        <v>49.249333333333333</v>
      </c>
      <c r="L78" s="1">
        <v>0</v>
      </c>
      <c r="M78" s="1">
        <v>5</v>
      </c>
      <c r="N78" s="1">
        <v>5</v>
      </c>
      <c r="O78" s="1">
        <v>20</v>
      </c>
      <c r="P78" s="192">
        <f>L78+M78+N78+O78</f>
        <v>30</v>
      </c>
      <c r="Q78" s="42">
        <f>K78*50%*L78</f>
        <v>0</v>
      </c>
      <c r="R78" s="42">
        <f>K78*60%*M78</f>
        <v>147.74799999999999</v>
      </c>
      <c r="S78" s="42">
        <f>K78*60%*N78</f>
        <v>147.74799999999999</v>
      </c>
      <c r="T78" s="42">
        <f>K78*75%*O78</f>
        <v>738.74</v>
      </c>
      <c r="U78" s="42">
        <f>S78+T78</f>
        <v>886.48800000000006</v>
      </c>
      <c r="V78" s="42">
        <f>K78*(M78+O78+L78+N78)*100%</f>
        <v>1477.48</v>
      </c>
      <c r="W78" s="241"/>
      <c r="X78" s="241"/>
    </row>
    <row r="79" spans="1:24" x14ac:dyDescent="0.25">
      <c r="A79" s="193" t="s">
        <v>640</v>
      </c>
      <c r="B79" s="177"/>
      <c r="C79" s="178"/>
      <c r="D79" s="179"/>
      <c r="E79" s="180"/>
      <c r="F79" s="194"/>
      <c r="G79" s="181"/>
      <c r="H79" s="194"/>
      <c r="I79" s="182"/>
      <c r="J79" s="183"/>
      <c r="K79" s="184"/>
      <c r="L79" s="183"/>
      <c r="M79" s="183"/>
      <c r="N79" s="183"/>
      <c r="O79" s="183"/>
      <c r="P79" s="192"/>
      <c r="Q79" s="182"/>
      <c r="R79" s="182"/>
      <c r="S79" s="182"/>
      <c r="T79" s="182"/>
      <c r="U79" s="182"/>
      <c r="V79" s="182"/>
      <c r="W79" s="241"/>
    </row>
    <row r="80" spans="1:24" x14ac:dyDescent="0.25">
      <c r="A80" s="197">
        <v>2290</v>
      </c>
      <c r="B80" s="9" t="s">
        <v>54</v>
      </c>
      <c r="C80" s="51"/>
      <c r="D80" s="56"/>
      <c r="E80" s="56"/>
      <c r="F80" s="142"/>
      <c r="G80" s="142"/>
      <c r="H80" s="52"/>
      <c r="I80" s="53"/>
      <c r="J80" s="52"/>
      <c r="K80" s="53"/>
      <c r="L80" s="52"/>
      <c r="M80" s="52"/>
      <c r="N80" s="52"/>
      <c r="O80" s="52"/>
      <c r="P80" s="192">
        <f t="shared" ref="P80:P87" si="10">L80+M80+N80+O80</f>
        <v>0</v>
      </c>
      <c r="Q80" s="10"/>
      <c r="R80" s="10"/>
      <c r="S80" s="10"/>
      <c r="T80" s="10"/>
      <c r="U80" s="11">
        <f>SUM(U52:U79)</f>
        <v>7129.6240421052626</v>
      </c>
      <c r="V80" s="10"/>
    </row>
    <row r="81" spans="1:23" s="185" customFormat="1" x14ac:dyDescent="0.25">
      <c r="A81" s="196">
        <v>2264</v>
      </c>
      <c r="B81" s="44" t="s">
        <v>705</v>
      </c>
      <c r="C81" s="65" t="s">
        <v>706</v>
      </c>
      <c r="D81" s="55">
        <v>130</v>
      </c>
      <c r="E81" s="55" t="s">
        <v>22</v>
      </c>
      <c r="F81" s="12">
        <v>45922</v>
      </c>
      <c r="G81" s="143">
        <v>45936</v>
      </c>
      <c r="H81" s="12" t="s">
        <v>714</v>
      </c>
      <c r="I81" s="42">
        <v>1381.34</v>
      </c>
      <c r="J81" s="1">
        <v>30</v>
      </c>
      <c r="K81" s="2">
        <f>I81/J81</f>
        <v>46.044666666666664</v>
      </c>
      <c r="L81" s="1">
        <v>3</v>
      </c>
      <c r="M81" s="1">
        <v>6</v>
      </c>
      <c r="N81" s="1">
        <v>0</v>
      </c>
      <c r="O81" s="1">
        <v>0</v>
      </c>
      <c r="P81" s="192">
        <f t="shared" si="10"/>
        <v>9</v>
      </c>
      <c r="Q81" s="42">
        <f>K81*50%*L81</f>
        <v>69.066999999999993</v>
      </c>
      <c r="R81" s="42">
        <f>K81*60%*M81</f>
        <v>165.76079999999999</v>
      </c>
      <c r="S81" s="42">
        <f>K81*60%*N81</f>
        <v>0</v>
      </c>
      <c r="T81" s="42">
        <f>K81*75%*O81</f>
        <v>0</v>
      </c>
      <c r="U81" s="42">
        <f>S81+T81</f>
        <v>0</v>
      </c>
      <c r="V81" s="42">
        <f>K81*(M81+O81+L81+N81)*100%</f>
        <v>414.40199999999999</v>
      </c>
    </row>
    <row r="82" spans="1:23" x14ac:dyDescent="0.25">
      <c r="A82" s="197">
        <v>2264</v>
      </c>
      <c r="B82" s="9" t="s">
        <v>704</v>
      </c>
      <c r="C82" s="51"/>
      <c r="D82" s="56"/>
      <c r="E82" s="56"/>
      <c r="F82" s="142"/>
      <c r="G82" s="142"/>
      <c r="H82" s="52"/>
      <c r="I82" s="53"/>
      <c r="J82" s="52"/>
      <c r="K82" s="53"/>
      <c r="L82" s="52"/>
      <c r="M82" s="52"/>
      <c r="N82" s="52"/>
      <c r="O82" s="52"/>
      <c r="P82" s="192">
        <f t="shared" si="10"/>
        <v>0</v>
      </c>
      <c r="Q82" s="10"/>
      <c r="R82" s="10"/>
      <c r="S82" s="10"/>
      <c r="T82" s="10"/>
      <c r="U82" s="11">
        <f>SUM(U81:U81)</f>
        <v>0</v>
      </c>
      <c r="V82" s="10"/>
    </row>
    <row r="83" spans="1:23" s="185" customFormat="1" x14ac:dyDescent="0.25">
      <c r="A83" s="196">
        <v>2350</v>
      </c>
      <c r="B83" s="44" t="s">
        <v>702</v>
      </c>
      <c r="C83" s="65" t="s">
        <v>703</v>
      </c>
      <c r="D83" s="55">
        <v>100</v>
      </c>
      <c r="E83" s="55" t="s">
        <v>22</v>
      </c>
      <c r="F83" s="12">
        <v>45925</v>
      </c>
      <c r="G83" s="143"/>
      <c r="H83" s="203"/>
      <c r="I83" s="42">
        <v>1381.34</v>
      </c>
      <c r="J83" s="1">
        <v>30</v>
      </c>
      <c r="K83" s="2">
        <f>I83/J83</f>
        <v>46.044666666666664</v>
      </c>
      <c r="L83" s="1">
        <v>3</v>
      </c>
      <c r="M83" s="1">
        <v>3</v>
      </c>
      <c r="N83" s="1">
        <v>0</v>
      </c>
      <c r="O83" s="1">
        <v>0</v>
      </c>
      <c r="P83" s="192">
        <f t="shared" si="10"/>
        <v>6</v>
      </c>
      <c r="Q83" s="42">
        <f>K83*50%*L83</f>
        <v>69.066999999999993</v>
      </c>
      <c r="R83" s="42">
        <f>K83*60%*M83</f>
        <v>82.880399999999995</v>
      </c>
      <c r="S83" s="42">
        <f>K83*60%*N83</f>
        <v>0</v>
      </c>
      <c r="T83" s="42">
        <f>K83*75%*O83</f>
        <v>0</v>
      </c>
      <c r="U83" s="42">
        <f>S83+T83</f>
        <v>0</v>
      </c>
      <c r="V83" s="42">
        <f>K83*(M83+O83+L83+N83)*100%</f>
        <v>276.26799999999997</v>
      </c>
      <c r="W83" s="241"/>
    </row>
    <row r="84" spans="1:23" s="185" customFormat="1" x14ac:dyDescent="0.25">
      <c r="A84" s="196">
        <v>2350</v>
      </c>
      <c r="B84" s="44" t="s">
        <v>93</v>
      </c>
      <c r="C84" s="65" t="s">
        <v>94</v>
      </c>
      <c r="D84" s="55">
        <v>100</v>
      </c>
      <c r="E84" s="55" t="s">
        <v>22</v>
      </c>
      <c r="F84" s="12">
        <v>45443</v>
      </c>
      <c r="G84" s="143"/>
      <c r="H84" s="203">
        <v>45909</v>
      </c>
      <c r="I84" s="186">
        <v>1323</v>
      </c>
      <c r="J84" s="1">
        <v>30</v>
      </c>
      <c r="K84" s="2">
        <f>I84/J84</f>
        <v>44.1</v>
      </c>
      <c r="L84" s="1">
        <v>0</v>
      </c>
      <c r="M84" s="1">
        <v>0</v>
      </c>
      <c r="N84" s="1">
        <v>0</v>
      </c>
      <c r="O84" s="1">
        <v>9</v>
      </c>
      <c r="P84" s="192">
        <f>L84+M84+N84+O84</f>
        <v>9</v>
      </c>
      <c r="Q84" s="42">
        <f>K84*50%*L84</f>
        <v>0</v>
      </c>
      <c r="R84" s="42">
        <f>K84*60%*M84</f>
        <v>0</v>
      </c>
      <c r="S84" s="42">
        <f>K84*60%*N84</f>
        <v>0</v>
      </c>
      <c r="T84" s="42">
        <f>K84*75%*O84</f>
        <v>297.67500000000001</v>
      </c>
      <c r="U84" s="42">
        <f>S84+T84</f>
        <v>297.67500000000001</v>
      </c>
      <c r="V84" s="42">
        <f>K84*(M84+O84+L84+N84)*100%</f>
        <v>396.90000000000003</v>
      </c>
      <c r="W84" s="241"/>
    </row>
    <row r="85" spans="1:23" s="185" customFormat="1" x14ac:dyDescent="0.25">
      <c r="A85" s="196">
        <v>2350</v>
      </c>
      <c r="B85" s="44" t="s">
        <v>712</v>
      </c>
      <c r="C85" s="65" t="s">
        <v>713</v>
      </c>
      <c r="D85" s="55">
        <v>100</v>
      </c>
      <c r="E85" s="55" t="s">
        <v>22</v>
      </c>
      <c r="F85" s="12">
        <v>45926</v>
      </c>
      <c r="G85" s="143"/>
      <c r="H85" s="203"/>
      <c r="I85" s="42">
        <v>1381.34</v>
      </c>
      <c r="J85" s="1">
        <v>30</v>
      </c>
      <c r="K85" s="2">
        <f>I85/J85</f>
        <v>46.044666666666664</v>
      </c>
      <c r="L85" s="1">
        <v>3</v>
      </c>
      <c r="M85" s="1">
        <v>2</v>
      </c>
      <c r="N85" s="1">
        <v>0</v>
      </c>
      <c r="O85" s="1">
        <v>0</v>
      </c>
      <c r="P85" s="192">
        <f t="shared" si="10"/>
        <v>5</v>
      </c>
      <c r="Q85" s="42">
        <f>K85*50%*L85</f>
        <v>69.066999999999993</v>
      </c>
      <c r="R85" s="42">
        <f>K85*60%*M85</f>
        <v>55.253599999999999</v>
      </c>
      <c r="S85" s="42">
        <f>K85*60%*N85</f>
        <v>0</v>
      </c>
      <c r="T85" s="42">
        <f>K85*75%*O85</f>
        <v>0</v>
      </c>
      <c r="U85" s="42">
        <f>S85+T85</f>
        <v>0</v>
      </c>
      <c r="V85" s="42">
        <f>K85*(M85+O85+L85+N85)*100%</f>
        <v>230.22333333333333</v>
      </c>
      <c r="W85" s="241"/>
    </row>
    <row r="86" spans="1:23" x14ac:dyDescent="0.25">
      <c r="A86" s="197">
        <v>2350</v>
      </c>
      <c r="B86" s="9" t="s">
        <v>78</v>
      </c>
      <c r="C86" s="51"/>
      <c r="D86" s="56"/>
      <c r="E86" s="56"/>
      <c r="F86" s="142"/>
      <c r="G86" s="142"/>
      <c r="H86" s="52"/>
      <c r="I86" s="53"/>
      <c r="J86" s="52"/>
      <c r="K86" s="53"/>
      <c r="L86" s="52"/>
      <c r="M86" s="52"/>
      <c r="N86" s="52"/>
      <c r="O86" s="52"/>
      <c r="P86" s="192">
        <f t="shared" si="10"/>
        <v>0</v>
      </c>
      <c r="Q86" s="10"/>
      <c r="R86" s="10"/>
      <c r="S86" s="10"/>
      <c r="T86" s="10"/>
      <c r="U86" s="11">
        <f>SUM(U85:U85)</f>
        <v>0</v>
      </c>
      <c r="V86" s="10"/>
    </row>
    <row r="87" spans="1:23" x14ac:dyDescent="0.25">
      <c r="A87" s="196">
        <v>2375</v>
      </c>
      <c r="B87" s="44" t="s">
        <v>224</v>
      </c>
      <c r="C87" s="65" t="s">
        <v>573</v>
      </c>
      <c r="D87" s="55">
        <v>100</v>
      </c>
      <c r="E87" s="55" t="s">
        <v>22</v>
      </c>
      <c r="F87" s="12">
        <v>45875</v>
      </c>
      <c r="G87" s="143">
        <v>45940</v>
      </c>
      <c r="H87" s="12" t="s">
        <v>701</v>
      </c>
      <c r="I87" s="42">
        <v>1625.99</v>
      </c>
      <c r="J87" s="1">
        <v>30</v>
      </c>
      <c r="K87" s="2">
        <f>I87/J87</f>
        <v>54.199666666666666</v>
      </c>
      <c r="L87" s="1">
        <v>0</v>
      </c>
      <c r="M87" s="1">
        <v>0</v>
      </c>
      <c r="N87" s="1">
        <v>0</v>
      </c>
      <c r="O87" s="1">
        <v>30</v>
      </c>
      <c r="P87" s="192">
        <f t="shared" si="10"/>
        <v>30</v>
      </c>
      <c r="Q87" s="42">
        <f>K87*50%*L87</f>
        <v>0</v>
      </c>
      <c r="R87" s="42">
        <f>K87*60%*M87</f>
        <v>0</v>
      </c>
      <c r="S87" s="42">
        <f>K87*60%*N87</f>
        <v>0</v>
      </c>
      <c r="T87" s="42">
        <f>K87*75%*O87</f>
        <v>1219.4924999999998</v>
      </c>
      <c r="U87" s="42">
        <f>S87+T87</f>
        <v>1219.4924999999998</v>
      </c>
      <c r="V87" s="42">
        <f>K87*(M87+O87+L87+N87)*100%</f>
        <v>1625.99</v>
      </c>
      <c r="W87" s="241"/>
    </row>
    <row r="88" spans="1:23" s="185" customFormat="1" ht="15" customHeight="1" x14ac:dyDescent="0.25">
      <c r="A88" s="193" t="s">
        <v>597</v>
      </c>
      <c r="B88" s="177"/>
      <c r="C88" s="178"/>
      <c r="D88" s="179"/>
      <c r="E88" s="180"/>
      <c r="F88" s="194"/>
      <c r="G88" s="181"/>
      <c r="H88" s="194"/>
      <c r="I88" s="182" t="s">
        <v>723</v>
      </c>
      <c r="J88" s="183"/>
      <c r="K88" s="184"/>
      <c r="L88" s="183"/>
      <c r="M88" s="183"/>
      <c r="N88" s="183"/>
      <c r="O88" s="183"/>
      <c r="P88" s="192"/>
      <c r="Q88" s="182"/>
      <c r="R88" s="182"/>
      <c r="S88" s="182"/>
      <c r="T88" s="182"/>
      <c r="U88" s="182"/>
      <c r="V88" s="182"/>
      <c r="W88" s="241"/>
    </row>
    <row r="89" spans="1:23" x14ac:dyDescent="0.25">
      <c r="A89" s="196">
        <v>2375</v>
      </c>
      <c r="B89" s="44" t="s">
        <v>690</v>
      </c>
      <c r="C89" s="65" t="s">
        <v>691</v>
      </c>
      <c r="D89" s="55">
        <v>189</v>
      </c>
      <c r="E89" s="55" t="s">
        <v>22</v>
      </c>
      <c r="F89" s="12">
        <v>45922</v>
      </c>
      <c r="G89" s="143">
        <v>45936</v>
      </c>
      <c r="H89" s="12" t="s">
        <v>714</v>
      </c>
      <c r="I89" s="42">
        <v>1702.75</v>
      </c>
      <c r="J89" s="1">
        <v>30</v>
      </c>
      <c r="K89" s="2">
        <f>I89/J89</f>
        <v>56.758333333333333</v>
      </c>
      <c r="L89" s="1">
        <v>3</v>
      </c>
      <c r="M89" s="1">
        <v>6</v>
      </c>
      <c r="N89" s="1">
        <v>0</v>
      </c>
      <c r="O89" s="1">
        <v>0</v>
      </c>
      <c r="P89" s="192">
        <f>L89+M89+N89+O89</f>
        <v>9</v>
      </c>
      <c r="Q89" s="42">
        <f>K89*50%*L89</f>
        <v>85.137500000000003</v>
      </c>
      <c r="R89" s="42">
        <f>K89*60%*M89</f>
        <v>204.32999999999998</v>
      </c>
      <c r="S89" s="42">
        <f>K89*60%*N89</f>
        <v>0</v>
      </c>
      <c r="T89" s="42">
        <f>K89*75%*O89</f>
        <v>0</v>
      </c>
      <c r="U89" s="42">
        <f>S89+T89</f>
        <v>0</v>
      </c>
      <c r="V89" s="42">
        <f>K89*(M89+O89+L89+N89)*100%</f>
        <v>510.82499999999999</v>
      </c>
      <c r="W89" s="241"/>
    </row>
    <row r="90" spans="1:23" x14ac:dyDescent="0.25">
      <c r="A90" s="197">
        <v>2375</v>
      </c>
      <c r="B90" s="9" t="s">
        <v>572</v>
      </c>
      <c r="C90" s="51"/>
      <c r="D90" s="56"/>
      <c r="E90" s="56"/>
      <c r="F90" s="142"/>
      <c r="G90" s="142"/>
      <c r="H90" s="52"/>
      <c r="I90" s="53"/>
      <c r="J90" s="52"/>
      <c r="K90" s="53"/>
      <c r="L90" s="52"/>
      <c r="M90" s="52"/>
      <c r="N90" s="52"/>
      <c r="O90" s="52"/>
      <c r="P90" s="192"/>
      <c r="Q90" s="10"/>
      <c r="R90" s="10"/>
      <c r="S90" s="10"/>
      <c r="T90" s="10"/>
      <c r="U90" s="11">
        <f>SUM(U87)</f>
        <v>1219.4924999999998</v>
      </c>
      <c r="V90" s="10"/>
    </row>
    <row r="91" spans="1:23" x14ac:dyDescent="0.25">
      <c r="A91" s="89">
        <v>2393</v>
      </c>
      <c r="B91" s="68" t="s">
        <v>507</v>
      </c>
      <c r="C91" s="66">
        <v>3810486966</v>
      </c>
      <c r="D91" s="205">
        <v>100</v>
      </c>
      <c r="E91" s="205" t="s">
        <v>22</v>
      </c>
      <c r="F91" s="141">
        <v>45853</v>
      </c>
      <c r="G91" s="141"/>
      <c r="H91" s="147">
        <v>45908</v>
      </c>
      <c r="I91" s="85"/>
      <c r="J91" s="85"/>
      <c r="K91" s="85"/>
      <c r="L91" s="85"/>
      <c r="M91" s="85"/>
      <c r="N91" s="85"/>
      <c r="O91" s="85"/>
      <c r="P91" s="192"/>
      <c r="Q91" s="83" t="s">
        <v>508</v>
      </c>
      <c r="R91" s="68"/>
      <c r="S91" s="68"/>
      <c r="T91" s="68"/>
      <c r="U91" s="85"/>
      <c r="V91" s="68"/>
    </row>
    <row r="92" spans="1:23" x14ac:dyDescent="0.25">
      <c r="A92" s="193" t="s">
        <v>523</v>
      </c>
      <c r="B92" s="177"/>
      <c r="C92" s="178"/>
      <c r="D92" s="179"/>
      <c r="E92" s="180"/>
      <c r="F92" s="194"/>
      <c r="G92" s="181"/>
      <c r="H92" s="194"/>
      <c r="I92" s="182" t="s">
        <v>724</v>
      </c>
      <c r="J92" s="183"/>
      <c r="K92" s="184"/>
      <c r="L92" s="183"/>
      <c r="M92" s="183"/>
      <c r="N92" s="183"/>
      <c r="O92" s="183"/>
      <c r="P92" s="192"/>
      <c r="Q92" s="182"/>
      <c r="R92" s="182"/>
      <c r="S92" s="182"/>
      <c r="T92" s="182"/>
      <c r="U92" s="182"/>
      <c r="V92" s="182"/>
    </row>
    <row r="93" spans="1:23" x14ac:dyDescent="0.25">
      <c r="A93" s="195">
        <v>2393</v>
      </c>
      <c r="B93" s="9" t="s">
        <v>319</v>
      </c>
      <c r="C93" s="51">
        <v>38112289295</v>
      </c>
      <c r="D93" s="56"/>
      <c r="E93" s="56"/>
      <c r="F93" s="142"/>
      <c r="G93" s="142"/>
      <c r="H93" s="52"/>
      <c r="I93" s="53"/>
      <c r="J93" s="52"/>
      <c r="K93" s="53"/>
      <c r="L93" s="52"/>
      <c r="M93" s="52"/>
      <c r="N93" s="52"/>
      <c r="O93" s="52"/>
      <c r="P93" s="192"/>
      <c r="Q93" s="10"/>
      <c r="R93" s="10"/>
      <c r="S93" s="10"/>
      <c r="T93" s="10"/>
      <c r="U93" s="11"/>
      <c r="V93" s="10"/>
    </row>
    <row r="94" spans="1:23" s="185" customFormat="1" x14ac:dyDescent="0.25">
      <c r="A94" s="196">
        <v>2433</v>
      </c>
      <c r="B94" s="44" t="s">
        <v>692</v>
      </c>
      <c r="C94" s="65" t="s">
        <v>693</v>
      </c>
      <c r="D94" s="55">
        <v>100</v>
      </c>
      <c r="E94" s="55" t="s">
        <v>22</v>
      </c>
      <c r="F94" s="12">
        <v>45923</v>
      </c>
      <c r="G94" s="143"/>
      <c r="H94" s="203">
        <v>45925</v>
      </c>
      <c r="I94" s="42">
        <v>1871.25</v>
      </c>
      <c r="J94" s="1">
        <v>30</v>
      </c>
      <c r="K94" s="2">
        <f>I94/J94</f>
        <v>62.375</v>
      </c>
      <c r="L94" s="1">
        <v>3</v>
      </c>
      <c r="M94" s="1">
        <v>0</v>
      </c>
      <c r="N94" s="1">
        <v>0</v>
      </c>
      <c r="O94" s="1">
        <v>0</v>
      </c>
      <c r="P94" s="192">
        <f>L94+M94+N94+O94</f>
        <v>3</v>
      </c>
      <c r="Q94" s="42">
        <f>K94*50%*L94</f>
        <v>93.5625</v>
      </c>
      <c r="R94" s="42">
        <f>K94*60%*M94</f>
        <v>0</v>
      </c>
      <c r="S94" s="42">
        <f>K94*60%*N94</f>
        <v>0</v>
      </c>
      <c r="T94" s="42">
        <f>K94*75%*O94</f>
        <v>0</v>
      </c>
      <c r="U94" s="42">
        <f>S94+T94</f>
        <v>0</v>
      </c>
      <c r="V94" s="42">
        <f>K94*(M94+O94+L94+N94)*100%</f>
        <v>187.125</v>
      </c>
    </row>
    <row r="95" spans="1:23" s="185" customFormat="1" x14ac:dyDescent="0.25">
      <c r="A95" s="196">
        <v>2433</v>
      </c>
      <c r="B95" s="44" t="s">
        <v>664</v>
      </c>
      <c r="C95" s="65" t="s">
        <v>665</v>
      </c>
      <c r="D95" s="55">
        <v>100</v>
      </c>
      <c r="E95" s="55" t="s">
        <v>22</v>
      </c>
      <c r="F95" s="12">
        <v>45911</v>
      </c>
      <c r="G95" s="143"/>
      <c r="H95" s="203">
        <v>45925</v>
      </c>
      <c r="I95" s="42">
        <v>1710.86</v>
      </c>
      <c r="J95" s="1">
        <v>30</v>
      </c>
      <c r="K95" s="2">
        <f>I95/J95</f>
        <v>57.028666666666666</v>
      </c>
      <c r="L95" s="1">
        <v>3</v>
      </c>
      <c r="M95" s="1">
        <v>12</v>
      </c>
      <c r="N95" s="1">
        <v>0</v>
      </c>
      <c r="O95" s="1">
        <v>0</v>
      </c>
      <c r="P95" s="192">
        <f>L95+M95+N95+O95</f>
        <v>15</v>
      </c>
      <c r="Q95" s="42">
        <f>K95*50%*L95</f>
        <v>85.543000000000006</v>
      </c>
      <c r="R95" s="42">
        <f>K95*60%*M95</f>
        <v>410.60640000000001</v>
      </c>
      <c r="S95" s="42">
        <f>K95*60%*N95</f>
        <v>0</v>
      </c>
      <c r="T95" s="42">
        <f>K95*75%*O95</f>
        <v>0</v>
      </c>
      <c r="U95" s="42">
        <f>S95+T95</f>
        <v>0</v>
      </c>
      <c r="V95" s="42">
        <f>K95*(M95+O95+L95+N95)*100%</f>
        <v>855.43</v>
      </c>
    </row>
    <row r="96" spans="1:23" x14ac:dyDescent="0.25">
      <c r="A96" s="197">
        <v>2433</v>
      </c>
      <c r="B96" s="9" t="s">
        <v>663</v>
      </c>
      <c r="C96" s="51"/>
      <c r="D96" s="56"/>
      <c r="E96" s="56"/>
      <c r="F96" s="142"/>
      <c r="G96" s="142"/>
      <c r="H96" s="52"/>
      <c r="I96" s="53"/>
      <c r="J96" s="52"/>
      <c r="K96" s="53"/>
      <c r="L96" s="52"/>
      <c r="M96" s="52"/>
      <c r="N96" s="52"/>
      <c r="O96" s="52"/>
      <c r="P96" s="192">
        <f>L96+M96+N96+O96</f>
        <v>0</v>
      </c>
      <c r="Q96" s="10"/>
      <c r="R96" s="10"/>
      <c r="S96" s="10"/>
      <c r="T96" s="10"/>
      <c r="U96" s="11">
        <f>SUM(U95:U95)</f>
        <v>0</v>
      </c>
      <c r="V96" s="10"/>
    </row>
    <row r="97" spans="1:22" x14ac:dyDescent="0.25">
      <c r="A97" s="91"/>
      <c r="B97" s="14" t="s">
        <v>24</v>
      </c>
      <c r="C97" s="15"/>
      <c r="D97" s="57"/>
      <c r="E97" s="57"/>
      <c r="F97" s="145"/>
      <c r="G97" s="145"/>
      <c r="H97" s="67"/>
      <c r="I97" s="16"/>
      <c r="J97" s="17"/>
      <c r="K97" s="17"/>
      <c r="L97" s="17"/>
      <c r="M97" s="17"/>
      <c r="N97" s="17"/>
      <c r="O97" s="17"/>
      <c r="P97" s="18"/>
      <c r="Q97" s="16"/>
      <c r="R97" s="43"/>
      <c r="S97" s="43"/>
      <c r="T97" s="43"/>
      <c r="U97" s="43"/>
      <c r="V97" s="43"/>
    </row>
    <row r="98" spans="1:22" s="185" customFormat="1" x14ac:dyDescent="0.25">
      <c r="A98" s="196">
        <v>2273</v>
      </c>
      <c r="B98" s="44" t="s">
        <v>578</v>
      </c>
      <c r="C98" s="65" t="s">
        <v>579</v>
      </c>
      <c r="D98" s="55"/>
      <c r="E98" s="55" t="s">
        <v>71</v>
      </c>
      <c r="F98" s="12">
        <v>45877</v>
      </c>
      <c r="G98" s="143">
        <v>45912</v>
      </c>
      <c r="H98" s="203">
        <v>45911</v>
      </c>
      <c r="I98" s="42"/>
      <c r="J98" s="1"/>
      <c r="K98" s="2"/>
      <c r="L98" s="1"/>
      <c r="M98" s="1"/>
      <c r="N98" s="1"/>
      <c r="O98" s="1"/>
      <c r="P98" s="192"/>
      <c r="Q98" s="42"/>
      <c r="R98" s="42"/>
      <c r="S98" s="42"/>
      <c r="T98" s="42"/>
      <c r="U98" s="42"/>
      <c r="V98" s="42"/>
    </row>
    <row r="99" spans="1:22" x14ac:dyDescent="0.25">
      <c r="A99" s="89">
        <v>2273</v>
      </c>
      <c r="B99" s="68" t="s">
        <v>578</v>
      </c>
      <c r="C99" s="66" t="s">
        <v>579</v>
      </c>
      <c r="D99" s="205"/>
      <c r="E99" s="205" t="s">
        <v>71</v>
      </c>
      <c r="F99" s="141">
        <v>45912</v>
      </c>
      <c r="G99" s="141"/>
      <c r="H99" s="147">
        <v>46044</v>
      </c>
      <c r="I99" s="85"/>
      <c r="J99" s="85"/>
      <c r="K99" s="85"/>
      <c r="L99" s="85"/>
      <c r="M99" s="85"/>
      <c r="N99" s="85"/>
      <c r="O99" s="85"/>
      <c r="P99" s="192"/>
      <c r="Q99" s="83" t="s">
        <v>92</v>
      </c>
      <c r="R99" s="68"/>
      <c r="S99" s="68"/>
      <c r="T99" s="68"/>
      <c r="U99" s="85"/>
      <c r="V99" s="68"/>
    </row>
    <row r="100" spans="1:22" x14ac:dyDescent="0.25">
      <c r="A100" s="195">
        <v>2273</v>
      </c>
      <c r="B100" s="9" t="s">
        <v>577</v>
      </c>
      <c r="C100" s="51"/>
      <c r="D100" s="56"/>
      <c r="E100" s="56"/>
      <c r="F100" s="142"/>
      <c r="G100" s="142"/>
      <c r="H100" s="52"/>
      <c r="I100" s="53"/>
      <c r="J100" s="52"/>
      <c r="K100" s="53"/>
      <c r="L100" s="52"/>
      <c r="M100" s="52"/>
      <c r="N100" s="52"/>
      <c r="O100" s="52"/>
      <c r="P100" s="192"/>
      <c r="Q100" s="10"/>
      <c r="R100" s="10"/>
      <c r="S100" s="10"/>
      <c r="T100" s="10"/>
      <c r="U100" s="11"/>
      <c r="V100" s="10"/>
    </row>
    <row r="101" spans="1:22" x14ac:dyDescent="0.25">
      <c r="A101" s="90">
        <v>2442</v>
      </c>
      <c r="B101" s="8" t="s">
        <v>82</v>
      </c>
      <c r="C101" s="65" t="s">
        <v>83</v>
      </c>
      <c r="D101" s="55"/>
      <c r="E101" s="55" t="s">
        <v>71</v>
      </c>
      <c r="F101" s="12">
        <v>45385</v>
      </c>
      <c r="G101" s="144">
        <v>45784</v>
      </c>
      <c r="H101" s="146" t="s">
        <v>340</v>
      </c>
      <c r="I101" s="19"/>
      <c r="J101" s="20"/>
      <c r="K101" s="20"/>
      <c r="L101" s="100" t="s">
        <v>470</v>
      </c>
      <c r="M101" s="86"/>
      <c r="N101" s="86"/>
      <c r="O101" s="86"/>
      <c r="P101" s="73"/>
      <c r="Q101" s="73"/>
      <c r="R101" s="73"/>
      <c r="S101" s="73"/>
      <c r="T101" s="73"/>
      <c r="U101" s="86"/>
      <c r="V101" s="74"/>
    </row>
    <row r="102" spans="1:22" x14ac:dyDescent="0.25">
      <c r="A102" s="90">
        <v>2442</v>
      </c>
      <c r="B102" s="8" t="s">
        <v>575</v>
      </c>
      <c r="C102" s="65" t="s">
        <v>576</v>
      </c>
      <c r="D102" s="55"/>
      <c r="E102" s="55" t="s">
        <v>71</v>
      </c>
      <c r="F102" s="12">
        <v>45877</v>
      </c>
      <c r="G102" s="144">
        <v>45940</v>
      </c>
      <c r="H102" s="146" t="s">
        <v>709</v>
      </c>
      <c r="I102" s="19"/>
      <c r="J102" s="20"/>
      <c r="K102" s="20"/>
      <c r="L102" s="100"/>
      <c r="M102" s="86"/>
      <c r="N102" s="86"/>
      <c r="O102" s="86"/>
      <c r="P102" s="73"/>
      <c r="Q102" s="73"/>
      <c r="R102" s="73"/>
      <c r="S102" s="73"/>
      <c r="T102" s="73"/>
      <c r="U102" s="86"/>
      <c r="V102" s="74"/>
    </row>
    <row r="103" spans="1:22" x14ac:dyDescent="0.25">
      <c r="A103" s="195">
        <v>2442</v>
      </c>
      <c r="B103" s="9" t="s">
        <v>84</v>
      </c>
      <c r="C103" s="51"/>
      <c r="D103" s="56"/>
      <c r="E103" s="56"/>
      <c r="F103" s="142"/>
      <c r="G103" s="142"/>
      <c r="H103" s="52"/>
      <c r="I103" s="53"/>
      <c r="J103" s="52"/>
      <c r="K103" s="53"/>
      <c r="L103" s="52"/>
      <c r="M103" s="52"/>
      <c r="N103" s="52"/>
      <c r="O103" s="52"/>
      <c r="P103" s="192"/>
      <c r="Q103" s="10"/>
      <c r="R103" s="10"/>
      <c r="S103" s="10"/>
      <c r="T103" s="10"/>
      <c r="U103" s="11"/>
      <c r="V103" s="10"/>
    </row>
    <row r="104" spans="1:22" ht="15.75" thickBot="1" x14ac:dyDescent="0.3">
      <c r="A104" s="87"/>
      <c r="C104" s="23"/>
      <c r="D104" s="58"/>
      <c r="F104" s="23"/>
      <c r="G104" s="23"/>
      <c r="H104" s="23"/>
      <c r="I104" s="72"/>
      <c r="J104" s="23"/>
      <c r="K104" s="23"/>
      <c r="L104" s="23"/>
      <c r="M104" s="23"/>
      <c r="N104" s="23"/>
      <c r="O104" s="23"/>
      <c r="P104" s="23"/>
      <c r="Q104" s="72"/>
      <c r="R104" s="72"/>
      <c r="S104" s="72"/>
      <c r="T104" s="72"/>
      <c r="U104" s="72"/>
      <c r="V104" s="72"/>
    </row>
    <row r="105" spans="1:22" ht="15.75" thickBot="1" x14ac:dyDescent="0.3">
      <c r="A105" s="87"/>
      <c r="C105" s="23"/>
      <c r="D105" s="58"/>
      <c r="E105" s="23"/>
      <c r="F105" s="23"/>
      <c r="G105" s="23"/>
      <c r="H105" s="160" t="s">
        <v>25</v>
      </c>
      <c r="I105" s="161"/>
      <c r="J105" s="101"/>
      <c r="K105" s="102"/>
      <c r="L105" s="103"/>
      <c r="M105" s="104"/>
      <c r="N105" s="38"/>
      <c r="O105" s="38"/>
      <c r="P105" s="105"/>
      <c r="Q105" s="106"/>
      <c r="R105" s="107"/>
      <c r="S105" s="108"/>
      <c r="T105" s="108"/>
      <c r="U105" s="25"/>
      <c r="V105" s="109"/>
    </row>
    <row r="106" spans="1:22" x14ac:dyDescent="0.25">
      <c r="A106" s="93"/>
      <c r="B106" s="46"/>
      <c r="C106" s="46" t="s">
        <v>26</v>
      </c>
      <c r="D106" s="59"/>
      <c r="E106" s="46"/>
      <c r="F106" s="46"/>
      <c r="G106" s="47"/>
      <c r="H106" s="162"/>
      <c r="I106" s="163"/>
      <c r="J106" s="79" t="s">
        <v>27</v>
      </c>
      <c r="K106" s="110"/>
      <c r="L106" s="111"/>
      <c r="M106" s="110"/>
      <c r="N106" s="111"/>
      <c r="O106" s="111"/>
      <c r="P106" s="112"/>
      <c r="Q106" s="113"/>
      <c r="R106" s="110"/>
      <c r="S106" s="113"/>
      <c r="T106" s="114"/>
      <c r="U106" s="45"/>
      <c r="V106" s="115"/>
    </row>
    <row r="107" spans="1:22" x14ac:dyDescent="0.25">
      <c r="A107" s="94"/>
      <c r="B107" s="27"/>
      <c r="C107" s="27" t="s">
        <v>28</v>
      </c>
      <c r="D107" s="60"/>
      <c r="E107" s="28"/>
      <c r="F107" s="27"/>
      <c r="G107" s="48"/>
      <c r="H107" s="164" t="s">
        <v>29</v>
      </c>
      <c r="I107" s="165"/>
      <c r="J107" s="117" t="s">
        <v>30</v>
      </c>
      <c r="K107" s="116"/>
      <c r="L107" s="118"/>
      <c r="M107" s="116"/>
      <c r="N107" s="118"/>
      <c r="O107" s="118"/>
      <c r="P107" s="119"/>
      <c r="Q107" s="120"/>
      <c r="R107" s="116"/>
      <c r="S107" s="120"/>
      <c r="T107" s="121"/>
      <c r="U107" s="29"/>
      <c r="V107" s="122"/>
    </row>
    <row r="108" spans="1:22" ht="15.75" thickBot="1" x14ac:dyDescent="0.3">
      <c r="A108" s="95"/>
      <c r="B108" s="30"/>
      <c r="C108" s="30" t="s">
        <v>31</v>
      </c>
      <c r="D108" s="61"/>
      <c r="E108" s="30"/>
      <c r="F108" s="30"/>
      <c r="G108" s="49"/>
      <c r="H108" s="166"/>
      <c r="I108" s="167"/>
      <c r="J108" s="82" t="s">
        <v>32</v>
      </c>
      <c r="K108" s="123"/>
      <c r="L108" s="124"/>
      <c r="M108" s="123"/>
      <c r="N108" s="124"/>
      <c r="O108" s="124"/>
      <c r="P108" s="125"/>
      <c r="Q108" s="123"/>
      <c r="R108" s="123"/>
      <c r="S108" s="123"/>
      <c r="T108" s="126"/>
      <c r="U108" s="31"/>
      <c r="V108" s="127"/>
    </row>
    <row r="109" spans="1:22" x14ac:dyDescent="0.25">
      <c r="A109" s="156"/>
      <c r="B109" s="157"/>
      <c r="C109" s="157" t="s">
        <v>33</v>
      </c>
      <c r="D109" s="158"/>
      <c r="E109" s="157"/>
      <c r="F109" s="157"/>
      <c r="G109" s="265"/>
      <c r="H109" s="168" t="s">
        <v>34</v>
      </c>
      <c r="I109" s="169"/>
      <c r="J109" s="129"/>
      <c r="K109" s="129"/>
      <c r="L109" s="129"/>
      <c r="M109" s="129"/>
      <c r="N109" s="129"/>
      <c r="O109" s="129"/>
      <c r="P109" s="130"/>
      <c r="Q109" s="128"/>
      <c r="R109" s="128"/>
      <c r="S109" s="128"/>
      <c r="T109" s="131"/>
      <c r="U109" s="32"/>
      <c r="V109" s="132"/>
    </row>
    <row r="110" spans="1:22" ht="15.75" thickBot="1" x14ac:dyDescent="0.3">
      <c r="A110" s="96"/>
      <c r="B110" s="201"/>
      <c r="C110" s="76" t="s">
        <v>35</v>
      </c>
      <c r="D110" s="77"/>
      <c r="E110" s="76"/>
      <c r="F110" s="76"/>
      <c r="G110" s="78"/>
      <c r="H110" s="170" t="s">
        <v>36</v>
      </c>
      <c r="I110" s="171"/>
      <c r="J110" s="134"/>
      <c r="K110" s="134"/>
      <c r="L110" s="134"/>
      <c r="M110" s="134"/>
      <c r="N110" s="134"/>
      <c r="O110" s="134"/>
      <c r="P110" s="135"/>
      <c r="Q110" s="133"/>
      <c r="R110" s="133"/>
      <c r="S110" s="133"/>
      <c r="T110" s="136"/>
      <c r="U110" s="33"/>
      <c r="V110" s="137"/>
    </row>
    <row r="111" spans="1:22" ht="15.75" thickBot="1" x14ac:dyDescent="0.3">
      <c r="A111" s="97"/>
      <c r="B111" s="34"/>
      <c r="C111" s="34" t="s">
        <v>37</v>
      </c>
      <c r="D111" s="62"/>
      <c r="E111" s="34"/>
      <c r="F111" s="34"/>
      <c r="G111" s="50"/>
      <c r="H111" s="172" t="s">
        <v>38</v>
      </c>
      <c r="I111" s="165"/>
      <c r="J111" s="117" t="s">
        <v>30</v>
      </c>
      <c r="K111" s="116"/>
      <c r="L111" s="118"/>
      <c r="M111" s="116"/>
      <c r="N111" s="118"/>
      <c r="O111" s="118"/>
      <c r="P111" s="119"/>
      <c r="Q111" s="120"/>
      <c r="R111" s="116"/>
      <c r="S111" s="120"/>
      <c r="T111" s="121"/>
      <c r="U111" s="29"/>
      <c r="V111" s="122"/>
    </row>
    <row r="112" spans="1:22" ht="15.75" thickBot="1" x14ac:dyDescent="0.3">
      <c r="A112" s="98"/>
      <c r="B112" s="35" t="s">
        <v>39</v>
      </c>
      <c r="C112" s="36"/>
      <c r="D112" s="63"/>
      <c r="E112" s="36"/>
      <c r="F112" s="36"/>
      <c r="G112" s="37"/>
      <c r="H112" s="173"/>
      <c r="I112" s="174"/>
      <c r="J112" s="80" t="s">
        <v>40</v>
      </c>
      <c r="K112" s="104"/>
      <c r="L112" s="103"/>
      <c r="M112" s="104"/>
      <c r="N112" s="103"/>
      <c r="O112" s="103"/>
      <c r="P112" s="138"/>
      <c r="Q112" s="104"/>
      <c r="R112" s="104"/>
      <c r="S112" s="104"/>
      <c r="T112" s="139"/>
      <c r="U112" s="26"/>
      <c r="V112" s="140"/>
    </row>
    <row r="113" spans="1:22" ht="15.75" thickBot="1" x14ac:dyDescent="0.3">
      <c r="A113" s="148"/>
      <c r="B113" s="152" t="s">
        <v>57</v>
      </c>
      <c r="C113" s="149"/>
      <c r="D113" s="150"/>
      <c r="E113" s="149"/>
      <c r="F113" s="149"/>
      <c r="G113" s="151"/>
      <c r="H113" s="173"/>
      <c r="I113" s="174"/>
      <c r="J113" s="80" t="s">
        <v>41</v>
      </c>
      <c r="K113" s="104"/>
      <c r="L113" s="103"/>
      <c r="M113" s="104"/>
      <c r="N113" s="103"/>
      <c r="O113" s="103"/>
      <c r="P113" s="138"/>
      <c r="Q113" s="104"/>
      <c r="R113" s="104"/>
      <c r="S113" s="104"/>
      <c r="T113" s="139"/>
      <c r="U113" s="26"/>
      <c r="V113" s="140"/>
    </row>
    <row r="114" spans="1:22" ht="15.75" thickBot="1" x14ac:dyDescent="0.3">
      <c r="A114" s="290" t="s">
        <v>123</v>
      </c>
      <c r="B114" s="291"/>
      <c r="C114" s="291"/>
      <c r="D114" s="291"/>
      <c r="E114" s="291"/>
      <c r="F114" s="291"/>
      <c r="G114" s="292"/>
      <c r="H114" s="166"/>
      <c r="I114" s="167"/>
      <c r="J114" s="82" t="s">
        <v>42</v>
      </c>
      <c r="K114" s="123"/>
      <c r="L114" s="124"/>
      <c r="M114" s="123"/>
      <c r="N114" s="124"/>
      <c r="O114" s="124"/>
      <c r="P114" s="125"/>
      <c r="Q114" s="123"/>
      <c r="R114" s="123"/>
      <c r="S114" s="123"/>
      <c r="T114" s="126"/>
      <c r="U114" s="31"/>
      <c r="V114" s="127"/>
    </row>
    <row r="115" spans="1:22" x14ac:dyDescent="0.25">
      <c r="A115" s="87"/>
      <c r="C115" s="23"/>
      <c r="D115" s="58"/>
      <c r="E115" s="23"/>
      <c r="F115" s="23"/>
      <c r="G115" s="23"/>
      <c r="H115" s="172" t="s">
        <v>43</v>
      </c>
      <c r="I115" s="165"/>
      <c r="J115" s="117" t="s">
        <v>44</v>
      </c>
      <c r="K115" s="116"/>
      <c r="L115" s="118"/>
      <c r="M115" s="116"/>
      <c r="N115" s="118"/>
      <c r="O115" s="118"/>
      <c r="P115" s="119"/>
      <c r="Q115" s="120"/>
      <c r="R115" s="116"/>
      <c r="S115" s="120"/>
      <c r="T115" s="121"/>
      <c r="U115" s="29"/>
      <c r="V115" s="122"/>
    </row>
    <row r="116" spans="1:22" x14ac:dyDescent="0.25">
      <c r="A116" s="99"/>
      <c r="B116" s="38"/>
      <c r="C116" s="39"/>
      <c r="D116" s="64"/>
      <c r="E116" s="24"/>
      <c r="F116" s="71"/>
      <c r="G116" s="71"/>
      <c r="H116" s="173"/>
      <c r="I116" s="174"/>
      <c r="J116" s="80" t="s">
        <v>45</v>
      </c>
      <c r="K116" s="104"/>
      <c r="L116" s="103"/>
      <c r="M116" s="104"/>
      <c r="N116" s="103"/>
      <c r="O116" s="103"/>
      <c r="P116" s="138"/>
      <c r="Q116" s="104"/>
      <c r="R116" s="104"/>
      <c r="S116" s="104"/>
      <c r="T116" s="139"/>
      <c r="U116" s="26"/>
      <c r="V116" s="140"/>
    </row>
    <row r="117" spans="1:22" x14ac:dyDescent="0.25">
      <c r="A117" s="87"/>
      <c r="C117" s="23"/>
      <c r="D117" s="58"/>
      <c r="E117" s="23"/>
      <c r="F117" s="23"/>
      <c r="G117" s="23"/>
      <c r="H117" s="173"/>
      <c r="I117" s="174"/>
      <c r="J117" s="80" t="s">
        <v>46</v>
      </c>
      <c r="K117" s="104"/>
      <c r="L117" s="103"/>
      <c r="M117" s="104"/>
      <c r="N117" s="103"/>
      <c r="O117" s="103"/>
      <c r="P117" s="138"/>
      <c r="Q117" s="104"/>
      <c r="R117" s="104"/>
      <c r="S117" s="104"/>
      <c r="T117" s="139"/>
      <c r="U117" s="26"/>
      <c r="V117" s="140"/>
    </row>
    <row r="118" spans="1:22" ht="15.75" thickBot="1" x14ac:dyDescent="0.3">
      <c r="A118" s="87"/>
      <c r="C118" s="23"/>
      <c r="D118" s="58"/>
      <c r="E118" s="23"/>
      <c r="F118" s="23"/>
      <c r="G118" s="23"/>
      <c r="H118" s="175"/>
      <c r="I118" s="176"/>
      <c r="J118" s="82" t="s">
        <v>47</v>
      </c>
      <c r="K118" s="123"/>
      <c r="L118" s="124"/>
      <c r="M118" s="123"/>
      <c r="N118" s="124"/>
      <c r="O118" s="124"/>
      <c r="P118" s="125"/>
      <c r="Q118" s="123"/>
      <c r="R118" s="123"/>
      <c r="S118" s="123"/>
      <c r="T118" s="126"/>
      <c r="U118" s="31"/>
      <c r="V118" s="127"/>
    </row>
  </sheetData>
  <mergeCells count="1">
    <mergeCell ref="A114:G114"/>
  </mergeCells>
  <phoneticPr fontId="11" type="noConversion"/>
  <pageMargins left="0.23622047244094491" right="0.23622047244094491" top="0.39370078740157483" bottom="0.15748031496062992" header="0.31496062992125984" footer="0.31496062992125984"/>
  <pageSetup paperSize="9" scale="75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1"/>
  <sheetViews>
    <sheetView tabSelected="1" topLeftCell="A76" zoomScale="220" zoomScaleNormal="220" workbookViewId="0">
      <selection activeCell="F90" sqref="F90"/>
    </sheetView>
  </sheetViews>
  <sheetFormatPr baseColWidth="10" defaultRowHeight="15" x14ac:dyDescent="0.25"/>
  <cols>
    <col min="1" max="1" width="4.140625" customWidth="1"/>
    <col min="2" max="2" width="19.85546875" customWidth="1"/>
    <col min="3" max="3" width="11.42578125" customWidth="1"/>
    <col min="4" max="4" width="3.5703125" style="23" customWidth="1"/>
    <col min="5" max="5" width="2.85546875" customWidth="1"/>
    <col min="6" max="6" width="8.85546875" customWidth="1"/>
    <col min="7" max="7" width="11.42578125" customWidth="1"/>
    <col min="8" max="8" width="11.140625" customWidth="1"/>
    <col min="9" max="9" width="8.85546875" customWidth="1"/>
    <col min="10" max="10" width="3.5703125" customWidth="1"/>
    <col min="11" max="11" width="5.85546875" customWidth="1"/>
    <col min="12" max="12" width="3.140625" customWidth="1"/>
    <col min="13" max="13" width="2.5703125" customWidth="1"/>
    <col min="14" max="14" width="3" customWidth="1"/>
    <col min="15" max="15" width="2.42578125" customWidth="1"/>
    <col min="16" max="16" width="3" customWidth="1"/>
    <col min="17" max="17" width="7.42578125" customWidth="1"/>
    <col min="18" max="18" width="5.85546875" customWidth="1"/>
    <col min="19" max="19" width="5.42578125" customWidth="1"/>
    <col min="20" max="20" width="7" bestFit="1" customWidth="1"/>
    <col min="21" max="21" width="8.5703125" customWidth="1"/>
    <col min="22" max="22" width="7.42578125" customWidth="1"/>
  </cols>
  <sheetData>
    <row r="1" spans="1:23" x14ac:dyDescent="0.25">
      <c r="A1" s="87"/>
      <c r="B1" s="81" t="s">
        <v>722</v>
      </c>
      <c r="C1" s="4">
        <v>45954</v>
      </c>
      <c r="D1" s="54"/>
      <c r="E1" s="3"/>
      <c r="F1" s="4"/>
      <c r="G1" s="153" t="s">
        <v>61</v>
      </c>
      <c r="H1" s="153" t="s">
        <v>62</v>
      </c>
      <c r="I1" s="153"/>
      <c r="J1" s="154"/>
      <c r="K1" s="154"/>
      <c r="L1" s="154"/>
      <c r="M1" s="154"/>
      <c r="N1" s="154"/>
      <c r="O1" s="154"/>
      <c r="P1" s="155"/>
      <c r="Q1" s="155"/>
      <c r="R1" s="155"/>
      <c r="S1" s="155"/>
      <c r="T1" s="155"/>
      <c r="U1" s="154"/>
      <c r="V1" s="155"/>
    </row>
    <row r="2" spans="1:23" x14ac:dyDescent="0.25">
      <c r="A2" s="87"/>
      <c r="B2" s="4"/>
      <c r="C2" s="4"/>
      <c r="D2" s="54"/>
      <c r="E2" s="3"/>
      <c r="F2" s="4"/>
      <c r="G2" s="23"/>
      <c r="H2" s="23"/>
      <c r="I2" s="23"/>
      <c r="J2" s="23"/>
      <c r="K2" s="23"/>
      <c r="L2" s="23"/>
      <c r="M2" s="23"/>
      <c r="N2" s="23"/>
      <c r="O2" s="23"/>
      <c r="U2" s="23"/>
    </row>
    <row r="3" spans="1:23" ht="77.25" x14ac:dyDescent="0.25">
      <c r="A3" s="88" t="s">
        <v>0</v>
      </c>
      <c r="B3" s="5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7" t="s">
        <v>8</v>
      </c>
      <c r="J3" s="6" t="s">
        <v>9</v>
      </c>
      <c r="K3" s="7" t="s">
        <v>10</v>
      </c>
      <c r="L3" s="6" t="s">
        <v>11</v>
      </c>
      <c r="M3" s="6" t="s">
        <v>12</v>
      </c>
      <c r="N3" s="6" t="s">
        <v>13</v>
      </c>
      <c r="O3" s="6" t="s">
        <v>14</v>
      </c>
      <c r="P3" s="6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</row>
    <row r="4" spans="1:23" ht="14.1" customHeight="1" x14ac:dyDescent="0.25">
      <c r="A4" s="89">
        <v>8</v>
      </c>
      <c r="B4" s="68" t="s">
        <v>512</v>
      </c>
      <c r="C4" s="226" t="s">
        <v>513</v>
      </c>
      <c r="D4" s="227" t="s">
        <v>50</v>
      </c>
      <c r="E4" s="205" t="s">
        <v>22</v>
      </c>
      <c r="F4" s="141">
        <v>45850</v>
      </c>
      <c r="G4" s="228"/>
      <c r="H4" s="147">
        <v>45961</v>
      </c>
      <c r="I4" s="229"/>
      <c r="J4" s="85"/>
      <c r="K4" s="230"/>
      <c r="L4" s="85"/>
      <c r="M4" s="85"/>
      <c r="N4" s="85"/>
      <c r="O4" s="85"/>
      <c r="P4" s="192">
        <f>L4+M4+N4+O4</f>
        <v>0</v>
      </c>
      <c r="Q4" s="83" t="s">
        <v>48</v>
      </c>
      <c r="R4" s="68"/>
      <c r="S4" s="68"/>
      <c r="T4" s="68"/>
      <c r="U4" s="85"/>
      <c r="V4" s="68"/>
    </row>
    <row r="5" spans="1:23" ht="14.1" customHeight="1" x14ac:dyDescent="0.25">
      <c r="A5" s="89">
        <v>8</v>
      </c>
      <c r="B5" s="68" t="s">
        <v>421</v>
      </c>
      <c r="C5" s="226" t="s">
        <v>422</v>
      </c>
      <c r="D5" s="227" t="s">
        <v>52</v>
      </c>
      <c r="E5" s="205" t="s">
        <v>22</v>
      </c>
      <c r="F5" s="141">
        <v>45796</v>
      </c>
      <c r="G5" s="228"/>
      <c r="H5" s="147" t="s">
        <v>565</v>
      </c>
      <c r="I5" s="229"/>
      <c r="J5" s="85"/>
      <c r="K5" s="230"/>
      <c r="L5" s="85"/>
      <c r="M5" s="85"/>
      <c r="N5" s="85"/>
      <c r="O5" s="85"/>
      <c r="P5" s="192">
        <f>L5+M5+N5+O5</f>
        <v>0</v>
      </c>
      <c r="Q5" s="83" t="s">
        <v>88</v>
      </c>
      <c r="R5" s="68"/>
      <c r="S5" s="68"/>
      <c r="T5" s="68"/>
      <c r="U5" s="85"/>
      <c r="V5" s="68"/>
    </row>
    <row r="6" spans="1:23" s="185" customFormat="1" ht="15" customHeight="1" x14ac:dyDescent="0.25">
      <c r="A6" s="193" t="s">
        <v>423</v>
      </c>
      <c r="B6" s="177"/>
      <c r="C6" s="178"/>
      <c r="D6" s="179"/>
      <c r="E6" s="180"/>
      <c r="F6" s="194"/>
      <c r="G6" s="181"/>
      <c r="H6" s="194"/>
      <c r="I6" s="182"/>
      <c r="J6" s="183"/>
      <c r="K6" s="184"/>
      <c r="L6" s="183"/>
      <c r="M6" s="183"/>
      <c r="N6" s="183"/>
      <c r="O6" s="183"/>
      <c r="P6" s="192">
        <f>L6+M6+N6+O6</f>
        <v>0</v>
      </c>
      <c r="Q6" s="182"/>
      <c r="R6" s="182"/>
      <c r="S6" s="182"/>
      <c r="T6" s="182"/>
      <c r="U6" s="182"/>
      <c r="V6" s="182"/>
    </row>
    <row r="7" spans="1:23" ht="14.25" customHeight="1" x14ac:dyDescent="0.25">
      <c r="A7" s="90">
        <v>8</v>
      </c>
      <c r="B7" s="8" t="s">
        <v>778</v>
      </c>
      <c r="C7" s="65" t="s">
        <v>779</v>
      </c>
      <c r="D7" s="75" t="s">
        <v>50</v>
      </c>
      <c r="E7" s="55" t="s">
        <v>22</v>
      </c>
      <c r="F7" s="12">
        <v>45954</v>
      </c>
      <c r="G7" s="143" t="s">
        <v>565</v>
      </c>
      <c r="H7" s="203">
        <v>45954</v>
      </c>
      <c r="I7" s="208">
        <v>1477.48</v>
      </c>
      <c r="J7" s="1">
        <v>30</v>
      </c>
      <c r="K7" s="2">
        <f>I7/J7</f>
        <v>49.249333333333333</v>
      </c>
      <c r="L7" s="1">
        <v>1</v>
      </c>
      <c r="M7" s="1">
        <v>0</v>
      </c>
      <c r="N7" s="1">
        <v>0</v>
      </c>
      <c r="O7" s="1">
        <v>0</v>
      </c>
      <c r="P7" s="192">
        <f>L7+M7+N7+O7</f>
        <v>1</v>
      </c>
      <c r="Q7" s="42">
        <f>K7*50%*L7</f>
        <v>24.624666666666666</v>
      </c>
      <c r="R7" s="42">
        <f>K7*60%*M7</f>
        <v>0</v>
      </c>
      <c r="S7" s="42">
        <f>K7*60%*N7</f>
        <v>0</v>
      </c>
      <c r="T7" s="42">
        <f>K7*75%*O7</f>
        <v>0</v>
      </c>
      <c r="U7" s="42">
        <f>S7+T7</f>
        <v>0</v>
      </c>
      <c r="V7" s="42">
        <f>K7*(M7+O7+L7+N7)*100%</f>
        <v>49.249333333333333</v>
      </c>
      <c r="W7" s="185"/>
    </row>
    <row r="8" spans="1:23" x14ac:dyDescent="0.25">
      <c r="A8" s="195">
        <v>8</v>
      </c>
      <c r="B8" s="9" t="s">
        <v>489</v>
      </c>
      <c r="C8" s="51"/>
      <c r="D8" s="56"/>
      <c r="E8" s="56"/>
      <c r="F8" s="142"/>
      <c r="G8" s="142"/>
      <c r="H8" s="52"/>
      <c r="I8" s="53"/>
      <c r="J8" s="52"/>
      <c r="K8" s="289"/>
      <c r="L8" s="52"/>
      <c r="M8" s="52"/>
      <c r="N8" s="52"/>
      <c r="O8" s="52"/>
      <c r="P8" s="192"/>
      <c r="Q8" s="10"/>
      <c r="R8" s="10"/>
      <c r="S8" s="10"/>
      <c r="T8" s="10"/>
      <c r="U8" s="11"/>
      <c r="V8" s="10"/>
    </row>
    <row r="9" spans="1:23" ht="14.25" customHeight="1" x14ac:dyDescent="0.25">
      <c r="A9" s="90">
        <v>171</v>
      </c>
      <c r="B9" s="8" t="s">
        <v>788</v>
      </c>
      <c r="C9" s="65" t="s">
        <v>789</v>
      </c>
      <c r="D9" s="75" t="s">
        <v>51</v>
      </c>
      <c r="E9" s="55" t="s">
        <v>22</v>
      </c>
      <c r="F9" s="12">
        <v>45957</v>
      </c>
      <c r="G9" s="143"/>
      <c r="H9" s="203"/>
      <c r="I9" s="208">
        <v>430.15</v>
      </c>
      <c r="J9" s="1">
        <v>92</v>
      </c>
      <c r="K9" s="2">
        <f t="shared" ref="K9" si="0">I9/J9</f>
        <v>4.6755434782608694</v>
      </c>
      <c r="L9" s="1">
        <v>3</v>
      </c>
      <c r="M9" s="1">
        <v>2</v>
      </c>
      <c r="N9" s="1">
        <v>0</v>
      </c>
      <c r="O9" s="1">
        <v>0</v>
      </c>
      <c r="P9" s="192">
        <f>L9+M9+N9+O9</f>
        <v>5</v>
      </c>
      <c r="Q9" s="42">
        <f>K9*50%*L9</f>
        <v>7.0133152173913036</v>
      </c>
      <c r="R9" s="42">
        <f>K9*60%*M9</f>
        <v>5.6106521739130431</v>
      </c>
      <c r="S9" s="42">
        <f>K9*60%*N9</f>
        <v>0</v>
      </c>
      <c r="T9" s="42">
        <f>K9*75%*O9</f>
        <v>0</v>
      </c>
      <c r="U9" s="42">
        <f>S9+T9</f>
        <v>0</v>
      </c>
      <c r="V9" s="42">
        <f>K9*(M9+O9+L9+N9)*100%</f>
        <v>23.377717391304348</v>
      </c>
      <c r="W9" s="185"/>
    </row>
    <row r="10" spans="1:23" x14ac:dyDescent="0.25">
      <c r="A10" s="195">
        <v>171</v>
      </c>
      <c r="B10" s="9" t="s">
        <v>787</v>
      </c>
      <c r="C10" s="51"/>
      <c r="D10" s="56"/>
      <c r="E10" s="56"/>
      <c r="F10" s="142"/>
      <c r="G10" s="142"/>
      <c r="H10" s="52"/>
      <c r="I10" s="53"/>
      <c r="J10" s="52"/>
      <c r="K10" s="53"/>
      <c r="L10" s="52"/>
      <c r="M10" s="52"/>
      <c r="N10" s="52"/>
      <c r="O10" s="52"/>
      <c r="P10" s="192"/>
      <c r="Q10" s="10"/>
      <c r="R10" s="10"/>
      <c r="S10" s="10"/>
      <c r="T10" s="10"/>
      <c r="U10" s="11"/>
      <c r="V10" s="10"/>
    </row>
    <row r="11" spans="1:23" ht="14.25" customHeight="1" x14ac:dyDescent="0.25">
      <c r="A11" s="90">
        <v>585</v>
      </c>
      <c r="B11" s="8" t="s">
        <v>491</v>
      </c>
      <c r="C11" s="65" t="s">
        <v>492</v>
      </c>
      <c r="D11" s="75" t="s">
        <v>50</v>
      </c>
      <c r="E11" s="55" t="s">
        <v>22</v>
      </c>
      <c r="F11" s="12">
        <v>45951</v>
      </c>
      <c r="G11" s="143" t="s">
        <v>565</v>
      </c>
      <c r="H11" s="203">
        <v>45954</v>
      </c>
      <c r="I11" s="208">
        <v>1886.36</v>
      </c>
      <c r="J11" s="1">
        <v>30</v>
      </c>
      <c r="K11" s="2">
        <f>I11/J11</f>
        <v>62.87866666666666</v>
      </c>
      <c r="L11" s="1">
        <v>3</v>
      </c>
      <c r="M11" s="1">
        <v>1</v>
      </c>
      <c r="N11" s="1">
        <v>0</v>
      </c>
      <c r="O11" s="1">
        <v>0</v>
      </c>
      <c r="P11" s="192">
        <f>L11+M11+N11+O11</f>
        <v>4</v>
      </c>
      <c r="Q11" s="42">
        <f>K11*50%*L11</f>
        <v>94.317999999999984</v>
      </c>
      <c r="R11" s="42">
        <f>K11*60%*M11</f>
        <v>37.727199999999996</v>
      </c>
      <c r="S11" s="42">
        <f>K11*60%*N11</f>
        <v>0</v>
      </c>
      <c r="T11" s="42">
        <f>K11*75%*O11</f>
        <v>0</v>
      </c>
      <c r="U11" s="42">
        <f>S11+T11</f>
        <v>0</v>
      </c>
      <c r="V11" s="42">
        <f>K11*(M11+O11+L11+N11)*100%</f>
        <v>251.51466666666664</v>
      </c>
      <c r="W11" s="185"/>
    </row>
    <row r="12" spans="1:23" x14ac:dyDescent="0.25">
      <c r="A12" s="195">
        <v>585</v>
      </c>
      <c r="B12" s="9" t="s">
        <v>490</v>
      </c>
      <c r="C12" s="51"/>
      <c r="D12" s="56"/>
      <c r="E12" s="56"/>
      <c r="F12" s="142"/>
      <c r="G12" s="142"/>
      <c r="H12" s="52"/>
      <c r="I12" s="53"/>
      <c r="J12" s="52"/>
      <c r="K12" s="53"/>
      <c r="L12" s="52"/>
      <c r="M12" s="52"/>
      <c r="N12" s="52"/>
      <c r="O12" s="52"/>
      <c r="P12" s="192">
        <f>L12+M12+N12+O12</f>
        <v>0</v>
      </c>
      <c r="Q12" s="10"/>
      <c r="R12" s="10"/>
      <c r="S12" s="10"/>
      <c r="T12" s="10"/>
      <c r="U12" s="11">
        <f>SUM(U11)</f>
        <v>0</v>
      </c>
      <c r="V12" s="10"/>
    </row>
    <row r="13" spans="1:23" ht="14.25" customHeight="1" x14ac:dyDescent="0.25">
      <c r="A13" s="90">
        <v>717</v>
      </c>
      <c r="B13" s="8" t="s">
        <v>210</v>
      </c>
      <c r="C13" s="65" t="s">
        <v>211</v>
      </c>
      <c r="D13" s="75" t="s">
        <v>52</v>
      </c>
      <c r="E13" s="55" t="s">
        <v>22</v>
      </c>
      <c r="F13" s="12">
        <v>45943</v>
      </c>
      <c r="G13" s="143">
        <v>45957</v>
      </c>
      <c r="H13" s="203">
        <v>45951</v>
      </c>
      <c r="I13" s="208">
        <v>1692.04</v>
      </c>
      <c r="J13" s="1">
        <v>30</v>
      </c>
      <c r="K13" s="2">
        <f>I13/J13</f>
        <v>56.401333333333334</v>
      </c>
      <c r="L13" s="1">
        <v>3</v>
      </c>
      <c r="M13" s="1">
        <v>12</v>
      </c>
      <c r="N13" s="1">
        <v>4</v>
      </c>
      <c r="O13" s="1">
        <v>0</v>
      </c>
      <c r="P13" s="192">
        <f>L13+M13+N13+O13</f>
        <v>19</v>
      </c>
      <c r="Q13" s="42">
        <f>K13*50%*L13</f>
        <v>84.602000000000004</v>
      </c>
      <c r="R13" s="42">
        <f>K13*60%*M13</f>
        <v>406.08960000000002</v>
      </c>
      <c r="S13" s="42">
        <f>K13*60%*N13</f>
        <v>135.36320000000001</v>
      </c>
      <c r="T13" s="42">
        <f>K13*75%*O13</f>
        <v>0</v>
      </c>
      <c r="U13" s="42">
        <f>S13+T13</f>
        <v>135.36320000000001</v>
      </c>
      <c r="V13" s="42">
        <f>K13*(M13+O13+L13+N13)*100%</f>
        <v>1071.6253333333334</v>
      </c>
    </row>
    <row r="14" spans="1:23" ht="14.25" customHeight="1" x14ac:dyDescent="0.25">
      <c r="A14" s="90">
        <v>717</v>
      </c>
      <c r="B14" s="8" t="s">
        <v>695</v>
      </c>
      <c r="C14" s="65" t="s">
        <v>696</v>
      </c>
      <c r="D14" s="75" t="s">
        <v>52</v>
      </c>
      <c r="E14" s="55" t="s">
        <v>22</v>
      </c>
      <c r="F14" s="12">
        <v>45924</v>
      </c>
      <c r="G14" s="143"/>
      <c r="H14" s="203">
        <v>45944</v>
      </c>
      <c r="I14" s="208">
        <v>1702.75</v>
      </c>
      <c r="J14" s="1">
        <v>30</v>
      </c>
      <c r="K14" s="2">
        <f>I14/J14</f>
        <v>56.758333333333333</v>
      </c>
      <c r="L14" s="1">
        <v>0</v>
      </c>
      <c r="M14" s="1">
        <v>8</v>
      </c>
      <c r="N14" s="1">
        <v>5</v>
      </c>
      <c r="O14" s="1">
        <v>1</v>
      </c>
      <c r="P14" s="192">
        <f>L14+M14+N14+O14</f>
        <v>14</v>
      </c>
      <c r="Q14" s="42">
        <f>K14*50%*L14</f>
        <v>0</v>
      </c>
      <c r="R14" s="42">
        <f>K14*60%*M14</f>
        <v>272.44</v>
      </c>
      <c r="S14" s="42">
        <f>K14*60%*N14</f>
        <v>170.27500000000001</v>
      </c>
      <c r="T14" s="42">
        <f>K14*75%*O14</f>
        <v>42.568750000000001</v>
      </c>
      <c r="U14" s="42">
        <f>S14+T14</f>
        <v>212.84375</v>
      </c>
      <c r="V14" s="42">
        <f>K14*(M14+O14+L14+N14)*100%</f>
        <v>794.61666666666667</v>
      </c>
    </row>
    <row r="15" spans="1:23" x14ac:dyDescent="0.25">
      <c r="A15" s="195">
        <v>717</v>
      </c>
      <c r="B15" s="9" t="s">
        <v>49</v>
      </c>
      <c r="C15" s="51"/>
      <c r="D15" s="56"/>
      <c r="E15" s="56"/>
      <c r="F15" s="142"/>
      <c r="G15" s="142"/>
      <c r="H15" s="52"/>
      <c r="I15" s="53"/>
      <c r="J15" s="52"/>
      <c r="K15" s="53"/>
      <c r="L15" s="52"/>
      <c r="M15" s="52"/>
      <c r="N15" s="52"/>
      <c r="O15" s="52"/>
      <c r="P15" s="192"/>
      <c r="Q15" s="10"/>
      <c r="R15" s="10"/>
      <c r="S15" s="10"/>
      <c r="T15" s="10"/>
      <c r="U15" s="11">
        <f>SUM(U14:U14)</f>
        <v>212.84375</v>
      </c>
      <c r="V15" s="10"/>
    </row>
    <row r="16" spans="1:23" x14ac:dyDescent="0.25">
      <c r="A16" s="90">
        <v>1378</v>
      </c>
      <c r="B16" s="8" t="s">
        <v>454</v>
      </c>
      <c r="C16" s="65" t="s">
        <v>455</v>
      </c>
      <c r="D16" s="75" t="s">
        <v>52</v>
      </c>
      <c r="E16" s="55" t="s">
        <v>22</v>
      </c>
      <c r="F16" s="12">
        <v>45940</v>
      </c>
      <c r="G16" s="143">
        <v>45961</v>
      </c>
      <c r="H16" s="12" t="s">
        <v>755</v>
      </c>
      <c r="I16" s="208">
        <v>1381.34</v>
      </c>
      <c r="J16" s="1">
        <v>30</v>
      </c>
      <c r="K16" s="2">
        <f>I16/J16</f>
        <v>46.044666666666664</v>
      </c>
      <c r="L16" s="1">
        <v>3</v>
      </c>
      <c r="M16" s="1">
        <v>12</v>
      </c>
      <c r="N16" s="1">
        <v>5</v>
      </c>
      <c r="O16" s="1">
        <v>2</v>
      </c>
      <c r="P16" s="192">
        <f>L16+M16+N16+O16</f>
        <v>22</v>
      </c>
      <c r="Q16" s="42">
        <f>K16*50%*L16</f>
        <v>69.066999999999993</v>
      </c>
      <c r="R16" s="42">
        <f>K16*60%*M16</f>
        <v>331.52159999999998</v>
      </c>
      <c r="S16" s="42">
        <f>K16*60%*N16</f>
        <v>138.13399999999999</v>
      </c>
      <c r="T16" s="42">
        <f>K16*75%*O16</f>
        <v>69.066999999999993</v>
      </c>
      <c r="U16" s="42">
        <f>S16+T16</f>
        <v>207.20099999999996</v>
      </c>
      <c r="V16" s="42">
        <f>K16*(M16+O16+L16+N16)*100%</f>
        <v>1012.9826666666667</v>
      </c>
    </row>
    <row r="17" spans="1:22" ht="14.25" customHeight="1" x14ac:dyDescent="0.25">
      <c r="A17" s="266">
        <v>1378</v>
      </c>
      <c r="B17" s="267" t="s">
        <v>698</v>
      </c>
      <c r="C17" s="268" t="s">
        <v>699</v>
      </c>
      <c r="D17" s="269" t="s">
        <v>52</v>
      </c>
      <c r="E17" s="270" t="s">
        <v>568</v>
      </c>
      <c r="F17" s="271">
        <v>45925</v>
      </c>
      <c r="G17" s="272"/>
      <c r="H17" s="276" t="s">
        <v>721</v>
      </c>
      <c r="I17" s="273">
        <v>1381.34</v>
      </c>
      <c r="J17" s="274">
        <v>30</v>
      </c>
      <c r="K17" s="275">
        <f>I17/J17</f>
        <v>46.044666666666664</v>
      </c>
      <c r="L17" s="274">
        <v>0</v>
      </c>
      <c r="M17" s="274">
        <v>1</v>
      </c>
      <c r="N17" s="274">
        <v>0</v>
      </c>
      <c r="O17" s="274">
        <v>0</v>
      </c>
      <c r="P17" s="192">
        <f>L17+M17+N17+O17</f>
        <v>1</v>
      </c>
      <c r="Q17" s="273">
        <f>K17*50%*L17</f>
        <v>0</v>
      </c>
      <c r="R17" s="273">
        <f>K17*60%*M17</f>
        <v>27.626799999999999</v>
      </c>
      <c r="S17" s="273">
        <f>K17*60%*N17</f>
        <v>0</v>
      </c>
      <c r="T17" s="273">
        <f>K17*75%*O17</f>
        <v>0</v>
      </c>
      <c r="U17" s="273">
        <f>S17+T17</f>
        <v>0</v>
      </c>
      <c r="V17" s="273">
        <f>K17*(M17+O17+L17+N17)*100%</f>
        <v>46.044666666666664</v>
      </c>
    </row>
    <row r="18" spans="1:22" ht="14.25" customHeight="1" x14ac:dyDescent="0.25">
      <c r="A18" s="90">
        <v>1378</v>
      </c>
      <c r="B18" s="8" t="s">
        <v>746</v>
      </c>
      <c r="C18" s="65" t="s">
        <v>747</v>
      </c>
      <c r="D18" s="75" t="s">
        <v>52</v>
      </c>
      <c r="E18" s="55" t="s">
        <v>22</v>
      </c>
      <c r="F18" s="12">
        <v>45943</v>
      </c>
      <c r="G18" s="143">
        <v>45957</v>
      </c>
      <c r="H18" s="12" t="s">
        <v>759</v>
      </c>
      <c r="I18" s="208">
        <v>1381.34</v>
      </c>
      <c r="J18" s="1">
        <v>30</v>
      </c>
      <c r="K18" s="2">
        <f>I18/J18</f>
        <v>46.044666666666664</v>
      </c>
      <c r="L18" s="1">
        <v>3</v>
      </c>
      <c r="M18" s="1">
        <v>12</v>
      </c>
      <c r="N18" s="1">
        <v>4</v>
      </c>
      <c r="O18" s="1">
        <v>0</v>
      </c>
      <c r="P18" s="192">
        <f>L18+M18+N18+O18</f>
        <v>19</v>
      </c>
      <c r="Q18" s="42">
        <f>K18*50%*L18</f>
        <v>69.066999999999993</v>
      </c>
      <c r="R18" s="42">
        <f>K18*60%*M18</f>
        <v>331.52159999999998</v>
      </c>
      <c r="S18" s="42">
        <f>K18*60%*N18</f>
        <v>110.5072</v>
      </c>
      <c r="T18" s="42">
        <f>K18*75%*O18</f>
        <v>0</v>
      </c>
      <c r="U18" s="42">
        <f>S18+T18</f>
        <v>110.5072</v>
      </c>
      <c r="V18" s="42">
        <f>K18*(M18+O18+L18+N18)*100%</f>
        <v>874.84866666666665</v>
      </c>
    </row>
    <row r="19" spans="1:22" ht="14.25" customHeight="1" x14ac:dyDescent="0.25">
      <c r="A19" s="90">
        <v>1378</v>
      </c>
      <c r="B19" s="8" t="s">
        <v>543</v>
      </c>
      <c r="C19" s="65" t="s">
        <v>544</v>
      </c>
      <c r="D19" s="75" t="s">
        <v>52</v>
      </c>
      <c r="E19" s="55" t="s">
        <v>22</v>
      </c>
      <c r="F19" s="12">
        <v>45866</v>
      </c>
      <c r="G19" s="143">
        <v>45964</v>
      </c>
      <c r="H19" s="12" t="s">
        <v>745</v>
      </c>
      <c r="I19" s="208">
        <v>1381.34</v>
      </c>
      <c r="J19" s="1">
        <v>30</v>
      </c>
      <c r="K19" s="2">
        <f>I19/J19</f>
        <v>46.044666666666664</v>
      </c>
      <c r="L19" s="1">
        <v>0</v>
      </c>
      <c r="M19" s="1">
        <v>0</v>
      </c>
      <c r="N19" s="1">
        <v>0</v>
      </c>
      <c r="O19" s="1">
        <v>31</v>
      </c>
      <c r="P19" s="192">
        <f>L19+M19+N19+O19</f>
        <v>31</v>
      </c>
      <c r="Q19" s="42">
        <f>K19*50%*L19</f>
        <v>0</v>
      </c>
      <c r="R19" s="42">
        <f>K19*60%*M19</f>
        <v>0</v>
      </c>
      <c r="S19" s="42">
        <f>K19*60%*N19</f>
        <v>0</v>
      </c>
      <c r="T19" s="42">
        <f>K19*75%*O19</f>
        <v>1070.5384999999999</v>
      </c>
      <c r="U19" s="42">
        <f>S19+T19</f>
        <v>1070.5384999999999</v>
      </c>
      <c r="V19" s="42">
        <f>K19*(M19+O19+L19+N19)*100%</f>
        <v>1427.3846666666666</v>
      </c>
    </row>
    <row r="20" spans="1:22" x14ac:dyDescent="0.25">
      <c r="A20" s="90">
        <v>1378</v>
      </c>
      <c r="B20" s="8" t="s">
        <v>226</v>
      </c>
      <c r="C20" s="65" t="s">
        <v>227</v>
      </c>
      <c r="D20" s="75" t="s">
        <v>52</v>
      </c>
      <c r="E20" s="55" t="s">
        <v>22</v>
      </c>
      <c r="F20" s="12">
        <v>45698</v>
      </c>
      <c r="G20" s="143">
        <v>45971</v>
      </c>
      <c r="H20" s="12" t="s">
        <v>760</v>
      </c>
      <c r="I20" s="208">
        <v>1381.5</v>
      </c>
      <c r="J20" s="1">
        <v>30</v>
      </c>
      <c r="K20" s="2">
        <f>I20/J20</f>
        <v>46.05</v>
      </c>
      <c r="L20" s="1">
        <v>0</v>
      </c>
      <c r="M20" s="1">
        <v>0</v>
      </c>
      <c r="N20" s="1">
        <v>0</v>
      </c>
      <c r="O20" s="1">
        <v>31</v>
      </c>
      <c r="P20" s="192">
        <f t="shared" ref="P20:P33" si="1">L20+M20+N20+O20</f>
        <v>31</v>
      </c>
      <c r="Q20" s="42">
        <f>K20*50%*L20</f>
        <v>0</v>
      </c>
      <c r="R20" s="42">
        <f>K20*60%*M20</f>
        <v>0</v>
      </c>
      <c r="S20" s="42">
        <f>K20*60%*N20</f>
        <v>0</v>
      </c>
      <c r="T20" s="42">
        <f>K20*75%*O20</f>
        <v>1070.6624999999999</v>
      </c>
      <c r="U20" s="42">
        <f>S20+T20</f>
        <v>1070.6624999999999</v>
      </c>
      <c r="V20" s="42">
        <f>K20*(M20+O20+L20+N20)*100%</f>
        <v>1427.55</v>
      </c>
    </row>
    <row r="21" spans="1:22" x14ac:dyDescent="0.25">
      <c r="A21" s="193" t="s">
        <v>633</v>
      </c>
      <c r="B21" s="177"/>
      <c r="C21" s="178"/>
      <c r="D21" s="179"/>
      <c r="E21" s="180"/>
      <c r="F21" s="194"/>
      <c r="G21" s="181"/>
      <c r="H21" s="194"/>
      <c r="I21" s="220"/>
      <c r="J21" s="183"/>
      <c r="K21" s="184"/>
      <c r="L21" s="183"/>
      <c r="M21" s="183"/>
      <c r="N21" s="183"/>
      <c r="O21" s="183"/>
      <c r="P21" s="192">
        <f>L21+M21+N21+O21</f>
        <v>0</v>
      </c>
      <c r="Q21" s="182"/>
      <c r="R21" s="182"/>
      <c r="S21" s="182"/>
      <c r="T21" s="182"/>
      <c r="U21" s="182"/>
      <c r="V21" s="182"/>
    </row>
    <row r="22" spans="1:22" x14ac:dyDescent="0.25">
      <c r="A22" s="90">
        <v>1378</v>
      </c>
      <c r="B22" s="8" t="s">
        <v>738</v>
      </c>
      <c r="C22" s="65" t="s">
        <v>739</v>
      </c>
      <c r="D22" s="75" t="s">
        <v>537</v>
      </c>
      <c r="E22" s="55" t="s">
        <v>22</v>
      </c>
      <c r="F22" s="12">
        <v>45938</v>
      </c>
      <c r="G22" s="143">
        <v>45966</v>
      </c>
      <c r="H22" s="12" t="s">
        <v>750</v>
      </c>
      <c r="I22" s="208">
        <v>1381.34</v>
      </c>
      <c r="J22" s="1">
        <v>30</v>
      </c>
      <c r="K22" s="2">
        <f>I22/J22</f>
        <v>46.044666666666664</v>
      </c>
      <c r="L22" s="1">
        <v>3</v>
      </c>
      <c r="M22" s="1">
        <v>12</v>
      </c>
      <c r="N22" s="1">
        <v>5</v>
      </c>
      <c r="O22" s="1">
        <v>4</v>
      </c>
      <c r="P22" s="192">
        <f>L22+M22+N22+O22</f>
        <v>24</v>
      </c>
      <c r="Q22" s="42">
        <f>K22*50%*L22</f>
        <v>69.066999999999993</v>
      </c>
      <c r="R22" s="42">
        <f>K22*60%*M22</f>
        <v>331.52159999999998</v>
      </c>
      <c r="S22" s="42">
        <f>K22*60%*N22</f>
        <v>138.13399999999999</v>
      </c>
      <c r="T22" s="42">
        <f>K22*75%*O22</f>
        <v>138.13399999999999</v>
      </c>
      <c r="U22" s="42">
        <f>S22+T22</f>
        <v>276.26799999999997</v>
      </c>
      <c r="V22" s="42">
        <f>K22*(M22+O22+L22+N22)*100%</f>
        <v>1105.0719999999999</v>
      </c>
    </row>
    <row r="23" spans="1:22" x14ac:dyDescent="0.25">
      <c r="A23" s="90">
        <v>1378</v>
      </c>
      <c r="B23" s="8" t="s">
        <v>69</v>
      </c>
      <c r="C23" s="65" t="s">
        <v>70</v>
      </c>
      <c r="D23" s="75" t="s">
        <v>50</v>
      </c>
      <c r="E23" s="55" t="s">
        <v>22</v>
      </c>
      <c r="F23" s="12">
        <v>45916</v>
      </c>
      <c r="G23" s="143"/>
      <c r="H23" s="203">
        <v>45937</v>
      </c>
      <c r="I23" s="208">
        <v>1381.2</v>
      </c>
      <c r="J23" s="1">
        <v>30</v>
      </c>
      <c r="K23" s="2">
        <f>I23/J23</f>
        <v>46.04</v>
      </c>
      <c r="L23" s="1">
        <v>0</v>
      </c>
      <c r="M23" s="1">
        <v>0</v>
      </c>
      <c r="N23" s="1">
        <v>5</v>
      </c>
      <c r="O23" s="1">
        <v>2</v>
      </c>
      <c r="P23" s="192">
        <f>L23+M23+N23+O23</f>
        <v>7</v>
      </c>
      <c r="Q23" s="42">
        <f>K23*50%*L23</f>
        <v>0</v>
      </c>
      <c r="R23" s="42">
        <f>K23*60%*M23</f>
        <v>0</v>
      </c>
      <c r="S23" s="42">
        <f>K23*60%*N23</f>
        <v>138.12</v>
      </c>
      <c r="T23" s="42">
        <f>K23*75%*O23</f>
        <v>69.06</v>
      </c>
      <c r="U23" s="42">
        <f>S23+T23</f>
        <v>207.18</v>
      </c>
      <c r="V23" s="42">
        <f>K23*(M23+O23+L23+N23)*100%</f>
        <v>322.27999999999997</v>
      </c>
    </row>
    <row r="24" spans="1:22" x14ac:dyDescent="0.25">
      <c r="A24" s="90">
        <v>1378</v>
      </c>
      <c r="B24" s="8" t="s">
        <v>321</v>
      </c>
      <c r="C24" s="65" t="s">
        <v>322</v>
      </c>
      <c r="D24" s="75" t="s">
        <v>50</v>
      </c>
      <c r="E24" s="55" t="s">
        <v>22</v>
      </c>
      <c r="F24" s="12">
        <v>45743</v>
      </c>
      <c r="G24" s="143">
        <v>45974</v>
      </c>
      <c r="H24" s="12" t="s">
        <v>773</v>
      </c>
      <c r="I24" s="208">
        <v>1381.5</v>
      </c>
      <c r="J24" s="1">
        <v>30</v>
      </c>
      <c r="K24" s="2">
        <f>I24/J24</f>
        <v>46.05</v>
      </c>
      <c r="L24" s="1">
        <v>0</v>
      </c>
      <c r="M24" s="1">
        <v>0</v>
      </c>
      <c r="N24" s="1">
        <v>0</v>
      </c>
      <c r="O24" s="1">
        <v>31</v>
      </c>
      <c r="P24" s="192">
        <f t="shared" si="1"/>
        <v>31</v>
      </c>
      <c r="Q24" s="42">
        <f>K24*50%*L24</f>
        <v>0</v>
      </c>
      <c r="R24" s="42">
        <f>K24*60%*M24</f>
        <v>0</v>
      </c>
      <c r="S24" s="42">
        <f>K24*60%*N24</f>
        <v>0</v>
      </c>
      <c r="T24" s="42">
        <f>K24*75%*O24</f>
        <v>1070.6624999999999</v>
      </c>
      <c r="U24" s="42">
        <f>S24+T24</f>
        <v>1070.6624999999999</v>
      </c>
      <c r="V24" s="42">
        <f>K24*(M24+O24+L24+N24)*100%</f>
        <v>1427.55</v>
      </c>
    </row>
    <row r="25" spans="1:22" x14ac:dyDescent="0.25">
      <c r="A25" s="193" t="s">
        <v>634</v>
      </c>
      <c r="B25" s="177"/>
      <c r="C25" s="178"/>
      <c r="D25" s="179"/>
      <c r="E25" s="180"/>
      <c r="F25" s="194"/>
      <c r="G25" s="181"/>
      <c r="H25" s="194"/>
      <c r="I25" s="182"/>
      <c r="J25" s="183"/>
      <c r="K25" s="184"/>
      <c r="L25" s="183"/>
      <c r="M25" s="183"/>
      <c r="N25" s="183"/>
      <c r="O25" s="183"/>
      <c r="P25" s="192">
        <f t="shared" si="1"/>
        <v>0</v>
      </c>
      <c r="Q25" s="182"/>
      <c r="R25" s="182"/>
      <c r="S25" s="182"/>
      <c r="T25" s="182"/>
      <c r="U25" s="182"/>
      <c r="V25" s="182"/>
    </row>
    <row r="26" spans="1:22" x14ac:dyDescent="0.25">
      <c r="A26" s="90">
        <v>1378</v>
      </c>
      <c r="B26" s="8" t="s">
        <v>124</v>
      </c>
      <c r="C26" s="65" t="s">
        <v>68</v>
      </c>
      <c r="D26" s="75" t="s">
        <v>50</v>
      </c>
      <c r="E26" s="55" t="s">
        <v>22</v>
      </c>
      <c r="F26" s="12">
        <v>45608</v>
      </c>
      <c r="G26" s="143">
        <v>45958</v>
      </c>
      <c r="H26" s="12" t="s">
        <v>710</v>
      </c>
      <c r="I26" s="186">
        <v>1323</v>
      </c>
      <c r="J26" s="1">
        <v>30</v>
      </c>
      <c r="K26" s="2">
        <f>I26/J26</f>
        <v>44.1</v>
      </c>
      <c r="L26" s="1">
        <v>0</v>
      </c>
      <c r="M26" s="1">
        <v>0</v>
      </c>
      <c r="N26" s="1">
        <v>0</v>
      </c>
      <c r="O26" s="1">
        <v>31</v>
      </c>
      <c r="P26" s="192">
        <f t="shared" si="1"/>
        <v>31</v>
      </c>
      <c r="Q26" s="42">
        <f>K26*50%*L26</f>
        <v>0</v>
      </c>
      <c r="R26" s="42">
        <f>K26*60%*M26</f>
        <v>0</v>
      </c>
      <c r="S26" s="42">
        <f>K26*60%*N26</f>
        <v>0</v>
      </c>
      <c r="T26" s="42">
        <f>K26*75%*O26</f>
        <v>1025.325</v>
      </c>
      <c r="U26" s="42">
        <f>S26+T26</f>
        <v>1025.325</v>
      </c>
      <c r="V26" s="42">
        <f>K26*(M26+O26+L26+N26)*100%</f>
        <v>1367.1000000000001</v>
      </c>
    </row>
    <row r="27" spans="1:22" ht="14.25" customHeight="1" x14ac:dyDescent="0.25">
      <c r="A27" s="90">
        <v>1378</v>
      </c>
      <c r="B27" s="8" t="s">
        <v>294</v>
      </c>
      <c r="C27" s="65" t="s">
        <v>561</v>
      </c>
      <c r="D27" s="75" t="s">
        <v>50</v>
      </c>
      <c r="E27" s="55" t="s">
        <v>22</v>
      </c>
      <c r="F27" s="12">
        <v>45930</v>
      </c>
      <c r="G27" s="143">
        <v>45951</v>
      </c>
      <c r="H27" s="12" t="s">
        <v>762</v>
      </c>
      <c r="I27" s="208">
        <v>1381.2</v>
      </c>
      <c r="J27" s="1">
        <v>30</v>
      </c>
      <c r="K27" s="2">
        <f>I27/J27</f>
        <v>46.04</v>
      </c>
      <c r="L27" s="1">
        <v>2</v>
      </c>
      <c r="M27" s="1">
        <v>12</v>
      </c>
      <c r="N27" s="1">
        <v>5</v>
      </c>
      <c r="O27" s="1">
        <v>12</v>
      </c>
      <c r="P27" s="192">
        <f>L27+M27+N27+O27</f>
        <v>31</v>
      </c>
      <c r="Q27" s="42">
        <f>K27*50%*L27</f>
        <v>46.04</v>
      </c>
      <c r="R27" s="42">
        <f>K27*60%*M27</f>
        <v>331.488</v>
      </c>
      <c r="S27" s="42">
        <f>K27*60%*N27</f>
        <v>138.12</v>
      </c>
      <c r="T27" s="42">
        <f>K27*75%*O27</f>
        <v>414.36</v>
      </c>
      <c r="U27" s="42">
        <f>S27+T27</f>
        <v>552.48</v>
      </c>
      <c r="V27" s="42">
        <f>K27*(M27+O27+L27+N27)*100%</f>
        <v>1427.24</v>
      </c>
    </row>
    <row r="28" spans="1:22" ht="14.25" customHeight="1" x14ac:dyDescent="0.25">
      <c r="A28" s="90">
        <v>1378</v>
      </c>
      <c r="B28" s="8" t="s">
        <v>115</v>
      </c>
      <c r="C28" s="65" t="s">
        <v>116</v>
      </c>
      <c r="D28" s="75" t="s">
        <v>52</v>
      </c>
      <c r="E28" s="55" t="s">
        <v>22</v>
      </c>
      <c r="F28" s="12">
        <v>45618</v>
      </c>
      <c r="G28" s="143">
        <v>45959</v>
      </c>
      <c r="H28" s="12" t="s">
        <v>740</v>
      </c>
      <c r="I28" s="186">
        <v>1323</v>
      </c>
      <c r="J28" s="1">
        <v>30</v>
      </c>
      <c r="K28" s="2">
        <f>I28/J28</f>
        <v>44.1</v>
      </c>
      <c r="L28" s="1">
        <v>0</v>
      </c>
      <c r="M28" s="1">
        <v>0</v>
      </c>
      <c r="N28" s="1">
        <v>0</v>
      </c>
      <c r="O28" s="1">
        <v>31</v>
      </c>
      <c r="P28" s="192">
        <f t="shared" si="1"/>
        <v>31</v>
      </c>
      <c r="Q28" s="42">
        <f>K28*50%*L28</f>
        <v>0</v>
      </c>
      <c r="R28" s="42">
        <f>K28*60%*M28</f>
        <v>0</v>
      </c>
      <c r="S28" s="42">
        <f>K28*60%*N28</f>
        <v>0</v>
      </c>
      <c r="T28" s="42">
        <f>K28*75%*O28</f>
        <v>1025.325</v>
      </c>
      <c r="U28" s="42">
        <f>S28+T28</f>
        <v>1025.325</v>
      </c>
      <c r="V28" s="42">
        <f>K28*(M28+O28+L28+N28)*100%</f>
        <v>1367.1000000000001</v>
      </c>
    </row>
    <row r="29" spans="1:22" x14ac:dyDescent="0.25">
      <c r="A29" s="193" t="s">
        <v>767</v>
      </c>
      <c r="B29" s="177"/>
      <c r="C29" s="178"/>
      <c r="D29" s="179"/>
      <c r="E29" s="180"/>
      <c r="F29" s="194"/>
      <c r="G29" s="181"/>
      <c r="H29" s="194"/>
      <c r="I29" s="182"/>
      <c r="J29" s="183"/>
      <c r="K29" s="184"/>
      <c r="L29" s="183"/>
      <c r="M29" s="183"/>
      <c r="N29" s="183"/>
      <c r="O29" s="183"/>
      <c r="P29" s="192">
        <f t="shared" si="1"/>
        <v>0</v>
      </c>
      <c r="Q29" s="182"/>
      <c r="R29" s="182"/>
      <c r="S29" s="182"/>
      <c r="T29" s="182"/>
      <c r="U29" s="182"/>
      <c r="V29" s="182"/>
    </row>
    <row r="30" spans="1:22" ht="14.25" customHeight="1" x14ac:dyDescent="0.25">
      <c r="A30" s="90">
        <v>1378</v>
      </c>
      <c r="B30" s="8" t="s">
        <v>748</v>
      </c>
      <c r="C30" s="65" t="s">
        <v>749</v>
      </c>
      <c r="D30" s="75" t="s">
        <v>52</v>
      </c>
      <c r="E30" s="55" t="s">
        <v>22</v>
      </c>
      <c r="F30" s="12">
        <v>45943</v>
      </c>
      <c r="G30" s="143"/>
      <c r="H30" s="12"/>
      <c r="I30" s="208">
        <v>1381.34</v>
      </c>
      <c r="J30" s="1">
        <v>30</v>
      </c>
      <c r="K30" s="2">
        <f>I30/J30</f>
        <v>46.044666666666664</v>
      </c>
      <c r="L30" s="1">
        <v>3</v>
      </c>
      <c r="M30" s="1">
        <v>12</v>
      </c>
      <c r="N30" s="1">
        <v>4</v>
      </c>
      <c r="O30" s="1">
        <v>0</v>
      </c>
      <c r="P30" s="192">
        <f>L30+M30+N30+O30</f>
        <v>19</v>
      </c>
      <c r="Q30" s="42">
        <f>K30*50%*L30</f>
        <v>69.066999999999993</v>
      </c>
      <c r="R30" s="42">
        <f>K30*60%*M30</f>
        <v>331.52159999999998</v>
      </c>
      <c r="S30" s="42">
        <f>K30*60%*N30</f>
        <v>110.5072</v>
      </c>
      <c r="T30" s="42">
        <f>K30*75%*O30</f>
        <v>0</v>
      </c>
      <c r="U30" s="42">
        <f>S30+T30</f>
        <v>110.5072</v>
      </c>
      <c r="V30" s="42">
        <f>K30*(M30+O30+L30+N30)*100%</f>
        <v>874.84866666666665</v>
      </c>
    </row>
    <row r="31" spans="1:22" x14ac:dyDescent="0.25">
      <c r="A31" s="193" t="s">
        <v>768</v>
      </c>
      <c r="B31" s="177"/>
      <c r="C31" s="178"/>
      <c r="D31" s="179"/>
      <c r="E31" s="180"/>
      <c r="F31" s="194"/>
      <c r="G31" s="181"/>
      <c r="H31" s="194"/>
      <c r="I31" s="220" t="s">
        <v>769</v>
      </c>
      <c r="J31" s="183"/>
      <c r="K31" s="184"/>
      <c r="L31" s="183"/>
      <c r="M31" s="183"/>
      <c r="N31" s="183"/>
      <c r="O31" s="183"/>
      <c r="P31" s="192">
        <f>L31+M31+N31+O31</f>
        <v>0</v>
      </c>
      <c r="Q31" s="182"/>
      <c r="R31" s="182"/>
      <c r="S31" s="182"/>
      <c r="T31" s="182"/>
      <c r="U31" s="182"/>
      <c r="V31" s="182"/>
    </row>
    <row r="32" spans="1:22" x14ac:dyDescent="0.25">
      <c r="A32" s="195">
        <v>1378</v>
      </c>
      <c r="B32" s="9" t="s">
        <v>23</v>
      </c>
      <c r="C32" s="51">
        <v>38102537361</v>
      </c>
      <c r="D32" s="56"/>
      <c r="E32" s="56"/>
      <c r="F32" s="142"/>
      <c r="G32" s="142"/>
      <c r="H32" s="52"/>
      <c r="I32" s="53"/>
      <c r="J32" s="52"/>
      <c r="K32" s="53"/>
      <c r="L32" s="52"/>
      <c r="M32" s="52"/>
      <c r="N32" s="52"/>
      <c r="O32" s="52"/>
      <c r="P32" s="192">
        <f t="shared" si="1"/>
        <v>0</v>
      </c>
      <c r="Q32" s="10"/>
      <c r="R32" s="10"/>
      <c r="S32" s="10"/>
      <c r="T32" s="10"/>
      <c r="U32" s="11">
        <f>SUM(U16:U31)</f>
        <v>6726.656899999999</v>
      </c>
      <c r="V32" s="10"/>
    </row>
    <row r="33" spans="1:22" x14ac:dyDescent="0.25">
      <c r="A33" s="187">
        <v>1481</v>
      </c>
      <c r="B33" s="44" t="s">
        <v>551</v>
      </c>
      <c r="C33" s="65" t="s">
        <v>552</v>
      </c>
      <c r="D33" s="75" t="s">
        <v>52</v>
      </c>
      <c r="E33" s="55" t="s">
        <v>22</v>
      </c>
      <c r="F33" s="12">
        <v>45944</v>
      </c>
      <c r="G33" s="143"/>
      <c r="H33" s="203"/>
      <c r="I33" s="42">
        <v>1701.2</v>
      </c>
      <c r="J33" s="1">
        <v>30</v>
      </c>
      <c r="K33" s="2">
        <f>I33/J33</f>
        <v>56.706666666666671</v>
      </c>
      <c r="L33" s="1">
        <v>3</v>
      </c>
      <c r="M33" s="1">
        <v>12</v>
      </c>
      <c r="N33" s="1">
        <v>3</v>
      </c>
      <c r="O33" s="1">
        <v>0</v>
      </c>
      <c r="P33" s="192">
        <f t="shared" si="1"/>
        <v>18</v>
      </c>
      <c r="Q33" s="42">
        <f>K33*50%*L33</f>
        <v>85.06</v>
      </c>
      <c r="R33" s="42">
        <f>K33*60%*M33</f>
        <v>408.28800000000001</v>
      </c>
      <c r="S33" s="42">
        <f>K33*60%*N33</f>
        <v>102.072</v>
      </c>
      <c r="T33" s="42">
        <f>K33*75%*O33</f>
        <v>0</v>
      </c>
      <c r="U33" s="42">
        <f>S33+T33</f>
        <v>102.072</v>
      </c>
      <c r="V33" s="42">
        <f>K33*(M33+O33+L33+N33)*100%</f>
        <v>1020.72</v>
      </c>
    </row>
    <row r="34" spans="1:22" x14ac:dyDescent="0.25">
      <c r="A34" s="195">
        <v>1481</v>
      </c>
      <c r="B34" s="9" t="s">
        <v>550</v>
      </c>
      <c r="C34" s="51"/>
      <c r="D34" s="56"/>
      <c r="E34" s="56"/>
      <c r="F34" s="142"/>
      <c r="G34" s="142"/>
      <c r="H34" s="52"/>
      <c r="I34" s="53"/>
      <c r="J34" s="52"/>
      <c r="K34" s="53"/>
      <c r="L34" s="52"/>
      <c r="M34" s="52"/>
      <c r="N34" s="52"/>
      <c r="O34" s="52"/>
      <c r="P34" s="192"/>
      <c r="Q34" s="10"/>
      <c r="R34" s="10"/>
      <c r="S34" s="10"/>
      <c r="T34" s="10"/>
      <c r="U34" s="11">
        <f>SUM(U33)</f>
        <v>102.072</v>
      </c>
      <c r="V34" s="10"/>
    </row>
    <row r="35" spans="1:22" x14ac:dyDescent="0.25">
      <c r="A35" s="279">
        <v>1628</v>
      </c>
      <c r="B35" s="280" t="s">
        <v>105</v>
      </c>
      <c r="C35" s="281" t="s">
        <v>106</v>
      </c>
      <c r="D35" s="282" t="s">
        <v>52</v>
      </c>
      <c r="E35" s="282" t="s">
        <v>22</v>
      </c>
      <c r="F35" s="283">
        <v>45536</v>
      </c>
      <c r="G35" s="284">
        <v>46060</v>
      </c>
      <c r="H35" s="283" t="s">
        <v>754</v>
      </c>
      <c r="I35" s="285">
        <v>1500</v>
      </c>
      <c r="J35" s="286">
        <v>30</v>
      </c>
      <c r="K35" s="287">
        <f>I35/J35</f>
        <v>50</v>
      </c>
      <c r="L35" s="286">
        <v>0</v>
      </c>
      <c r="M35" s="286">
        <v>0</v>
      </c>
      <c r="N35" s="286">
        <v>0</v>
      </c>
      <c r="O35" s="286">
        <v>31</v>
      </c>
      <c r="P35" s="288">
        <f t="shared" ref="P35:P45" si="2">L35+M35+N35+O35</f>
        <v>31</v>
      </c>
      <c r="Q35" s="285">
        <f>K35*50%*L35</f>
        <v>0</v>
      </c>
      <c r="R35" s="285">
        <f>K35*60%*M35</f>
        <v>0</v>
      </c>
      <c r="S35" s="285">
        <f>K35*60%*N35</f>
        <v>0</v>
      </c>
      <c r="T35" s="285">
        <f>K35*75%*O35</f>
        <v>1162.5</v>
      </c>
      <c r="U35" s="285">
        <f>S35+T35</f>
        <v>1162.5</v>
      </c>
      <c r="V35" s="285">
        <f>K35*(M35+O35+L35+N35)*100%</f>
        <v>1550</v>
      </c>
    </row>
    <row r="36" spans="1:22" ht="14.1" customHeight="1" x14ac:dyDescent="0.25">
      <c r="A36" s="195">
        <v>1628</v>
      </c>
      <c r="B36" s="9" t="s">
        <v>104</v>
      </c>
      <c r="C36" s="51"/>
      <c r="D36" s="56"/>
      <c r="E36" s="56"/>
      <c r="F36" s="142"/>
      <c r="G36" s="142"/>
      <c r="H36" s="52"/>
      <c r="I36" s="53"/>
      <c r="J36" s="52"/>
      <c r="K36" s="53"/>
      <c r="L36" s="52"/>
      <c r="M36" s="52"/>
      <c r="N36" s="52"/>
      <c r="O36" s="52"/>
      <c r="P36" s="192">
        <f t="shared" si="2"/>
        <v>0</v>
      </c>
      <c r="Q36" s="10"/>
      <c r="R36" s="10"/>
      <c r="S36" s="10"/>
      <c r="T36" s="10"/>
      <c r="U36" s="11">
        <f>SUM(U35:U35)</f>
        <v>1162.5</v>
      </c>
      <c r="V36" s="10"/>
    </row>
    <row r="37" spans="1:22" ht="14.25" customHeight="1" x14ac:dyDescent="0.25">
      <c r="A37" s="90">
        <v>1846</v>
      </c>
      <c r="B37" s="8" t="s">
        <v>139</v>
      </c>
      <c r="C37" s="65" t="s">
        <v>140</v>
      </c>
      <c r="D37" s="75" t="s">
        <v>51</v>
      </c>
      <c r="E37" s="55" t="s">
        <v>22</v>
      </c>
      <c r="F37" s="12">
        <v>45659</v>
      </c>
      <c r="G37" s="143">
        <v>45974</v>
      </c>
      <c r="H37" s="12" t="s">
        <v>774</v>
      </c>
      <c r="I37" s="186">
        <v>2108.3200000000002</v>
      </c>
      <c r="J37" s="1">
        <v>92</v>
      </c>
      <c r="K37" s="2">
        <f>I37/J37</f>
        <v>22.916521739130438</v>
      </c>
      <c r="L37" s="1">
        <v>0</v>
      </c>
      <c r="M37" s="1">
        <v>0</v>
      </c>
      <c r="N37" s="1">
        <v>0</v>
      </c>
      <c r="O37" s="1">
        <v>31</v>
      </c>
      <c r="P37" s="192">
        <f t="shared" si="2"/>
        <v>31</v>
      </c>
      <c r="Q37" s="42">
        <f>K37*50%*L37</f>
        <v>0</v>
      </c>
      <c r="R37" s="42">
        <f>K37*60%*M37</f>
        <v>0</v>
      </c>
      <c r="S37" s="42">
        <f>K37*60%*N37</f>
        <v>0</v>
      </c>
      <c r="T37" s="42">
        <f>K37*75%*O37</f>
        <v>532.80913043478267</v>
      </c>
      <c r="U37" s="42">
        <f>S37+T37</f>
        <v>532.80913043478267</v>
      </c>
      <c r="V37" s="42">
        <f>K37*(M37+O37+L37+N37)*100%</f>
        <v>710.4121739130436</v>
      </c>
    </row>
    <row r="38" spans="1:22" ht="14.25" customHeight="1" x14ac:dyDescent="0.25">
      <c r="A38" s="90">
        <v>1846</v>
      </c>
      <c r="B38" s="8" t="s">
        <v>726</v>
      </c>
      <c r="C38" s="65" t="s">
        <v>727</v>
      </c>
      <c r="D38" s="75" t="s">
        <v>50</v>
      </c>
      <c r="E38" s="55" t="s">
        <v>22</v>
      </c>
      <c r="F38" s="12">
        <v>45932</v>
      </c>
      <c r="G38" s="143">
        <v>45974</v>
      </c>
      <c r="H38" s="12" t="s">
        <v>775</v>
      </c>
      <c r="I38" s="1">
        <v>1546.07</v>
      </c>
      <c r="J38" s="1">
        <v>30</v>
      </c>
      <c r="K38" s="2">
        <f>I38/J38</f>
        <v>51.535666666666664</v>
      </c>
      <c r="L38" s="1">
        <v>3</v>
      </c>
      <c r="M38" s="1">
        <v>12</v>
      </c>
      <c r="N38" s="1">
        <v>5</v>
      </c>
      <c r="O38" s="1">
        <v>10</v>
      </c>
      <c r="P38" s="192">
        <f>L38+M38+N38+O38</f>
        <v>30</v>
      </c>
      <c r="Q38" s="42">
        <f>K38*50%*L38</f>
        <v>77.3035</v>
      </c>
      <c r="R38" s="42">
        <f>K38*60%*M38</f>
        <v>371.05679999999995</v>
      </c>
      <c r="S38" s="42">
        <f>K38*60%*N38</f>
        <v>154.607</v>
      </c>
      <c r="T38" s="42">
        <f>K38*75%*O38</f>
        <v>386.51749999999998</v>
      </c>
      <c r="U38" s="42">
        <f>S38+T38</f>
        <v>541.12450000000001</v>
      </c>
      <c r="V38" s="42">
        <f>K38*(M38+O38+L38+N38)*100%</f>
        <v>1546.07</v>
      </c>
    </row>
    <row r="39" spans="1:22" ht="14.1" customHeight="1" x14ac:dyDescent="0.25">
      <c r="A39" s="195">
        <v>1846</v>
      </c>
      <c r="B39" s="9" t="s">
        <v>138</v>
      </c>
      <c r="C39" s="51">
        <v>38120237336</v>
      </c>
      <c r="D39" s="56"/>
      <c r="E39" s="56"/>
      <c r="F39" s="142"/>
      <c r="G39" s="142"/>
      <c r="H39" s="52"/>
      <c r="I39" s="53"/>
      <c r="J39" s="52"/>
      <c r="K39" s="53"/>
      <c r="L39" s="52"/>
      <c r="M39" s="52"/>
      <c r="N39" s="52"/>
      <c r="O39" s="52"/>
      <c r="P39" s="192">
        <f t="shared" si="2"/>
        <v>0</v>
      </c>
      <c r="Q39" s="10"/>
      <c r="R39" s="10"/>
      <c r="S39" s="10"/>
      <c r="T39" s="10"/>
      <c r="U39" s="11">
        <f>SUM(U37:U38)</f>
        <v>1073.9336304347826</v>
      </c>
      <c r="V39" s="10"/>
    </row>
    <row r="40" spans="1:22" x14ac:dyDescent="0.25">
      <c r="A40" s="187">
        <v>1903</v>
      </c>
      <c r="B40" s="44" t="s">
        <v>780</v>
      </c>
      <c r="C40" s="65" t="s">
        <v>781</v>
      </c>
      <c r="D40" s="75" t="s">
        <v>52</v>
      </c>
      <c r="E40" s="55" t="s">
        <v>22</v>
      </c>
      <c r="F40" s="12">
        <v>45954</v>
      </c>
      <c r="G40" s="143"/>
      <c r="H40" s="12"/>
      <c r="I40" s="1">
        <v>1381.34</v>
      </c>
      <c r="J40" s="1">
        <v>89</v>
      </c>
      <c r="K40" s="2">
        <f>I40/J40</f>
        <v>15.52067415730337</v>
      </c>
      <c r="L40" s="1">
        <v>3</v>
      </c>
      <c r="M40" s="1">
        <v>5</v>
      </c>
      <c r="N40" s="1">
        <v>0</v>
      </c>
      <c r="O40" s="1">
        <v>0</v>
      </c>
      <c r="P40" s="192">
        <f t="shared" ref="P40" si="3">L40+M40+N40+O40</f>
        <v>8</v>
      </c>
      <c r="Q40" s="42">
        <f>K40*50%*L40</f>
        <v>23.281011235955056</v>
      </c>
      <c r="R40" s="42">
        <f>K40*60%*M40</f>
        <v>46.562022471910112</v>
      </c>
      <c r="S40" s="42">
        <f>K40*60%*N40</f>
        <v>0</v>
      </c>
      <c r="T40" s="42">
        <f>K40*75%*O40</f>
        <v>0</v>
      </c>
      <c r="U40" s="42">
        <f>S40+T40</f>
        <v>0</v>
      </c>
      <c r="V40" s="42">
        <f>K40*(M40+O40+L40+N40)*100%</f>
        <v>124.16539325842696</v>
      </c>
    </row>
    <row r="41" spans="1:22" x14ac:dyDescent="0.25">
      <c r="A41" s="187">
        <v>1903</v>
      </c>
      <c r="B41" s="44" t="s">
        <v>447</v>
      </c>
      <c r="C41" s="65" t="s">
        <v>448</v>
      </c>
      <c r="D41" s="75" t="s">
        <v>51</v>
      </c>
      <c r="E41" s="55" t="s">
        <v>22</v>
      </c>
      <c r="F41" s="12">
        <v>45813</v>
      </c>
      <c r="G41" s="143">
        <v>45967</v>
      </c>
      <c r="H41" s="12" t="s">
        <v>756</v>
      </c>
      <c r="I41" s="1">
        <v>3755.95</v>
      </c>
      <c r="J41" s="1">
        <v>89</v>
      </c>
      <c r="K41" s="2">
        <f>I41/J41</f>
        <v>42.201685393258423</v>
      </c>
      <c r="L41" s="1">
        <v>0</v>
      </c>
      <c r="M41" s="1">
        <v>0</v>
      </c>
      <c r="N41" s="1">
        <v>0</v>
      </c>
      <c r="O41" s="1">
        <v>31</v>
      </c>
      <c r="P41" s="192">
        <f t="shared" si="2"/>
        <v>31</v>
      </c>
      <c r="Q41" s="42">
        <f>K41*50%*L41</f>
        <v>0</v>
      </c>
      <c r="R41" s="42">
        <f>K41*60%*M41</f>
        <v>0</v>
      </c>
      <c r="S41" s="42">
        <f>K41*60%*N41</f>
        <v>0</v>
      </c>
      <c r="T41" s="42">
        <f>K41*75%*O41</f>
        <v>981.1891853932583</v>
      </c>
      <c r="U41" s="42">
        <f>S41+T41</f>
        <v>981.1891853932583</v>
      </c>
      <c r="V41" s="42">
        <f>K41*(M41+O41+L41+N41)*100%</f>
        <v>1308.2522471910111</v>
      </c>
    </row>
    <row r="42" spans="1:22" x14ac:dyDescent="0.25">
      <c r="A42" s="187">
        <v>1903</v>
      </c>
      <c r="B42" s="44" t="s">
        <v>190</v>
      </c>
      <c r="C42" s="65" t="s">
        <v>191</v>
      </c>
      <c r="D42" s="75" t="s">
        <v>51</v>
      </c>
      <c r="E42" s="55" t="s">
        <v>22</v>
      </c>
      <c r="F42" s="12">
        <v>45685</v>
      </c>
      <c r="G42" s="143">
        <v>45971</v>
      </c>
      <c r="H42" s="12" t="s">
        <v>758</v>
      </c>
      <c r="I42" s="218">
        <v>669.48</v>
      </c>
      <c r="J42" s="1">
        <v>31</v>
      </c>
      <c r="K42" s="2">
        <f>I42/J42</f>
        <v>21.596129032258066</v>
      </c>
      <c r="L42" s="1">
        <v>0</v>
      </c>
      <c r="M42" s="1">
        <v>0</v>
      </c>
      <c r="N42" s="1">
        <v>0</v>
      </c>
      <c r="O42" s="1">
        <v>31</v>
      </c>
      <c r="P42" s="192">
        <f t="shared" si="2"/>
        <v>31</v>
      </c>
      <c r="Q42" s="42">
        <f>K42*50%*L42</f>
        <v>0</v>
      </c>
      <c r="R42" s="42">
        <f>K42*60%*M42</f>
        <v>0</v>
      </c>
      <c r="S42" s="42">
        <f>K42*60%*N42</f>
        <v>0</v>
      </c>
      <c r="T42" s="42">
        <f>K42*75%*O42</f>
        <v>502.11000000000007</v>
      </c>
      <c r="U42" s="42">
        <f>S42+T42</f>
        <v>502.11000000000007</v>
      </c>
      <c r="V42" s="42">
        <f>K42*(M42+O42+L42+N42)*100%</f>
        <v>669.48</v>
      </c>
    </row>
    <row r="43" spans="1:22" x14ac:dyDescent="0.25">
      <c r="A43" s="193" t="s">
        <v>639</v>
      </c>
      <c r="B43" s="177"/>
      <c r="C43" s="178"/>
      <c r="D43" s="179"/>
      <c r="E43" s="180"/>
      <c r="F43" s="194"/>
      <c r="G43" s="181"/>
      <c r="H43" s="194"/>
      <c r="I43" s="182"/>
      <c r="J43" s="183"/>
      <c r="K43" s="184"/>
      <c r="L43" s="183"/>
      <c r="M43" s="183"/>
      <c r="N43" s="183"/>
      <c r="O43" s="183"/>
      <c r="P43" s="192">
        <f t="shared" si="2"/>
        <v>0</v>
      </c>
      <c r="Q43" s="182"/>
      <c r="R43" s="182"/>
      <c r="S43" s="182"/>
      <c r="T43" s="182"/>
      <c r="U43" s="182"/>
      <c r="V43" s="182"/>
    </row>
    <row r="44" spans="1:22" x14ac:dyDescent="0.25">
      <c r="A44" s="195">
        <v>1903</v>
      </c>
      <c r="B44" s="9" t="s">
        <v>143</v>
      </c>
      <c r="C44" s="51"/>
      <c r="D44" s="56"/>
      <c r="E44" s="56"/>
      <c r="F44" s="142"/>
      <c r="G44" s="142"/>
      <c r="H44" s="52"/>
      <c r="I44" s="53"/>
      <c r="J44" s="52"/>
      <c r="K44" s="53"/>
      <c r="L44" s="52"/>
      <c r="M44" s="52"/>
      <c r="N44" s="52"/>
      <c r="O44" s="52"/>
      <c r="P44" s="192">
        <f t="shared" si="2"/>
        <v>0</v>
      </c>
      <c r="Q44" s="10"/>
      <c r="R44" s="10"/>
      <c r="S44" s="10"/>
      <c r="T44" s="10"/>
      <c r="U44" s="11">
        <f>SUM(U41:U42)</f>
        <v>1483.2991853932583</v>
      </c>
      <c r="V44" s="10"/>
    </row>
    <row r="45" spans="1:22" x14ac:dyDescent="0.25">
      <c r="A45" s="187">
        <v>1939</v>
      </c>
      <c r="B45" s="44" t="s">
        <v>625</v>
      </c>
      <c r="C45" s="65" t="s">
        <v>626</v>
      </c>
      <c r="D45" s="75" t="s">
        <v>52</v>
      </c>
      <c r="E45" s="55" t="s">
        <v>22</v>
      </c>
      <c r="F45" s="12">
        <v>45894</v>
      </c>
      <c r="G45" s="143"/>
      <c r="H45" s="203">
        <v>45954</v>
      </c>
      <c r="I45" s="189">
        <v>1995.99</v>
      </c>
      <c r="J45" s="1">
        <v>30</v>
      </c>
      <c r="K45" s="2">
        <f>I45/J45</f>
        <v>66.533000000000001</v>
      </c>
      <c r="L45" s="1">
        <v>0</v>
      </c>
      <c r="M45" s="1">
        <v>0</v>
      </c>
      <c r="N45" s="1">
        <v>0</v>
      </c>
      <c r="O45" s="1">
        <v>24</v>
      </c>
      <c r="P45" s="192">
        <f t="shared" si="2"/>
        <v>24</v>
      </c>
      <c r="Q45" s="42">
        <f>K45*50%*L45</f>
        <v>0</v>
      </c>
      <c r="R45" s="42">
        <f>K45*60%*M45</f>
        <v>0</v>
      </c>
      <c r="S45" s="42">
        <f>K45*60%*N45</f>
        <v>0</v>
      </c>
      <c r="T45" s="42">
        <f>K45*75%*O45</f>
        <v>1197.5940000000001</v>
      </c>
      <c r="U45" s="42">
        <f>S45+T45</f>
        <v>1197.5940000000001</v>
      </c>
      <c r="V45" s="42">
        <f>K45*(M45+O45+L45+N45)*100%</f>
        <v>1596.7919999999999</v>
      </c>
    </row>
    <row r="46" spans="1:22" x14ac:dyDescent="0.25">
      <c r="A46" s="195">
        <v>1939</v>
      </c>
      <c r="B46" s="9" t="s">
        <v>624</v>
      </c>
      <c r="C46" s="51"/>
      <c r="D46" s="56"/>
      <c r="E46" s="56"/>
      <c r="F46" s="142"/>
      <c r="G46" s="142"/>
      <c r="H46" s="52"/>
      <c r="I46" s="53"/>
      <c r="J46" s="52"/>
      <c r="K46" s="53"/>
      <c r="L46" s="52"/>
      <c r="M46" s="52"/>
      <c r="N46" s="52"/>
      <c r="O46" s="52"/>
      <c r="P46" s="192"/>
      <c r="Q46" s="10"/>
      <c r="R46" s="10"/>
      <c r="S46" s="10"/>
      <c r="T46" s="10"/>
      <c r="U46" s="11">
        <f>SUM(U45)</f>
        <v>1197.5940000000001</v>
      </c>
      <c r="V46" s="10"/>
    </row>
    <row r="47" spans="1:22" x14ac:dyDescent="0.25">
      <c r="A47" s="187">
        <v>1983</v>
      </c>
      <c r="B47" s="44" t="s">
        <v>240</v>
      </c>
      <c r="C47" s="207" t="s">
        <v>241</v>
      </c>
      <c r="D47" s="75" t="s">
        <v>51</v>
      </c>
      <c r="E47" s="55" t="s">
        <v>22</v>
      </c>
      <c r="F47" s="12">
        <v>45951</v>
      </c>
      <c r="G47" s="143"/>
      <c r="H47" s="203"/>
      <c r="I47" s="1">
        <v>1055.49</v>
      </c>
      <c r="J47" s="1">
        <v>92</v>
      </c>
      <c r="K47" s="2">
        <f>I47/J47</f>
        <v>11.472717391304348</v>
      </c>
      <c r="L47" s="1">
        <v>3</v>
      </c>
      <c r="M47" s="1">
        <v>8</v>
      </c>
      <c r="N47" s="1">
        <v>0</v>
      </c>
      <c r="O47" s="1">
        <v>0</v>
      </c>
      <c r="P47" s="192">
        <f>L47+M47+N47+O47</f>
        <v>11</v>
      </c>
      <c r="Q47" s="42">
        <f>K47*50%*L47</f>
        <v>17.209076086956522</v>
      </c>
      <c r="R47" s="42">
        <f>K47*60%*M47</f>
        <v>55.069043478260873</v>
      </c>
      <c r="S47" s="42">
        <f>K47*60%*N47</f>
        <v>0</v>
      </c>
      <c r="T47" s="42">
        <f>K47*75%*O47</f>
        <v>0</v>
      </c>
      <c r="U47" s="42">
        <f>S47+T47</f>
        <v>0</v>
      </c>
      <c r="V47" s="42">
        <f>K47*(M47+O47+L47+N47)*100%</f>
        <v>126.19989130434783</v>
      </c>
    </row>
    <row r="48" spans="1:22" x14ac:dyDescent="0.25">
      <c r="A48" s="195">
        <v>1983</v>
      </c>
      <c r="B48" s="9" t="s">
        <v>239</v>
      </c>
      <c r="C48" s="51"/>
      <c r="D48" s="56"/>
      <c r="E48" s="56"/>
      <c r="F48" s="142"/>
      <c r="G48" s="142"/>
      <c r="H48" s="52"/>
      <c r="I48" s="53"/>
      <c r="J48" s="52"/>
      <c r="K48" s="53"/>
      <c r="L48" s="52"/>
      <c r="M48" s="52"/>
      <c r="N48" s="52"/>
      <c r="O48" s="52"/>
      <c r="P48" s="192">
        <f>L48+M48+N48+O48</f>
        <v>0</v>
      </c>
      <c r="Q48" s="10"/>
      <c r="R48" s="10"/>
      <c r="S48" s="10"/>
      <c r="T48" s="10"/>
      <c r="U48" s="11">
        <f>SUM(U47)</f>
        <v>0</v>
      </c>
      <c r="V48" s="10"/>
    </row>
    <row r="49" spans="1:22" x14ac:dyDescent="0.25">
      <c r="A49" s="187">
        <v>1985</v>
      </c>
      <c r="B49" s="44" t="s">
        <v>782</v>
      </c>
      <c r="C49" s="65" t="s">
        <v>783</v>
      </c>
      <c r="D49" s="75" t="s">
        <v>52</v>
      </c>
      <c r="E49" s="55" t="s">
        <v>22</v>
      </c>
      <c r="F49" s="12">
        <v>45954</v>
      </c>
      <c r="G49" s="143"/>
      <c r="H49" s="203"/>
      <c r="I49" s="189">
        <v>1431.35</v>
      </c>
      <c r="J49" s="1">
        <v>30</v>
      </c>
      <c r="K49" s="2">
        <f>I49/J49</f>
        <v>47.711666666666666</v>
      </c>
      <c r="L49" s="1">
        <v>3</v>
      </c>
      <c r="M49" s="1">
        <v>5</v>
      </c>
      <c r="N49" s="1">
        <v>0</v>
      </c>
      <c r="O49" s="1">
        <v>0</v>
      </c>
      <c r="P49" s="192">
        <f>L49+M49+N49+O49</f>
        <v>8</v>
      </c>
      <c r="Q49" s="42">
        <f>K49*50%*L49</f>
        <v>71.567499999999995</v>
      </c>
      <c r="R49" s="42">
        <f>K49*60%*M49</f>
        <v>143.13499999999999</v>
      </c>
      <c r="S49" s="42">
        <f>K49*60%*N49</f>
        <v>0</v>
      </c>
      <c r="T49" s="42">
        <f>K49*75%*O49</f>
        <v>0</v>
      </c>
      <c r="U49" s="42">
        <f>S49+T49</f>
        <v>0</v>
      </c>
      <c r="V49" s="42">
        <f>K49*(M49+O49+L49+N49)*100%</f>
        <v>381.69333333333333</v>
      </c>
    </row>
    <row r="50" spans="1:22" x14ac:dyDescent="0.25">
      <c r="A50" s="187">
        <v>1985</v>
      </c>
      <c r="B50" s="44" t="s">
        <v>594</v>
      </c>
      <c r="C50" s="65" t="s">
        <v>595</v>
      </c>
      <c r="D50" s="75" t="s">
        <v>50</v>
      </c>
      <c r="E50" s="55" t="s">
        <v>22</v>
      </c>
      <c r="F50" s="12">
        <v>45882</v>
      </c>
      <c r="G50" s="143"/>
      <c r="H50" s="203">
        <v>45937</v>
      </c>
      <c r="I50" s="189">
        <v>1675.21</v>
      </c>
      <c r="J50" s="1">
        <v>30</v>
      </c>
      <c r="K50" s="2">
        <f>I50/J50</f>
        <v>55.840333333333334</v>
      </c>
      <c r="L50" s="1">
        <v>0</v>
      </c>
      <c r="M50" s="1">
        <v>0</v>
      </c>
      <c r="N50" s="1">
        <v>0</v>
      </c>
      <c r="O50" s="1">
        <v>7</v>
      </c>
      <c r="P50" s="192">
        <f>L50+M50+N50+O50</f>
        <v>7</v>
      </c>
      <c r="Q50" s="42">
        <f>K50*50%*L50</f>
        <v>0</v>
      </c>
      <c r="R50" s="42">
        <f>K50*60%*M50</f>
        <v>0</v>
      </c>
      <c r="S50" s="42">
        <f>K50*60%*N50</f>
        <v>0</v>
      </c>
      <c r="T50" s="42">
        <f>K50*75%*O50</f>
        <v>293.16175000000004</v>
      </c>
      <c r="U50" s="42">
        <f>S50+T50</f>
        <v>293.16175000000004</v>
      </c>
      <c r="V50" s="42">
        <f>K50*(M50+O50+L50+N50)*100%</f>
        <v>390.88233333333335</v>
      </c>
    </row>
    <row r="51" spans="1:22" x14ac:dyDescent="0.25">
      <c r="A51" s="193" t="s">
        <v>737</v>
      </c>
      <c r="B51" s="177"/>
      <c r="C51" s="178"/>
      <c r="D51" s="179"/>
      <c r="E51" s="180"/>
      <c r="F51" s="194"/>
      <c r="G51" s="181"/>
      <c r="H51" s="194"/>
      <c r="I51" s="182" t="s">
        <v>771</v>
      </c>
      <c r="J51" s="183"/>
      <c r="K51" s="184"/>
      <c r="L51" s="183"/>
      <c r="M51" s="183"/>
      <c r="N51" s="183"/>
      <c r="O51" s="183"/>
      <c r="P51" s="192">
        <f>L51+M51+N51+O51</f>
        <v>0</v>
      </c>
      <c r="Q51" s="182"/>
      <c r="R51" s="182"/>
      <c r="S51" s="182"/>
      <c r="T51" s="182"/>
      <c r="U51" s="182"/>
      <c r="V51" s="182"/>
    </row>
    <row r="52" spans="1:22" x14ac:dyDescent="0.25">
      <c r="A52" s="195">
        <v>1985</v>
      </c>
      <c r="B52" s="9" t="s">
        <v>212</v>
      </c>
      <c r="C52" s="51"/>
      <c r="D52" s="56"/>
      <c r="E52" s="56"/>
      <c r="F52" s="142"/>
      <c r="G52" s="142"/>
      <c r="H52" s="52"/>
      <c r="I52" s="53"/>
      <c r="J52" s="52"/>
      <c r="K52" s="53"/>
      <c r="L52" s="52"/>
      <c r="M52" s="52"/>
      <c r="N52" s="52"/>
      <c r="O52" s="52"/>
      <c r="P52" s="192"/>
      <c r="Q52" s="10"/>
      <c r="R52" s="10"/>
      <c r="S52" s="10"/>
      <c r="T52" s="10"/>
      <c r="U52" s="11">
        <f>SUM(U50:U50)</f>
        <v>293.16175000000004</v>
      </c>
      <c r="V52" s="10"/>
    </row>
    <row r="53" spans="1:22" s="185" customFormat="1" x14ac:dyDescent="0.25">
      <c r="A53" s="89">
        <v>2201</v>
      </c>
      <c r="B53" s="68" t="s">
        <v>301</v>
      </c>
      <c r="C53" s="66" t="s">
        <v>86</v>
      </c>
      <c r="D53" s="205">
        <v>200</v>
      </c>
      <c r="E53" s="84"/>
      <c r="F53" s="141">
        <v>45915</v>
      </c>
      <c r="G53" s="141"/>
      <c r="H53" s="147">
        <v>45984</v>
      </c>
      <c r="I53" s="85"/>
      <c r="J53" s="85"/>
      <c r="K53" s="85"/>
      <c r="L53" s="85"/>
      <c r="M53" s="85"/>
      <c r="N53" s="85"/>
      <c r="O53" s="85"/>
      <c r="P53" s="192">
        <f t="shared" ref="P53:P59" si="4">L53+M53+N53+O53</f>
        <v>0</v>
      </c>
      <c r="Q53" s="83" t="s">
        <v>48</v>
      </c>
      <c r="R53" s="68"/>
      <c r="S53" s="68"/>
      <c r="T53" s="68"/>
      <c r="U53" s="85"/>
      <c r="V53" s="68"/>
    </row>
    <row r="54" spans="1:22" x14ac:dyDescent="0.25">
      <c r="A54" s="195">
        <v>2201</v>
      </c>
      <c r="B54" s="9" t="s">
        <v>315</v>
      </c>
      <c r="C54" s="51"/>
      <c r="D54" s="56"/>
      <c r="E54" s="56"/>
      <c r="F54" s="142"/>
      <c r="G54" s="142"/>
      <c r="H54" s="52"/>
      <c r="I54" s="53"/>
      <c r="J54" s="52"/>
      <c r="K54" s="53"/>
      <c r="L54" s="52"/>
      <c r="M54" s="52"/>
      <c r="N54" s="52"/>
      <c r="O54" s="52"/>
      <c r="P54" s="192">
        <f t="shared" si="4"/>
        <v>0</v>
      </c>
      <c r="Q54" s="10"/>
      <c r="R54" s="10"/>
      <c r="S54" s="10"/>
      <c r="T54" s="10"/>
      <c r="U54" s="11">
        <f>SUM(U53)</f>
        <v>0</v>
      </c>
      <c r="V54" s="10"/>
    </row>
    <row r="55" spans="1:22" s="185" customFormat="1" x14ac:dyDescent="0.25">
      <c r="A55" s="196">
        <v>2264</v>
      </c>
      <c r="B55" s="44" t="s">
        <v>705</v>
      </c>
      <c r="C55" s="65" t="s">
        <v>706</v>
      </c>
      <c r="D55" s="55">
        <v>130</v>
      </c>
      <c r="E55" s="55" t="s">
        <v>22</v>
      </c>
      <c r="F55" s="12">
        <v>45922</v>
      </c>
      <c r="G55" s="143">
        <v>45964</v>
      </c>
      <c r="H55" s="12" t="s">
        <v>761</v>
      </c>
      <c r="I55" s="42">
        <v>1381.34</v>
      </c>
      <c r="J55" s="1">
        <v>30</v>
      </c>
      <c r="K55" s="2">
        <f>I55/J55</f>
        <v>46.044666666666664</v>
      </c>
      <c r="L55" s="1">
        <v>0</v>
      </c>
      <c r="M55" s="1">
        <v>6</v>
      </c>
      <c r="N55" s="1">
        <v>5</v>
      </c>
      <c r="O55" s="1">
        <v>20</v>
      </c>
      <c r="P55" s="192">
        <f t="shared" si="4"/>
        <v>31</v>
      </c>
      <c r="Q55" s="42">
        <f>K55*50%*L55</f>
        <v>0</v>
      </c>
      <c r="R55" s="42">
        <f>K55*60%*M55</f>
        <v>165.76079999999999</v>
      </c>
      <c r="S55" s="42">
        <f>K55*60%*N55</f>
        <v>138.13399999999999</v>
      </c>
      <c r="T55" s="42">
        <f>K55*75%*O55</f>
        <v>690.67</v>
      </c>
      <c r="U55" s="42">
        <f>S55+T55</f>
        <v>828.80399999999997</v>
      </c>
      <c r="V55" s="42">
        <f>K55*(M55+O55+L55+N55)*100%</f>
        <v>1427.3846666666666</v>
      </c>
    </row>
    <row r="56" spans="1:22" x14ac:dyDescent="0.25">
      <c r="A56" s="197">
        <v>2264</v>
      </c>
      <c r="B56" s="9" t="s">
        <v>704</v>
      </c>
      <c r="C56" s="51"/>
      <c r="D56" s="56"/>
      <c r="E56" s="56"/>
      <c r="F56" s="142"/>
      <c r="G56" s="142"/>
      <c r="H56" s="52"/>
      <c r="I56" s="53"/>
      <c r="J56" s="52"/>
      <c r="K56" s="53"/>
      <c r="L56" s="52"/>
      <c r="M56" s="52"/>
      <c r="N56" s="52"/>
      <c r="O56" s="52"/>
      <c r="P56" s="192">
        <f t="shared" si="4"/>
        <v>0</v>
      </c>
      <c r="Q56" s="10"/>
      <c r="R56" s="10"/>
      <c r="S56" s="10"/>
      <c r="T56" s="10"/>
      <c r="U56" s="11">
        <f>SUM(U55:U55)</f>
        <v>828.80399999999997</v>
      </c>
      <c r="V56" s="10"/>
    </row>
    <row r="57" spans="1:22" x14ac:dyDescent="0.25">
      <c r="A57" s="196">
        <v>2281</v>
      </c>
      <c r="B57" s="44" t="s">
        <v>296</v>
      </c>
      <c r="C57" s="65" t="s">
        <v>297</v>
      </c>
      <c r="D57" s="55">
        <v>100</v>
      </c>
      <c r="E57" s="55" t="s">
        <v>22</v>
      </c>
      <c r="F57" s="12">
        <v>45896</v>
      </c>
      <c r="G57" s="143">
        <v>45959</v>
      </c>
      <c r="H57" s="12" t="s">
        <v>751</v>
      </c>
      <c r="I57" s="42">
        <v>1579.87</v>
      </c>
      <c r="J57" s="1">
        <v>30</v>
      </c>
      <c r="K57" s="2">
        <f>I57/J57</f>
        <v>52.662333333333329</v>
      </c>
      <c r="L57" s="1">
        <v>0</v>
      </c>
      <c r="M57" s="1">
        <v>0</v>
      </c>
      <c r="N57" s="1">
        <v>0</v>
      </c>
      <c r="O57" s="1">
        <v>31</v>
      </c>
      <c r="P57" s="192">
        <f t="shared" si="4"/>
        <v>31</v>
      </c>
      <c r="Q57" s="42">
        <f>K57*50%*L57</f>
        <v>0</v>
      </c>
      <c r="R57" s="42">
        <f>K57*60%*M57</f>
        <v>0</v>
      </c>
      <c r="S57" s="42">
        <f>K57*60%*N57</f>
        <v>0</v>
      </c>
      <c r="T57" s="42">
        <f>K57*75%*O57</f>
        <v>1224.3992499999999</v>
      </c>
      <c r="U57" s="42">
        <f>S57+T57</f>
        <v>1224.3992499999999</v>
      </c>
      <c r="V57" s="42">
        <f>K57*(M57+O57+L57+N57)*100%</f>
        <v>1632.5323333333331</v>
      </c>
    </row>
    <row r="58" spans="1:22" s="185" customFormat="1" ht="15" customHeight="1" x14ac:dyDescent="0.25">
      <c r="A58" s="195">
        <v>2281</v>
      </c>
      <c r="B58" s="9" t="s">
        <v>60</v>
      </c>
      <c r="C58" s="51"/>
      <c r="D58" s="56"/>
      <c r="E58" s="56"/>
      <c r="F58" s="142"/>
      <c r="G58" s="142"/>
      <c r="H58" s="52"/>
      <c r="I58" s="53"/>
      <c r="J58" s="52"/>
      <c r="K58" s="53"/>
      <c r="L58" s="52"/>
      <c r="M58" s="52"/>
      <c r="N58" s="52"/>
      <c r="O58" s="52"/>
      <c r="P58" s="192">
        <f t="shared" si="4"/>
        <v>0</v>
      </c>
      <c r="Q58" s="10"/>
      <c r="R58" s="10"/>
      <c r="S58" s="10"/>
      <c r="T58" s="10"/>
      <c r="U58" s="11">
        <f>SUM(U57:U57)</f>
        <v>1224.3992499999999</v>
      </c>
      <c r="V58" s="10"/>
    </row>
    <row r="59" spans="1:22" x14ac:dyDescent="0.25">
      <c r="A59" s="196">
        <v>2290</v>
      </c>
      <c r="B59" s="44" t="s">
        <v>415</v>
      </c>
      <c r="C59" s="65" t="s">
        <v>416</v>
      </c>
      <c r="D59" s="55">
        <v>189</v>
      </c>
      <c r="E59" s="55" t="s">
        <v>22</v>
      </c>
      <c r="F59" s="12">
        <v>45897</v>
      </c>
      <c r="G59" s="143"/>
      <c r="H59" s="203">
        <v>45933</v>
      </c>
      <c r="I59" s="42">
        <v>1477.48</v>
      </c>
      <c r="J59" s="1">
        <v>30</v>
      </c>
      <c r="K59" s="2">
        <f>I59/J59</f>
        <v>49.249333333333333</v>
      </c>
      <c r="L59" s="1">
        <v>0</v>
      </c>
      <c r="M59" s="1">
        <v>0</v>
      </c>
      <c r="N59" s="1">
        <v>0</v>
      </c>
      <c r="O59" s="1">
        <v>3</v>
      </c>
      <c r="P59" s="192">
        <f t="shared" si="4"/>
        <v>3</v>
      </c>
      <c r="Q59" s="42">
        <f>K59*50%*L59</f>
        <v>0</v>
      </c>
      <c r="R59" s="42">
        <f>K59*60%*M59</f>
        <v>0</v>
      </c>
      <c r="S59" s="42">
        <f>K59*60%*N59</f>
        <v>0</v>
      </c>
      <c r="T59" s="42">
        <f>K59*75%*O59</f>
        <v>110.81099999999999</v>
      </c>
      <c r="U59" s="42">
        <f>S59+T59</f>
        <v>110.81099999999999</v>
      </c>
      <c r="V59" s="42">
        <f>K59*(M59+O59+L59+N59)*100%</f>
        <v>147.74799999999999</v>
      </c>
    </row>
    <row r="60" spans="1:22" s="185" customFormat="1" ht="14.25" customHeight="1" x14ac:dyDescent="0.25">
      <c r="A60" s="193" t="s">
        <v>730</v>
      </c>
      <c r="B60" s="177"/>
      <c r="C60" s="178"/>
      <c r="D60" s="179"/>
      <c r="E60" s="180"/>
      <c r="F60" s="194"/>
      <c r="G60" s="181"/>
      <c r="H60" s="194"/>
      <c r="I60" s="182" t="s">
        <v>770</v>
      </c>
      <c r="J60" s="183"/>
      <c r="K60" s="184"/>
      <c r="L60" s="183"/>
      <c r="M60" s="183"/>
      <c r="N60" s="183"/>
      <c r="O60" s="183"/>
      <c r="P60" s="192"/>
      <c r="Q60" s="182"/>
      <c r="R60" s="182"/>
      <c r="S60" s="182"/>
      <c r="T60" s="182"/>
      <c r="U60" s="182"/>
      <c r="V60" s="182"/>
    </row>
    <row r="61" spans="1:22" x14ac:dyDescent="0.25">
      <c r="A61" s="89">
        <v>2290</v>
      </c>
      <c r="B61" s="68" t="s">
        <v>406</v>
      </c>
      <c r="C61" s="66" t="s">
        <v>407</v>
      </c>
      <c r="D61" s="205">
        <v>100</v>
      </c>
      <c r="E61" s="205" t="s">
        <v>22</v>
      </c>
      <c r="F61" s="141">
        <v>45883</v>
      </c>
      <c r="G61" s="141"/>
      <c r="H61" s="141"/>
      <c r="I61" s="85"/>
      <c r="J61" s="85"/>
      <c r="K61" s="85"/>
      <c r="L61" s="85"/>
      <c r="M61" s="85"/>
      <c r="N61" s="85"/>
      <c r="O61" s="85"/>
      <c r="P61" s="192">
        <f>L61+M61+N61+O61</f>
        <v>0</v>
      </c>
      <c r="Q61" s="83" t="s">
        <v>88</v>
      </c>
      <c r="R61" s="68"/>
      <c r="S61" s="68"/>
      <c r="T61" s="68"/>
      <c r="U61" s="85"/>
      <c r="V61" s="68"/>
    </row>
    <row r="62" spans="1:22" s="185" customFormat="1" ht="14.25" customHeight="1" x14ac:dyDescent="0.25">
      <c r="A62" s="193" t="s">
        <v>641</v>
      </c>
      <c r="B62" s="177"/>
      <c r="C62" s="178"/>
      <c r="D62" s="179"/>
      <c r="E62" s="180"/>
      <c r="F62" s="194"/>
      <c r="G62" s="181"/>
      <c r="H62" s="194"/>
      <c r="I62" s="182"/>
      <c r="J62" s="183"/>
      <c r="K62" s="184"/>
      <c r="L62" s="183"/>
      <c r="M62" s="183"/>
      <c r="N62" s="183"/>
      <c r="O62" s="183"/>
      <c r="P62" s="192"/>
      <c r="Q62" s="182"/>
      <c r="R62" s="182"/>
      <c r="S62" s="182"/>
      <c r="T62" s="182"/>
      <c r="U62" s="182"/>
      <c r="V62" s="182"/>
    </row>
    <row r="63" spans="1:22" x14ac:dyDescent="0.25">
      <c r="A63" s="196">
        <v>2290</v>
      </c>
      <c r="B63" s="44" t="s">
        <v>683</v>
      </c>
      <c r="C63" s="65" t="s">
        <v>707</v>
      </c>
      <c r="D63" s="55">
        <v>410</v>
      </c>
      <c r="E63" s="55" t="s">
        <v>22</v>
      </c>
      <c r="F63" s="12">
        <v>45923</v>
      </c>
      <c r="G63" s="143">
        <v>45968</v>
      </c>
      <c r="H63" s="12" t="s">
        <v>786</v>
      </c>
      <c r="I63" s="42">
        <v>1547.48</v>
      </c>
      <c r="J63" s="1">
        <v>30</v>
      </c>
      <c r="K63" s="2">
        <f>I63/J63</f>
        <v>51.582666666666668</v>
      </c>
      <c r="L63" s="1">
        <v>0</v>
      </c>
      <c r="M63" s="1">
        <v>7</v>
      </c>
      <c r="N63" s="1">
        <v>5</v>
      </c>
      <c r="O63" s="1">
        <v>19</v>
      </c>
      <c r="P63" s="192">
        <f>L63+M63+N63+O63</f>
        <v>31</v>
      </c>
      <c r="Q63" s="42">
        <f>K63*50%*L63</f>
        <v>0</v>
      </c>
      <c r="R63" s="42">
        <f>K63*60%*M63</f>
        <v>216.6472</v>
      </c>
      <c r="S63" s="42">
        <f>K63*60%*N63</f>
        <v>154.74799999999999</v>
      </c>
      <c r="T63" s="42">
        <f>K63*75%*O63</f>
        <v>735.053</v>
      </c>
      <c r="U63" s="42">
        <f>S63+T63</f>
        <v>889.80099999999993</v>
      </c>
      <c r="V63" s="42">
        <f>K63*(M63+O63+L63+N63)*100%</f>
        <v>1599.0626666666667</v>
      </c>
    </row>
    <row r="64" spans="1:22" s="185" customFormat="1" ht="14.25" customHeight="1" x14ac:dyDescent="0.25">
      <c r="A64" s="193" t="s">
        <v>790</v>
      </c>
      <c r="B64" s="177"/>
      <c r="C64" s="178"/>
      <c r="D64" s="179"/>
      <c r="E64" s="180"/>
      <c r="F64" s="194"/>
      <c r="G64" s="181"/>
      <c r="H64" s="194"/>
      <c r="I64" s="182"/>
      <c r="J64" s="183"/>
      <c r="K64" s="184"/>
      <c r="L64" s="183"/>
      <c r="M64" s="183"/>
      <c r="N64" s="183"/>
      <c r="O64" s="183"/>
      <c r="P64" s="192"/>
      <c r="Q64" s="182"/>
      <c r="R64" s="182"/>
      <c r="S64" s="182"/>
      <c r="T64" s="182"/>
      <c r="U64" s="182"/>
      <c r="V64" s="182"/>
    </row>
    <row r="65" spans="1:22" x14ac:dyDescent="0.25">
      <c r="A65" s="196">
        <v>2290</v>
      </c>
      <c r="B65" s="44" t="s">
        <v>259</v>
      </c>
      <c r="C65" s="65" t="s">
        <v>260</v>
      </c>
      <c r="D65" s="55">
        <v>100</v>
      </c>
      <c r="E65" s="55" t="s">
        <v>22</v>
      </c>
      <c r="F65" s="12">
        <v>45945</v>
      </c>
      <c r="G65" s="143"/>
      <c r="H65" s="203">
        <v>45947</v>
      </c>
      <c r="I65" s="42">
        <v>1541.98</v>
      </c>
      <c r="J65" s="1">
        <v>30</v>
      </c>
      <c r="K65" s="2">
        <f>I65/J65</f>
        <v>51.399333333333331</v>
      </c>
      <c r="L65" s="1">
        <v>3</v>
      </c>
      <c r="M65" s="1">
        <v>0</v>
      </c>
      <c r="N65" s="1">
        <v>0</v>
      </c>
      <c r="O65" s="1">
        <v>0</v>
      </c>
      <c r="P65" s="192">
        <f>L65+M65+N65+O65</f>
        <v>3</v>
      </c>
      <c r="Q65" s="42">
        <f>K65*50%*L65</f>
        <v>77.09899999999999</v>
      </c>
      <c r="R65" s="42">
        <f>K65*60%*M65</f>
        <v>0</v>
      </c>
      <c r="S65" s="42">
        <f>K65*60%*N65</f>
        <v>0</v>
      </c>
      <c r="T65" s="42">
        <f>K65*75%*O65</f>
        <v>0</v>
      </c>
      <c r="U65" s="42">
        <f>S65+T65</f>
        <v>0</v>
      </c>
      <c r="V65" s="42">
        <f>K65*(M65+O65+L65+N65)*100%</f>
        <v>154.19799999999998</v>
      </c>
    </row>
    <row r="66" spans="1:22" x14ac:dyDescent="0.25">
      <c r="A66" s="196">
        <v>2290</v>
      </c>
      <c r="B66" s="44" t="s">
        <v>259</v>
      </c>
      <c r="C66" s="65" t="s">
        <v>260</v>
      </c>
      <c r="D66" s="55">
        <v>100</v>
      </c>
      <c r="E66" s="55" t="s">
        <v>22</v>
      </c>
      <c r="F66" s="12">
        <v>45951</v>
      </c>
      <c r="G66" s="143"/>
      <c r="H66" s="203"/>
      <c r="I66" s="42">
        <v>1541.98</v>
      </c>
      <c r="J66" s="1">
        <v>30</v>
      </c>
      <c r="K66" s="2">
        <f>I66/J66</f>
        <v>51.399333333333331</v>
      </c>
      <c r="L66" s="1">
        <v>3</v>
      </c>
      <c r="M66" s="1">
        <v>8</v>
      </c>
      <c r="N66" s="1">
        <v>0</v>
      </c>
      <c r="O66" s="1">
        <v>0</v>
      </c>
      <c r="P66" s="192">
        <f>L66+M66+N66+O66</f>
        <v>11</v>
      </c>
      <c r="Q66" s="42">
        <f>K66*50%*L66</f>
        <v>77.09899999999999</v>
      </c>
      <c r="R66" s="42">
        <f>K66*60%*M66</f>
        <v>246.71679999999998</v>
      </c>
      <c r="S66" s="42">
        <f>K66*60%*N66</f>
        <v>0</v>
      </c>
      <c r="T66" s="42">
        <f>K66*75%*O66</f>
        <v>0</v>
      </c>
      <c r="U66" s="42">
        <f>S66+T66</f>
        <v>0</v>
      </c>
      <c r="V66" s="42">
        <f>K66*(M66+O66+L66+N66)*100%</f>
        <v>565.39266666666663</v>
      </c>
    </row>
    <row r="67" spans="1:22" x14ac:dyDescent="0.25">
      <c r="A67" s="193" t="s">
        <v>763</v>
      </c>
      <c r="B67" s="177"/>
      <c r="C67" s="178"/>
      <c r="D67" s="179"/>
      <c r="E67" s="180"/>
      <c r="F67" s="194"/>
      <c r="G67" s="181"/>
      <c r="H67" s="194"/>
      <c r="I67" s="182"/>
      <c r="J67" s="183"/>
      <c r="K67" s="184"/>
      <c r="L67" s="183"/>
      <c r="M67" s="183"/>
      <c r="N67" s="183"/>
      <c r="O67" s="183"/>
      <c r="P67" s="192"/>
      <c r="Q67" s="182"/>
      <c r="R67" s="182"/>
      <c r="S67" s="182"/>
      <c r="T67" s="182"/>
      <c r="U67" s="182"/>
      <c r="V67" s="182"/>
    </row>
    <row r="68" spans="1:22" x14ac:dyDescent="0.25">
      <c r="A68" s="196">
        <v>2290</v>
      </c>
      <c r="B68" s="44" t="s">
        <v>784</v>
      </c>
      <c r="C68" s="65" t="s">
        <v>785</v>
      </c>
      <c r="D68" s="55">
        <v>100</v>
      </c>
      <c r="E68" s="55" t="s">
        <v>22</v>
      </c>
      <c r="F68" s="12">
        <v>45952</v>
      </c>
      <c r="G68" s="143"/>
      <c r="H68" s="12"/>
      <c r="I68" s="42">
        <v>1500.04</v>
      </c>
      <c r="J68" s="1">
        <v>30</v>
      </c>
      <c r="K68" s="2">
        <f>I68/J68</f>
        <v>50.001333333333335</v>
      </c>
      <c r="L68" s="1">
        <v>3</v>
      </c>
      <c r="M68" s="1">
        <v>7</v>
      </c>
      <c r="N68" s="1">
        <v>0</v>
      </c>
      <c r="O68" s="1">
        <v>0</v>
      </c>
      <c r="P68" s="192">
        <f>L68+M68+N68+O68</f>
        <v>10</v>
      </c>
      <c r="Q68" s="42">
        <f>K68*50%*L68</f>
        <v>75.00200000000001</v>
      </c>
      <c r="R68" s="42">
        <f>K68*60%*M68</f>
        <v>210.00559999999999</v>
      </c>
      <c r="S68" s="42">
        <f>K68*60%*N68</f>
        <v>0</v>
      </c>
      <c r="T68" s="42">
        <f>K68*75%*O68</f>
        <v>0</v>
      </c>
      <c r="U68" s="42">
        <f>S68+T68</f>
        <v>0</v>
      </c>
      <c r="V68" s="42">
        <f>K68*(M68+O68+L68+N68)*100%</f>
        <v>500.01333333333332</v>
      </c>
    </row>
    <row r="69" spans="1:22" x14ac:dyDescent="0.25">
      <c r="A69" s="196">
        <v>2290</v>
      </c>
      <c r="B69" s="44" t="s">
        <v>675</v>
      </c>
      <c r="C69" s="65" t="s">
        <v>674</v>
      </c>
      <c r="D69" s="55">
        <v>100</v>
      </c>
      <c r="E69" s="55" t="s">
        <v>22</v>
      </c>
      <c r="F69" s="12">
        <v>45914</v>
      </c>
      <c r="G69" s="143">
        <v>45949</v>
      </c>
      <c r="H69" s="12" t="s">
        <v>744</v>
      </c>
      <c r="I69" s="42">
        <v>1710.38</v>
      </c>
      <c r="J69" s="1">
        <v>30</v>
      </c>
      <c r="K69" s="2">
        <f>I69/J69</f>
        <v>57.012666666666668</v>
      </c>
      <c r="L69" s="1">
        <v>0</v>
      </c>
      <c r="M69" s="1">
        <v>0</v>
      </c>
      <c r="N69" s="1">
        <v>3</v>
      </c>
      <c r="O69" s="1">
        <v>28</v>
      </c>
      <c r="P69" s="192">
        <f>L69+M69+N69+O69</f>
        <v>31</v>
      </c>
      <c r="Q69" s="42">
        <f>K69*50%*L69</f>
        <v>0</v>
      </c>
      <c r="R69" s="42">
        <f>K69*60%*M69</f>
        <v>0</v>
      </c>
      <c r="S69" s="42">
        <f>K69*60%*N69</f>
        <v>102.6228</v>
      </c>
      <c r="T69" s="42">
        <f>K69*75%*O69</f>
        <v>1197.2660000000001</v>
      </c>
      <c r="U69" s="42">
        <f>S69+T69</f>
        <v>1299.8888000000002</v>
      </c>
      <c r="V69" s="42">
        <f>K69*(M69+O69+L69+N69)*100%</f>
        <v>1767.3926666666666</v>
      </c>
    </row>
    <row r="70" spans="1:22" s="185" customFormat="1" ht="14.25" customHeight="1" x14ac:dyDescent="0.25">
      <c r="A70" s="193" t="s">
        <v>716</v>
      </c>
      <c r="B70" s="177"/>
      <c r="C70" s="178"/>
      <c r="D70" s="179"/>
      <c r="E70" s="180"/>
      <c r="F70" s="194"/>
      <c r="G70" s="181"/>
      <c r="H70" s="194"/>
      <c r="I70" s="182"/>
      <c r="J70" s="183"/>
      <c r="K70" s="184"/>
      <c r="L70" s="183"/>
      <c r="M70" s="183"/>
      <c r="N70" s="183"/>
      <c r="O70" s="183"/>
      <c r="P70" s="192"/>
      <c r="Q70" s="182"/>
      <c r="R70" s="182"/>
      <c r="S70" s="182"/>
      <c r="T70" s="182"/>
      <c r="U70" s="182"/>
      <c r="V70" s="182"/>
    </row>
    <row r="71" spans="1:22" x14ac:dyDescent="0.25">
      <c r="A71" s="196">
        <v>2290</v>
      </c>
      <c r="B71" s="44" t="s">
        <v>98</v>
      </c>
      <c r="C71" s="65" t="s">
        <v>99</v>
      </c>
      <c r="D71" s="55">
        <v>100</v>
      </c>
      <c r="E71" s="55" t="s">
        <v>22</v>
      </c>
      <c r="F71" s="12">
        <v>45607</v>
      </c>
      <c r="G71" s="143">
        <v>45957</v>
      </c>
      <c r="H71" s="12" t="s">
        <v>732</v>
      </c>
      <c r="I71" s="42">
        <v>1500.04</v>
      </c>
      <c r="J71" s="1">
        <v>30</v>
      </c>
      <c r="K71" s="2">
        <f>I71/J71</f>
        <v>50.001333333333335</v>
      </c>
      <c r="L71" s="1">
        <v>0</v>
      </c>
      <c r="M71" s="1">
        <v>0</v>
      </c>
      <c r="N71" s="1">
        <v>0</v>
      </c>
      <c r="O71" s="1">
        <v>31</v>
      </c>
      <c r="P71" s="192">
        <f>L71+M71+N71+O71</f>
        <v>31</v>
      </c>
      <c r="Q71" s="42">
        <f>K71*50%*L71</f>
        <v>0</v>
      </c>
      <c r="R71" s="42">
        <f>K71*60%*M71</f>
        <v>0</v>
      </c>
      <c r="S71" s="42">
        <f>K71*60%*N71</f>
        <v>0</v>
      </c>
      <c r="T71" s="42">
        <f>K71*75%*O71</f>
        <v>1162.5310000000002</v>
      </c>
      <c r="U71" s="42">
        <f>S71+T71</f>
        <v>1162.5310000000002</v>
      </c>
      <c r="V71" s="42">
        <f>K71*(M71+O71+L71+N71)*100%</f>
        <v>1550.0413333333333</v>
      </c>
    </row>
    <row r="72" spans="1:22" s="185" customFormat="1" ht="14.25" customHeight="1" x14ac:dyDescent="0.25">
      <c r="A72" s="193" t="s">
        <v>735</v>
      </c>
      <c r="B72" s="177"/>
      <c r="C72" s="178"/>
      <c r="D72" s="179"/>
      <c r="E72" s="180"/>
      <c r="F72" s="194"/>
      <c r="G72" s="181"/>
      <c r="H72" s="194"/>
      <c r="I72" s="182"/>
      <c r="J72" s="183"/>
      <c r="K72" s="184"/>
      <c r="L72" s="183"/>
      <c r="M72" s="183"/>
      <c r="N72" s="183"/>
      <c r="O72" s="183"/>
      <c r="P72" s="192"/>
      <c r="Q72" s="182"/>
      <c r="R72" s="182"/>
      <c r="S72" s="182"/>
      <c r="T72" s="182"/>
      <c r="U72" s="182"/>
      <c r="V72" s="182"/>
    </row>
    <row r="73" spans="1:22" x14ac:dyDescent="0.25">
      <c r="A73" s="196">
        <v>2290</v>
      </c>
      <c r="B73" s="44" t="s">
        <v>765</v>
      </c>
      <c r="C73" s="65" t="s">
        <v>766</v>
      </c>
      <c r="D73" s="55">
        <v>100</v>
      </c>
      <c r="E73" s="55" t="s">
        <v>22</v>
      </c>
      <c r="F73" s="12">
        <v>45951</v>
      </c>
      <c r="G73" s="143">
        <v>45965</v>
      </c>
      <c r="H73" s="12"/>
      <c r="I73" s="42">
        <v>1535.04</v>
      </c>
      <c r="J73" s="1">
        <v>30</v>
      </c>
      <c r="K73" s="2">
        <f>I73/J73</f>
        <v>51.167999999999999</v>
      </c>
      <c r="L73" s="1">
        <v>3</v>
      </c>
      <c r="M73" s="1">
        <v>8</v>
      </c>
      <c r="N73" s="1">
        <v>0</v>
      </c>
      <c r="O73" s="1">
        <v>0</v>
      </c>
      <c r="P73" s="192">
        <f>L73+M73+N73+O73</f>
        <v>11</v>
      </c>
      <c r="Q73" s="42">
        <f>K73*50%*L73</f>
        <v>76.751999999999995</v>
      </c>
      <c r="R73" s="42">
        <f>K73*60%*M73</f>
        <v>245.60639999999998</v>
      </c>
      <c r="S73" s="42">
        <f>K73*60%*N73</f>
        <v>0</v>
      </c>
      <c r="T73" s="42">
        <f>K73*75%*O73</f>
        <v>0</v>
      </c>
      <c r="U73" s="42">
        <f>S73+T73</f>
        <v>0</v>
      </c>
      <c r="V73" s="42">
        <f>K73*(M73+O73+L73+N73)*100%</f>
        <v>562.84799999999996</v>
      </c>
    </row>
    <row r="74" spans="1:22" s="185" customFormat="1" ht="14.25" customHeight="1" x14ac:dyDescent="0.25">
      <c r="A74" s="193" t="s">
        <v>764</v>
      </c>
      <c r="B74" s="177"/>
      <c r="C74" s="178"/>
      <c r="D74" s="179"/>
      <c r="E74" s="180"/>
      <c r="F74" s="194"/>
      <c r="G74" s="181"/>
      <c r="H74" s="194"/>
      <c r="I74" s="182"/>
      <c r="J74" s="183"/>
      <c r="K74" s="184"/>
      <c r="L74" s="183"/>
      <c r="M74" s="183"/>
      <c r="N74" s="183"/>
      <c r="O74" s="183"/>
      <c r="P74" s="192"/>
      <c r="Q74" s="182"/>
      <c r="R74" s="182"/>
      <c r="S74" s="182"/>
      <c r="T74" s="182"/>
      <c r="U74" s="182"/>
      <c r="V74" s="182"/>
    </row>
    <row r="75" spans="1:22" s="185" customFormat="1" ht="15" customHeight="1" x14ac:dyDescent="0.25">
      <c r="A75" s="209">
        <v>2290</v>
      </c>
      <c r="B75" s="210" t="s">
        <v>427</v>
      </c>
      <c r="C75" s="211" t="s">
        <v>437</v>
      </c>
      <c r="D75" s="212">
        <v>100</v>
      </c>
      <c r="E75" s="212" t="s">
        <v>22</v>
      </c>
      <c r="F75" s="213">
        <v>45797</v>
      </c>
      <c r="G75" s="237"/>
      <c r="H75" s="219">
        <v>45936</v>
      </c>
      <c r="I75" s="214">
        <v>1547.49</v>
      </c>
      <c r="J75" s="215">
        <v>27</v>
      </c>
      <c r="K75" s="216">
        <v>51.62</v>
      </c>
      <c r="L75" s="215">
        <v>0</v>
      </c>
      <c r="M75" s="215">
        <v>0</v>
      </c>
      <c r="N75" s="215">
        <v>0</v>
      </c>
      <c r="O75" s="215">
        <v>6</v>
      </c>
      <c r="P75" s="238">
        <f>L75+M75+N75+O75</f>
        <v>6</v>
      </c>
      <c r="Q75" s="214">
        <f>K75*50%*L75</f>
        <v>0</v>
      </c>
      <c r="R75" s="214">
        <f>K75*60%*M75</f>
        <v>0</v>
      </c>
      <c r="S75" s="214">
        <f>K75*60%*N75</f>
        <v>0</v>
      </c>
      <c r="T75" s="214">
        <f>K75*75%*O75</f>
        <v>232.28999999999996</v>
      </c>
      <c r="U75" s="214">
        <f>S75+T75</f>
        <v>232.28999999999996</v>
      </c>
      <c r="V75" s="214">
        <f>K75*(M75+O75+L75+N75)*100%</f>
        <v>309.71999999999997</v>
      </c>
    </row>
    <row r="76" spans="1:22" s="185" customFormat="1" ht="14.25" customHeight="1" x14ac:dyDescent="0.25">
      <c r="A76" s="193" t="s">
        <v>734</v>
      </c>
      <c r="B76" s="177"/>
      <c r="C76" s="178"/>
      <c r="D76" s="179"/>
      <c r="E76" s="180"/>
      <c r="F76" s="194"/>
      <c r="G76" s="181"/>
      <c r="H76" s="194"/>
      <c r="I76" s="182" t="s">
        <v>772</v>
      </c>
      <c r="J76" s="183"/>
      <c r="K76" s="184"/>
      <c r="L76" s="183"/>
      <c r="M76" s="183"/>
      <c r="N76" s="183"/>
      <c r="O76" s="183"/>
      <c r="P76" s="192"/>
      <c r="Q76" s="182"/>
      <c r="R76" s="182"/>
      <c r="S76" s="182"/>
      <c r="T76" s="182"/>
      <c r="U76" s="182"/>
      <c r="V76" s="182"/>
    </row>
    <row r="77" spans="1:22" x14ac:dyDescent="0.25">
      <c r="A77" s="264">
        <v>2290</v>
      </c>
      <c r="B77" s="68" t="s">
        <v>499</v>
      </c>
      <c r="C77" s="226" t="s">
        <v>500</v>
      </c>
      <c r="D77" s="205">
        <v>100</v>
      </c>
      <c r="E77" s="205" t="s">
        <v>22</v>
      </c>
      <c r="F77" s="141">
        <v>45908</v>
      </c>
      <c r="G77" s="228"/>
      <c r="H77" s="147">
        <v>46040</v>
      </c>
      <c r="I77" s="229"/>
      <c r="J77" s="85"/>
      <c r="K77" s="230"/>
      <c r="L77" s="85"/>
      <c r="M77" s="85"/>
      <c r="N77" s="85"/>
      <c r="O77" s="85"/>
      <c r="P77" s="192">
        <f>L77+M77+N77+O77</f>
        <v>0</v>
      </c>
      <c r="Q77" s="83" t="s">
        <v>682</v>
      </c>
      <c r="R77" s="68"/>
      <c r="S77" s="68"/>
      <c r="T77" s="68"/>
      <c r="U77" s="85"/>
      <c r="V77" s="68"/>
    </row>
    <row r="78" spans="1:22" s="185" customFormat="1" ht="15" customHeight="1" x14ac:dyDescent="0.25">
      <c r="A78" s="193" t="s">
        <v>680</v>
      </c>
      <c r="B78" s="177"/>
      <c r="C78" s="178"/>
      <c r="D78" s="179"/>
      <c r="E78" s="180"/>
      <c r="F78" s="194"/>
      <c r="G78" s="181"/>
      <c r="H78" s="194"/>
      <c r="I78" s="182"/>
      <c r="J78" s="183"/>
      <c r="K78" s="184"/>
      <c r="L78" s="183"/>
      <c r="M78" s="183"/>
      <c r="N78" s="183"/>
      <c r="O78" s="183"/>
      <c r="P78" s="192"/>
      <c r="Q78" s="182"/>
      <c r="R78" s="182"/>
      <c r="S78" s="182"/>
      <c r="T78" s="182"/>
      <c r="U78" s="182"/>
      <c r="V78" s="182"/>
    </row>
    <row r="79" spans="1:22" x14ac:dyDescent="0.25">
      <c r="A79" s="279">
        <v>2290</v>
      </c>
      <c r="B79" s="280" t="s">
        <v>97</v>
      </c>
      <c r="C79" s="281" t="s">
        <v>100</v>
      </c>
      <c r="D79" s="282">
        <v>100</v>
      </c>
      <c r="E79" s="282" t="s">
        <v>22</v>
      </c>
      <c r="F79" s="283">
        <v>45561</v>
      </c>
      <c r="G79" s="284">
        <v>46022</v>
      </c>
      <c r="H79" s="283"/>
      <c r="I79" s="285">
        <v>1512.48</v>
      </c>
      <c r="J79" s="286">
        <v>30</v>
      </c>
      <c r="K79" s="287">
        <f>I79/J79</f>
        <v>50.416000000000004</v>
      </c>
      <c r="L79" s="286">
        <v>0</v>
      </c>
      <c r="M79" s="286">
        <v>0</v>
      </c>
      <c r="N79" s="286">
        <v>0</v>
      </c>
      <c r="O79" s="286">
        <v>31</v>
      </c>
      <c r="P79" s="288">
        <f>L79+M79+N79+O79</f>
        <v>31</v>
      </c>
      <c r="Q79" s="285">
        <f>K79*50%*L79</f>
        <v>0</v>
      </c>
      <c r="R79" s="285">
        <f>K79*60%*M79</f>
        <v>0</v>
      </c>
      <c r="S79" s="285">
        <f>K79*60%*N79</f>
        <v>0</v>
      </c>
      <c r="T79" s="285">
        <f>K79*75%*O79</f>
        <v>1172.1720000000003</v>
      </c>
      <c r="U79" s="285">
        <f>S79+T79</f>
        <v>1172.1720000000003</v>
      </c>
      <c r="V79" s="285">
        <f>K79*(M79+O79+L79+N79)*100%</f>
        <v>1562.8960000000002</v>
      </c>
    </row>
    <row r="80" spans="1:22" s="185" customFormat="1" x14ac:dyDescent="0.25">
      <c r="A80" s="89">
        <v>2290</v>
      </c>
      <c r="B80" s="68" t="s">
        <v>679</v>
      </c>
      <c r="C80" s="66">
        <v>351029776674</v>
      </c>
      <c r="D80" s="205">
        <v>100</v>
      </c>
      <c r="E80" s="84"/>
      <c r="F80" s="141">
        <v>45915</v>
      </c>
      <c r="G80" s="141"/>
      <c r="H80" s="147">
        <v>46033</v>
      </c>
      <c r="I80" s="85"/>
      <c r="J80" s="85"/>
      <c r="K80" s="85"/>
      <c r="L80" s="85"/>
      <c r="M80" s="85"/>
      <c r="N80" s="85"/>
      <c r="O80" s="85"/>
      <c r="P80" s="192">
        <f>L80+M80+N80+O80</f>
        <v>0</v>
      </c>
      <c r="Q80" s="83" t="s">
        <v>718</v>
      </c>
      <c r="R80" s="68"/>
      <c r="S80" s="68"/>
      <c r="T80" s="68"/>
      <c r="U80" s="85"/>
      <c r="V80" s="68"/>
    </row>
    <row r="81" spans="1:25" s="185" customFormat="1" ht="15" customHeight="1" x14ac:dyDescent="0.25">
      <c r="A81" s="193" t="s">
        <v>681</v>
      </c>
      <c r="B81" s="177"/>
      <c r="C81" s="178"/>
      <c r="D81" s="179"/>
      <c r="E81" s="180"/>
      <c r="F81" s="194"/>
      <c r="G81" s="181"/>
      <c r="H81" s="194"/>
      <c r="I81" s="182"/>
      <c r="J81" s="183"/>
      <c r="K81" s="184"/>
      <c r="L81" s="183"/>
      <c r="M81" s="183"/>
      <c r="N81" s="183"/>
      <c r="O81" s="183"/>
      <c r="P81" s="192"/>
      <c r="Q81" s="182"/>
      <c r="R81" s="182"/>
      <c r="S81" s="182"/>
      <c r="T81" s="182"/>
      <c r="U81" s="182"/>
      <c r="V81" s="182"/>
    </row>
    <row r="82" spans="1:25" x14ac:dyDescent="0.25">
      <c r="A82" s="196">
        <v>2290</v>
      </c>
      <c r="B82" s="44" t="s">
        <v>728</v>
      </c>
      <c r="C82" s="65" t="s">
        <v>458</v>
      </c>
      <c r="D82" s="55">
        <v>200</v>
      </c>
      <c r="E82" s="55" t="s">
        <v>22</v>
      </c>
      <c r="F82" s="12">
        <v>45899</v>
      </c>
      <c r="G82" s="143">
        <v>45962</v>
      </c>
      <c r="H82" s="12" t="s">
        <v>733</v>
      </c>
      <c r="I82" s="42">
        <v>748.59</v>
      </c>
      <c r="J82" s="1">
        <v>38</v>
      </c>
      <c r="K82" s="2">
        <f>I82/J82</f>
        <v>19.699736842105263</v>
      </c>
      <c r="L82" s="1">
        <v>0</v>
      </c>
      <c r="M82" s="1">
        <v>0</v>
      </c>
      <c r="N82" s="1">
        <v>0</v>
      </c>
      <c r="O82" s="1">
        <v>31</v>
      </c>
      <c r="P82" s="192">
        <f>L82+M82+N82+O82</f>
        <v>31</v>
      </c>
      <c r="Q82" s="42">
        <f>K82*50%*L82</f>
        <v>0</v>
      </c>
      <c r="R82" s="42">
        <f>K82*60%*M82</f>
        <v>0</v>
      </c>
      <c r="S82" s="42">
        <f>K82*60%*N82</f>
        <v>0</v>
      </c>
      <c r="T82" s="42">
        <f>K82*75%*O82</f>
        <v>458.01888157894734</v>
      </c>
      <c r="U82" s="42">
        <f>S82+T82</f>
        <v>458.01888157894734</v>
      </c>
      <c r="V82" s="42">
        <f>K82*(M82+O82+L82+N82)*100%</f>
        <v>610.69184210526316</v>
      </c>
    </row>
    <row r="83" spans="1:25" s="185" customFormat="1" ht="15" customHeight="1" x14ac:dyDescent="0.25">
      <c r="A83" s="193" t="s">
        <v>658</v>
      </c>
      <c r="B83" s="177"/>
      <c r="C83" s="178"/>
      <c r="D83" s="179"/>
      <c r="E83" s="180"/>
      <c r="F83" s="194"/>
      <c r="G83" s="181"/>
      <c r="H83" s="194"/>
      <c r="I83" s="182"/>
      <c r="J83" s="183"/>
      <c r="K83" s="184"/>
      <c r="L83" s="183"/>
      <c r="M83" s="183"/>
      <c r="N83" s="183"/>
      <c r="O83" s="183"/>
      <c r="P83" s="192"/>
      <c r="Q83" s="182"/>
      <c r="R83" s="182"/>
      <c r="S83" s="182"/>
      <c r="T83" s="182"/>
      <c r="U83" s="182"/>
      <c r="V83" s="182"/>
    </row>
    <row r="84" spans="1:25" s="185" customFormat="1" ht="15" customHeight="1" x14ac:dyDescent="0.25">
      <c r="A84" s="193" t="s">
        <v>731</v>
      </c>
      <c r="B84" s="177"/>
      <c r="C84" s="178"/>
      <c r="D84" s="179"/>
      <c r="E84" s="180"/>
      <c r="F84" s="194"/>
      <c r="G84" s="181"/>
      <c r="H84" s="194"/>
      <c r="I84" s="182"/>
      <c r="J84" s="183"/>
      <c r="K84" s="184"/>
      <c r="L84" s="183"/>
      <c r="M84" s="183"/>
      <c r="N84" s="183"/>
      <c r="O84" s="183"/>
      <c r="P84" s="192"/>
      <c r="Q84" s="182"/>
      <c r="R84" s="182"/>
      <c r="S84" s="182"/>
      <c r="T84" s="182"/>
      <c r="U84" s="182"/>
      <c r="V84" s="182"/>
    </row>
    <row r="85" spans="1:25" x14ac:dyDescent="0.25">
      <c r="A85" s="196">
        <v>2290</v>
      </c>
      <c r="B85" s="44" t="s">
        <v>515</v>
      </c>
      <c r="C85" s="65" t="s">
        <v>114</v>
      </c>
      <c r="D85" s="55">
        <v>100</v>
      </c>
      <c r="E85" s="55" t="s">
        <v>22</v>
      </c>
      <c r="F85" s="12">
        <v>45856</v>
      </c>
      <c r="G85" s="143">
        <v>45947</v>
      </c>
      <c r="H85" s="12" t="s">
        <v>708</v>
      </c>
      <c r="I85" s="42">
        <v>1477.48</v>
      </c>
      <c r="J85" s="1">
        <v>30</v>
      </c>
      <c r="K85" s="2">
        <f>I85/J85</f>
        <v>49.249333333333333</v>
      </c>
      <c r="L85" s="1">
        <v>0</v>
      </c>
      <c r="M85" s="1">
        <v>0</v>
      </c>
      <c r="N85" s="1">
        <v>0</v>
      </c>
      <c r="O85" s="1">
        <v>31</v>
      </c>
      <c r="P85" s="192">
        <f>L85+M85+N85+O85</f>
        <v>31</v>
      </c>
      <c r="Q85" s="42">
        <f>K85*50%*L85</f>
        <v>0</v>
      </c>
      <c r="R85" s="42">
        <f>K85*60%*M85</f>
        <v>0</v>
      </c>
      <c r="S85" s="42">
        <f>K85*60%*N85</f>
        <v>0</v>
      </c>
      <c r="T85" s="42">
        <f>K85*75%*O85</f>
        <v>1145.047</v>
      </c>
      <c r="U85" s="42">
        <f>S85+T85</f>
        <v>1145.047</v>
      </c>
      <c r="V85" s="42">
        <f>K85*(M85+O85+L85+N85)*100%</f>
        <v>1526.7293333333332</v>
      </c>
    </row>
    <row r="86" spans="1:25" s="185" customFormat="1" ht="15" customHeight="1" x14ac:dyDescent="0.25">
      <c r="A86" s="193" t="s">
        <v>686</v>
      </c>
      <c r="B86" s="177"/>
      <c r="C86" s="178"/>
      <c r="D86" s="179"/>
      <c r="E86" s="180"/>
      <c r="F86" s="194"/>
      <c r="G86" s="181"/>
      <c r="H86" s="194"/>
      <c r="I86" s="220"/>
      <c r="J86" s="183"/>
      <c r="K86" s="184"/>
      <c r="L86" s="183"/>
      <c r="M86" s="183"/>
      <c r="N86" s="183"/>
      <c r="O86" s="183"/>
      <c r="P86" s="192"/>
      <c r="Q86" s="182"/>
      <c r="R86" s="182"/>
      <c r="S86" s="182"/>
      <c r="T86" s="182"/>
      <c r="U86" s="182"/>
      <c r="V86" s="182"/>
      <c r="Y86" s="277"/>
    </row>
    <row r="87" spans="1:25" x14ac:dyDescent="0.25">
      <c r="A87" s="196">
        <v>0</v>
      </c>
      <c r="B87" s="44" t="s">
        <v>792</v>
      </c>
      <c r="C87" s="65" t="s">
        <v>793</v>
      </c>
      <c r="D87" s="55">
        <v>100</v>
      </c>
      <c r="E87" s="55" t="s">
        <v>22</v>
      </c>
      <c r="F87" s="12">
        <v>45957</v>
      </c>
      <c r="G87" s="143">
        <v>45964</v>
      </c>
      <c r="H87" s="203"/>
      <c r="I87" s="42">
        <v>1477.48</v>
      </c>
      <c r="J87" s="1">
        <v>30</v>
      </c>
      <c r="K87" s="2">
        <f>I87/J87</f>
        <v>49.249333333333333</v>
      </c>
      <c r="L87" s="1">
        <v>3</v>
      </c>
      <c r="M87" s="1">
        <v>2</v>
      </c>
      <c r="N87" s="1">
        <v>0</v>
      </c>
      <c r="O87" s="1">
        <v>0</v>
      </c>
      <c r="P87" s="192">
        <f>L87+M87+N87+O87</f>
        <v>5</v>
      </c>
      <c r="Q87" s="42">
        <f>K87*50%*L87</f>
        <v>73.873999999999995</v>
      </c>
      <c r="R87" s="42">
        <f>K87*60%*M87</f>
        <v>59.099199999999996</v>
      </c>
      <c r="S87" s="42">
        <f>K87*60%*N87</f>
        <v>0</v>
      </c>
      <c r="T87" s="42">
        <f>K87*75%*O87</f>
        <v>0</v>
      </c>
      <c r="U87" s="42">
        <f>S87+T87</f>
        <v>0</v>
      </c>
      <c r="V87" s="42">
        <f>K87*(M87+O87+L87+N87)*100%</f>
        <v>246.24666666666667</v>
      </c>
    </row>
    <row r="88" spans="1:25" x14ac:dyDescent="0.25">
      <c r="A88" s="193" t="s">
        <v>794</v>
      </c>
      <c r="B88" s="177"/>
      <c r="C88" s="178"/>
      <c r="D88" s="179"/>
      <c r="E88" s="180"/>
      <c r="F88" s="194"/>
      <c r="G88" s="181"/>
      <c r="H88" s="194"/>
      <c r="I88" s="194" t="s">
        <v>721</v>
      </c>
      <c r="J88" s="183"/>
      <c r="K88" s="184"/>
      <c r="L88" s="183"/>
      <c r="M88" s="183"/>
      <c r="N88" s="183"/>
      <c r="O88" s="183"/>
      <c r="P88" s="192"/>
      <c r="Q88" s="182"/>
      <c r="R88" s="182"/>
      <c r="S88" s="182"/>
      <c r="T88" s="182"/>
      <c r="U88" s="182"/>
      <c r="V88" s="182"/>
    </row>
    <row r="89" spans="1:25" x14ac:dyDescent="0.25">
      <c r="A89" s="196">
        <v>2290</v>
      </c>
      <c r="B89" s="44" t="s">
        <v>615</v>
      </c>
      <c r="C89" s="65" t="s">
        <v>102</v>
      </c>
      <c r="D89" s="55">
        <v>100</v>
      </c>
      <c r="E89" s="55" t="s">
        <v>22</v>
      </c>
      <c r="F89" s="12">
        <v>45891</v>
      </c>
      <c r="G89" s="143"/>
      <c r="H89" s="203">
        <v>45933</v>
      </c>
      <c r="I89" s="42">
        <v>1477.48</v>
      </c>
      <c r="J89" s="1">
        <v>30</v>
      </c>
      <c r="K89" s="2">
        <f>I89/J89</f>
        <v>49.249333333333333</v>
      </c>
      <c r="L89" s="1">
        <v>0</v>
      </c>
      <c r="M89" s="1">
        <v>0</v>
      </c>
      <c r="N89" s="1">
        <v>0</v>
      </c>
      <c r="O89" s="1">
        <v>3</v>
      </c>
      <c r="P89" s="192">
        <f>L89+M89+N89+O89</f>
        <v>3</v>
      </c>
      <c r="Q89" s="42">
        <f>K89*50%*L89</f>
        <v>0</v>
      </c>
      <c r="R89" s="42">
        <f>K89*60%*M89</f>
        <v>0</v>
      </c>
      <c r="S89" s="42">
        <f>K89*60%*N89</f>
        <v>0</v>
      </c>
      <c r="T89" s="42">
        <f>K89*75%*O89</f>
        <v>110.81099999999999</v>
      </c>
      <c r="U89" s="42">
        <f>S89+T89</f>
        <v>110.81099999999999</v>
      </c>
      <c r="V89" s="42">
        <f>K89*(M89+O89+L89+N89)*100%</f>
        <v>147.74799999999999</v>
      </c>
    </row>
    <row r="90" spans="1:25" x14ac:dyDescent="0.25">
      <c r="A90" s="193" t="s">
        <v>729</v>
      </c>
      <c r="B90" s="177"/>
      <c r="C90" s="178"/>
      <c r="D90" s="179"/>
      <c r="E90" s="180"/>
      <c r="F90" s="194"/>
      <c r="G90" s="181"/>
      <c r="H90" s="194"/>
      <c r="I90" s="194" t="s">
        <v>721</v>
      </c>
      <c r="J90" s="183"/>
      <c r="K90" s="184"/>
      <c r="L90" s="183"/>
      <c r="M90" s="183"/>
      <c r="N90" s="183"/>
      <c r="O90" s="183"/>
      <c r="P90" s="192"/>
      <c r="Q90" s="182"/>
      <c r="R90" s="182"/>
      <c r="S90" s="182"/>
      <c r="T90" s="182"/>
      <c r="U90" s="182"/>
      <c r="V90" s="182"/>
    </row>
    <row r="91" spans="1:25" x14ac:dyDescent="0.25">
      <c r="A91" s="197">
        <v>2290</v>
      </c>
      <c r="B91" s="9" t="s">
        <v>54</v>
      </c>
      <c r="C91" s="51"/>
      <c r="D91" s="56"/>
      <c r="E91" s="56"/>
      <c r="F91" s="142"/>
      <c r="G91" s="142"/>
      <c r="H91" s="52"/>
      <c r="I91" s="53"/>
      <c r="J91" s="52"/>
      <c r="K91" s="53"/>
      <c r="L91" s="52"/>
      <c r="M91" s="52"/>
      <c r="N91" s="52"/>
      <c r="O91" s="52"/>
      <c r="P91" s="192">
        <f t="shared" ref="P91:P96" si="5">L91+M91+N91+O91</f>
        <v>0</v>
      </c>
      <c r="Q91" s="10"/>
      <c r="R91" s="10"/>
      <c r="S91" s="10"/>
      <c r="T91" s="10"/>
      <c r="U91" s="11">
        <f>SUM(U59:U90)</f>
        <v>6581.3706815789483</v>
      </c>
      <c r="V91" s="10"/>
    </row>
    <row r="92" spans="1:25" s="185" customFormat="1" x14ac:dyDescent="0.25">
      <c r="A92" s="196">
        <v>2350</v>
      </c>
      <c r="B92" s="44" t="s">
        <v>702</v>
      </c>
      <c r="C92" s="65" t="s">
        <v>703</v>
      </c>
      <c r="D92" s="55">
        <v>100</v>
      </c>
      <c r="E92" s="55" t="s">
        <v>22</v>
      </c>
      <c r="F92" s="12">
        <v>45939</v>
      </c>
      <c r="G92" s="143">
        <v>45960</v>
      </c>
      <c r="H92" s="12" t="s">
        <v>777</v>
      </c>
      <c r="I92" s="42">
        <v>1381.34</v>
      </c>
      <c r="J92" s="1">
        <v>30</v>
      </c>
      <c r="K92" s="2">
        <f>I92/J92</f>
        <v>46.044666666666664</v>
      </c>
      <c r="L92" s="1">
        <v>0</v>
      </c>
      <c r="M92" s="1">
        <v>9</v>
      </c>
      <c r="N92" s="1">
        <v>5</v>
      </c>
      <c r="O92" s="1">
        <v>17</v>
      </c>
      <c r="P92" s="192">
        <f t="shared" si="5"/>
        <v>31</v>
      </c>
      <c r="Q92" s="42">
        <f>K92*50%*L92</f>
        <v>0</v>
      </c>
      <c r="R92" s="42">
        <f>K92*60%*M92</f>
        <v>248.6412</v>
      </c>
      <c r="S92" s="42">
        <f>K92*60%*N92</f>
        <v>138.13399999999999</v>
      </c>
      <c r="T92" s="42">
        <f>K92*75%*O92</f>
        <v>587.06949999999995</v>
      </c>
      <c r="U92" s="42">
        <f>S92+T92</f>
        <v>725.20349999999996</v>
      </c>
      <c r="V92" s="42">
        <f>K92*(M92+O92+L92+N92)*100%</f>
        <v>1427.3846666666666</v>
      </c>
    </row>
    <row r="93" spans="1:25" s="185" customFormat="1" x14ac:dyDescent="0.25">
      <c r="A93" s="196">
        <v>2350</v>
      </c>
      <c r="B93" s="44" t="s">
        <v>752</v>
      </c>
      <c r="C93" s="65" t="s">
        <v>753</v>
      </c>
      <c r="D93" s="55">
        <v>100</v>
      </c>
      <c r="E93" s="55" t="s">
        <v>22</v>
      </c>
      <c r="F93" s="12">
        <v>45946</v>
      </c>
      <c r="G93" s="143">
        <v>45960</v>
      </c>
      <c r="H93" s="12" t="s">
        <v>776</v>
      </c>
      <c r="I93" s="42">
        <v>1420.97</v>
      </c>
      <c r="J93" s="1">
        <v>30</v>
      </c>
      <c r="K93" s="2">
        <f>I93/J93</f>
        <v>47.365666666666669</v>
      </c>
      <c r="L93" s="1">
        <v>3</v>
      </c>
      <c r="M93" s="1">
        <v>12</v>
      </c>
      <c r="N93" s="1">
        <v>1</v>
      </c>
      <c r="O93" s="1">
        <v>0</v>
      </c>
      <c r="P93" s="192">
        <f>L93+M93+N93+O93</f>
        <v>16</v>
      </c>
      <c r="Q93" s="42">
        <f>K93*50%*L93</f>
        <v>71.048500000000004</v>
      </c>
      <c r="R93" s="42">
        <f>K93*60%*M93</f>
        <v>341.03280000000001</v>
      </c>
      <c r="S93" s="42">
        <f>K93*60%*N93</f>
        <v>28.4194</v>
      </c>
      <c r="T93" s="42">
        <f>K93*75%*O93</f>
        <v>0</v>
      </c>
      <c r="U93" s="42">
        <f>S93+T93</f>
        <v>28.4194</v>
      </c>
      <c r="V93" s="42">
        <f>K93*(M93+O93+L93+N93)*100%</f>
        <v>757.85066666666671</v>
      </c>
    </row>
    <row r="94" spans="1:25" s="185" customFormat="1" x14ac:dyDescent="0.25">
      <c r="A94" s="196">
        <v>2350</v>
      </c>
      <c r="B94" s="44" t="s">
        <v>712</v>
      </c>
      <c r="C94" s="65" t="s">
        <v>713</v>
      </c>
      <c r="D94" s="55">
        <v>100</v>
      </c>
      <c r="E94" s="55" t="s">
        <v>22</v>
      </c>
      <c r="F94" s="12">
        <v>45926</v>
      </c>
      <c r="G94" s="143">
        <v>45961</v>
      </c>
      <c r="H94" s="12" t="s">
        <v>757</v>
      </c>
      <c r="I94" s="42">
        <v>1381.34</v>
      </c>
      <c r="J94" s="1">
        <v>30</v>
      </c>
      <c r="K94" s="2">
        <f>I94/J94</f>
        <v>46.044666666666664</v>
      </c>
      <c r="L94" s="1">
        <v>0</v>
      </c>
      <c r="M94" s="1">
        <v>10</v>
      </c>
      <c r="N94" s="1">
        <v>5</v>
      </c>
      <c r="O94" s="1">
        <v>16</v>
      </c>
      <c r="P94" s="192">
        <f t="shared" si="5"/>
        <v>31</v>
      </c>
      <c r="Q94" s="42">
        <f>K94*50%*L94</f>
        <v>0</v>
      </c>
      <c r="R94" s="42">
        <f>K94*60%*M94</f>
        <v>276.26799999999997</v>
      </c>
      <c r="S94" s="42">
        <f>K94*60%*N94</f>
        <v>138.13399999999999</v>
      </c>
      <c r="T94" s="42">
        <f>K94*75%*O94</f>
        <v>552.53599999999994</v>
      </c>
      <c r="U94" s="42">
        <f>S94+T94</f>
        <v>690.67</v>
      </c>
      <c r="V94" s="42">
        <f>K94*(M94+O94+L94+N94)*100%</f>
        <v>1427.3846666666666</v>
      </c>
    </row>
    <row r="95" spans="1:25" x14ac:dyDescent="0.25">
      <c r="A95" s="197">
        <v>2350</v>
      </c>
      <c r="B95" s="9" t="s">
        <v>78</v>
      </c>
      <c r="C95" s="51"/>
      <c r="D95" s="56"/>
      <c r="E95" s="56"/>
      <c r="F95" s="142"/>
      <c r="G95" s="142"/>
      <c r="H95" s="52"/>
      <c r="I95" s="53"/>
      <c r="J95" s="52"/>
      <c r="K95" s="53"/>
      <c r="L95" s="52"/>
      <c r="M95" s="52"/>
      <c r="N95" s="52"/>
      <c r="O95" s="52"/>
      <c r="P95" s="192">
        <f t="shared" si="5"/>
        <v>0</v>
      </c>
      <c r="Q95" s="10"/>
      <c r="R95" s="10"/>
      <c r="S95" s="10"/>
      <c r="T95" s="10"/>
      <c r="U95" s="11">
        <f>SUM(U92:U94)</f>
        <v>1444.2928999999999</v>
      </c>
      <c r="V95" s="10"/>
    </row>
    <row r="96" spans="1:25" x14ac:dyDescent="0.25">
      <c r="A96" s="196">
        <v>2375</v>
      </c>
      <c r="B96" s="44" t="s">
        <v>224</v>
      </c>
      <c r="C96" s="65" t="s">
        <v>573</v>
      </c>
      <c r="D96" s="55">
        <v>100</v>
      </c>
      <c r="E96" s="55" t="s">
        <v>22</v>
      </c>
      <c r="F96" s="12">
        <v>45875</v>
      </c>
      <c r="G96" s="143">
        <v>45960</v>
      </c>
      <c r="H96" s="12" t="s">
        <v>741</v>
      </c>
      <c r="I96" s="42">
        <v>1585.2</v>
      </c>
      <c r="J96" s="1">
        <v>30</v>
      </c>
      <c r="K96" s="2">
        <f>I96/J96</f>
        <v>52.84</v>
      </c>
      <c r="L96" s="1">
        <v>0</v>
      </c>
      <c r="M96" s="1">
        <v>0</v>
      </c>
      <c r="N96" s="1">
        <v>0</v>
      </c>
      <c r="O96" s="1">
        <v>31</v>
      </c>
      <c r="P96" s="192">
        <f t="shared" si="5"/>
        <v>31</v>
      </c>
      <c r="Q96" s="42">
        <f>K96*50%*L96</f>
        <v>0</v>
      </c>
      <c r="R96" s="42">
        <f>K96*60%*M96</f>
        <v>0</v>
      </c>
      <c r="S96" s="42">
        <f>K96*60%*N96</f>
        <v>0</v>
      </c>
      <c r="T96" s="42">
        <f>K96*75%*O96</f>
        <v>1228.53</v>
      </c>
      <c r="U96" s="42">
        <f>S96+T96</f>
        <v>1228.53</v>
      </c>
      <c r="V96" s="42">
        <f>K96*(M96+O96+L96+N96)*100%</f>
        <v>1638.0400000000002</v>
      </c>
    </row>
    <row r="97" spans="1:22" x14ac:dyDescent="0.25">
      <c r="A97" s="193" t="s">
        <v>736</v>
      </c>
      <c r="B97" s="177"/>
      <c r="C97" s="178"/>
      <c r="D97" s="179"/>
      <c r="E97" s="180"/>
      <c r="F97" s="194"/>
      <c r="G97" s="181"/>
      <c r="H97" s="194"/>
      <c r="I97" s="182"/>
      <c r="J97" s="183"/>
      <c r="K97" s="184"/>
      <c r="L97" s="183"/>
      <c r="M97" s="183"/>
      <c r="N97" s="183"/>
      <c r="O97" s="183"/>
      <c r="P97" s="192"/>
      <c r="Q97" s="182"/>
      <c r="R97" s="182"/>
      <c r="S97" s="182"/>
      <c r="T97" s="182"/>
      <c r="U97" s="182"/>
      <c r="V97" s="182"/>
    </row>
    <row r="98" spans="1:22" x14ac:dyDescent="0.25">
      <c r="A98" s="196">
        <v>2375</v>
      </c>
      <c r="B98" s="44" t="s">
        <v>690</v>
      </c>
      <c r="C98" s="65" t="s">
        <v>691</v>
      </c>
      <c r="D98" s="55">
        <v>189</v>
      </c>
      <c r="E98" s="55" t="s">
        <v>22</v>
      </c>
      <c r="F98" s="12">
        <v>45922</v>
      </c>
      <c r="G98" s="143">
        <v>45957</v>
      </c>
      <c r="H98" s="12" t="s">
        <v>761</v>
      </c>
      <c r="I98" s="42">
        <v>1702.75</v>
      </c>
      <c r="J98" s="1">
        <v>30</v>
      </c>
      <c r="K98" s="2">
        <f>I98/J98</f>
        <v>56.758333333333333</v>
      </c>
      <c r="L98" s="1">
        <v>0</v>
      </c>
      <c r="M98" s="1">
        <v>6</v>
      </c>
      <c r="N98" s="1">
        <v>5</v>
      </c>
      <c r="O98" s="1">
        <v>20</v>
      </c>
      <c r="P98" s="192">
        <f>L98+M98+N98+O98</f>
        <v>31</v>
      </c>
      <c r="Q98" s="42">
        <f>K98*50%*L98</f>
        <v>0</v>
      </c>
      <c r="R98" s="42">
        <f>K98*60%*M98</f>
        <v>204.32999999999998</v>
      </c>
      <c r="S98" s="42">
        <f>K98*60%*N98</f>
        <v>170.27500000000001</v>
      </c>
      <c r="T98" s="42">
        <f>K98*75%*O98</f>
        <v>851.375</v>
      </c>
      <c r="U98" s="42">
        <f>S98+T98</f>
        <v>1021.65</v>
      </c>
      <c r="V98" s="42">
        <f>K98*(M98+O98+L98+N98)*100%</f>
        <v>1759.5083333333332</v>
      </c>
    </row>
    <row r="99" spans="1:22" x14ac:dyDescent="0.25">
      <c r="A99" s="193" t="s">
        <v>791</v>
      </c>
      <c r="B99" s="177"/>
      <c r="C99" s="178"/>
      <c r="D99" s="179"/>
      <c r="E99" s="180"/>
      <c r="F99" s="194"/>
      <c r="G99" s="181"/>
      <c r="H99" s="194"/>
      <c r="I99" s="182"/>
      <c r="J99" s="183"/>
      <c r="K99" s="184"/>
      <c r="L99" s="183"/>
      <c r="M99" s="183"/>
      <c r="N99" s="183"/>
      <c r="O99" s="183"/>
      <c r="P99" s="192"/>
      <c r="Q99" s="182"/>
      <c r="R99" s="182"/>
      <c r="S99" s="182"/>
      <c r="T99" s="182"/>
      <c r="U99" s="182"/>
      <c r="V99" s="182"/>
    </row>
    <row r="100" spans="1:22" x14ac:dyDescent="0.25">
      <c r="A100" s="197">
        <v>2375</v>
      </c>
      <c r="B100" s="9" t="s">
        <v>572</v>
      </c>
      <c r="C100" s="51"/>
      <c r="D100" s="56"/>
      <c r="E100" s="56"/>
      <c r="F100" s="142"/>
      <c r="G100" s="142"/>
      <c r="H100" s="52"/>
      <c r="I100" s="53"/>
      <c r="J100" s="52"/>
      <c r="K100" s="53"/>
      <c r="L100" s="52"/>
      <c r="M100" s="52"/>
      <c r="N100" s="52"/>
      <c r="O100" s="52"/>
      <c r="P100" s="192"/>
      <c r="Q100" s="10"/>
      <c r="R100" s="10"/>
      <c r="S100" s="10"/>
      <c r="T100" s="10"/>
      <c r="U100" s="11">
        <f>SUM(U96:U98)</f>
        <v>2250.1799999999998</v>
      </c>
      <c r="V100" s="10"/>
    </row>
    <row r="101" spans="1:22" x14ac:dyDescent="0.25">
      <c r="A101" s="91"/>
      <c r="B101" s="14" t="s">
        <v>24</v>
      </c>
      <c r="C101" s="15"/>
      <c r="D101" s="57"/>
      <c r="E101" s="57"/>
      <c r="F101" s="145"/>
      <c r="G101" s="145"/>
      <c r="H101" s="67"/>
      <c r="I101" s="16"/>
      <c r="J101" s="17"/>
      <c r="K101" s="17"/>
      <c r="L101" s="17"/>
      <c r="M101" s="17"/>
      <c r="N101" s="17"/>
      <c r="O101" s="17"/>
      <c r="P101" s="18"/>
      <c r="Q101" s="16"/>
      <c r="R101" s="43"/>
      <c r="S101" s="43"/>
      <c r="T101" s="43"/>
      <c r="U101" s="43"/>
      <c r="V101" s="43"/>
    </row>
    <row r="102" spans="1:22" x14ac:dyDescent="0.25">
      <c r="A102" s="89">
        <v>2273</v>
      </c>
      <c r="B102" s="68" t="s">
        <v>578</v>
      </c>
      <c r="C102" s="66" t="s">
        <v>579</v>
      </c>
      <c r="D102" s="205"/>
      <c r="E102" s="205" t="s">
        <v>71</v>
      </c>
      <c r="F102" s="141">
        <v>45912</v>
      </c>
      <c r="G102" s="141"/>
      <c r="H102" s="147">
        <v>46044</v>
      </c>
      <c r="I102" s="85"/>
      <c r="J102" s="85"/>
      <c r="K102" s="85"/>
      <c r="L102" s="85"/>
      <c r="M102" s="85"/>
      <c r="N102" s="85"/>
      <c r="O102" s="85"/>
      <c r="P102" s="192"/>
      <c r="Q102" s="83" t="s">
        <v>92</v>
      </c>
      <c r="R102" s="68"/>
      <c r="S102" s="68"/>
      <c r="T102" s="68"/>
      <c r="U102" s="85"/>
      <c r="V102" s="68"/>
    </row>
    <row r="103" spans="1:22" x14ac:dyDescent="0.25">
      <c r="A103" s="195">
        <v>2273</v>
      </c>
      <c r="B103" s="9" t="s">
        <v>577</v>
      </c>
      <c r="C103" s="51"/>
      <c r="D103" s="56"/>
      <c r="E103" s="56"/>
      <c r="F103" s="142"/>
      <c r="G103" s="142"/>
      <c r="H103" s="52"/>
      <c r="I103" s="53"/>
      <c r="J103" s="52"/>
      <c r="K103" s="53"/>
      <c r="L103" s="52"/>
      <c r="M103" s="52"/>
      <c r="N103" s="52"/>
      <c r="O103" s="52"/>
      <c r="P103" s="192"/>
      <c r="Q103" s="10"/>
      <c r="R103" s="10"/>
      <c r="S103" s="10"/>
      <c r="T103" s="10"/>
      <c r="U103" s="11"/>
      <c r="V103" s="10"/>
    </row>
    <row r="104" spans="1:22" x14ac:dyDescent="0.25">
      <c r="A104" s="90">
        <v>2442</v>
      </c>
      <c r="B104" s="8" t="s">
        <v>82</v>
      </c>
      <c r="C104" s="65" t="s">
        <v>83</v>
      </c>
      <c r="D104" s="55"/>
      <c r="E104" s="55" t="s">
        <v>71</v>
      </c>
      <c r="F104" s="12">
        <v>45385</v>
      </c>
      <c r="G104" s="144">
        <v>45784</v>
      </c>
      <c r="H104" s="146" t="s">
        <v>340</v>
      </c>
      <c r="I104" s="19"/>
      <c r="J104" s="20"/>
      <c r="K104" s="20"/>
      <c r="L104" s="100" t="s">
        <v>470</v>
      </c>
      <c r="M104" s="86"/>
      <c r="N104" s="86"/>
      <c r="O104" s="86"/>
      <c r="P104" s="73"/>
      <c r="Q104" s="73"/>
      <c r="R104" s="73"/>
      <c r="S104" s="73"/>
      <c r="T104" s="73"/>
      <c r="U104" s="86"/>
      <c r="V104" s="74"/>
    </row>
    <row r="105" spans="1:22" x14ac:dyDescent="0.25">
      <c r="A105" s="90">
        <v>2442</v>
      </c>
      <c r="B105" s="8" t="s">
        <v>575</v>
      </c>
      <c r="C105" s="65" t="s">
        <v>576</v>
      </c>
      <c r="D105" s="55"/>
      <c r="E105" s="55" t="s">
        <v>71</v>
      </c>
      <c r="F105" s="12">
        <v>45877</v>
      </c>
      <c r="G105" s="144">
        <v>45961</v>
      </c>
      <c r="H105" s="146" t="s">
        <v>742</v>
      </c>
      <c r="I105" s="19"/>
      <c r="J105" s="20"/>
      <c r="K105" s="20"/>
      <c r="L105" s="100"/>
      <c r="M105" s="86"/>
      <c r="N105" s="86"/>
      <c r="O105" s="86"/>
      <c r="P105" s="73"/>
      <c r="Q105" s="73"/>
      <c r="R105" s="73"/>
      <c r="S105" s="73"/>
      <c r="T105" s="73"/>
      <c r="U105" s="86"/>
      <c r="V105" s="74"/>
    </row>
    <row r="106" spans="1:22" x14ac:dyDescent="0.25">
      <c r="A106" s="195">
        <v>2442</v>
      </c>
      <c r="B106" s="9" t="s">
        <v>84</v>
      </c>
      <c r="C106" s="51"/>
      <c r="D106" s="56"/>
      <c r="E106" s="56"/>
      <c r="F106" s="142"/>
      <c r="G106" s="142"/>
      <c r="H106" s="52"/>
      <c r="I106" s="53"/>
      <c r="J106" s="52"/>
      <c r="K106" s="53"/>
      <c r="L106" s="52"/>
      <c r="M106" s="52"/>
      <c r="N106" s="52"/>
      <c r="O106" s="52"/>
      <c r="P106" s="192"/>
      <c r="Q106" s="10"/>
      <c r="R106" s="10"/>
      <c r="S106" s="10"/>
      <c r="T106" s="10"/>
      <c r="U106" s="11"/>
      <c r="V106" s="10"/>
    </row>
    <row r="107" spans="1:22" ht="15.75" thickBot="1" x14ac:dyDescent="0.3">
      <c r="A107" s="87"/>
      <c r="C107" s="23"/>
      <c r="D107" s="58"/>
      <c r="F107" s="23"/>
      <c r="G107" s="23"/>
      <c r="H107" s="23"/>
      <c r="I107" s="72"/>
      <c r="J107" s="23"/>
      <c r="K107" s="23"/>
      <c r="L107" s="23"/>
      <c r="M107" s="23"/>
      <c r="N107" s="23"/>
      <c r="O107" s="23"/>
      <c r="P107" s="23"/>
      <c r="Q107" s="72"/>
      <c r="R107" s="72"/>
      <c r="S107" s="72"/>
      <c r="T107" s="72"/>
      <c r="U107" s="72"/>
      <c r="V107" s="72"/>
    </row>
    <row r="108" spans="1:22" ht="15.75" thickBot="1" x14ac:dyDescent="0.3">
      <c r="A108" s="87"/>
      <c r="C108" s="23"/>
      <c r="D108" s="58"/>
      <c r="E108" s="23"/>
      <c r="F108" s="23"/>
      <c r="G108" s="23"/>
      <c r="H108" s="160" t="s">
        <v>25</v>
      </c>
      <c r="I108" s="161"/>
      <c r="J108" s="101"/>
      <c r="K108" s="102"/>
      <c r="L108" s="103"/>
      <c r="M108" s="104"/>
      <c r="N108" s="38"/>
      <c r="O108" s="38"/>
      <c r="P108" s="105"/>
      <c r="Q108" s="106"/>
      <c r="R108" s="107"/>
      <c r="S108" s="108"/>
      <c r="T108" s="108"/>
      <c r="U108" s="25"/>
      <c r="V108" s="109"/>
    </row>
    <row r="109" spans="1:22" x14ac:dyDescent="0.25">
      <c r="A109" s="93"/>
      <c r="B109" s="46"/>
      <c r="C109" s="46" t="s">
        <v>26</v>
      </c>
      <c r="D109" s="59"/>
      <c r="E109" s="46"/>
      <c r="F109" s="46"/>
      <c r="G109" s="47"/>
      <c r="H109" s="162"/>
      <c r="I109" s="163"/>
      <c r="J109" s="79" t="s">
        <v>27</v>
      </c>
      <c r="K109" s="110"/>
      <c r="L109" s="111"/>
      <c r="M109" s="110"/>
      <c r="N109" s="111"/>
      <c r="O109" s="111"/>
      <c r="P109" s="112"/>
      <c r="Q109" s="113"/>
      <c r="R109" s="110"/>
      <c r="S109" s="113"/>
      <c r="T109" s="114"/>
      <c r="U109" s="45"/>
      <c r="V109" s="115"/>
    </row>
    <row r="110" spans="1:22" x14ac:dyDescent="0.25">
      <c r="A110" s="94"/>
      <c r="B110" s="27"/>
      <c r="C110" s="27" t="s">
        <v>28</v>
      </c>
      <c r="D110" s="60"/>
      <c r="E110" s="28"/>
      <c r="F110" s="27"/>
      <c r="G110" s="48"/>
      <c r="H110" s="164" t="s">
        <v>29</v>
      </c>
      <c r="I110" s="165"/>
      <c r="J110" s="117" t="s">
        <v>30</v>
      </c>
      <c r="K110" s="116"/>
      <c r="L110" s="118"/>
      <c r="M110" s="116"/>
      <c r="N110" s="118"/>
      <c r="O110" s="118"/>
      <c r="P110" s="119"/>
      <c r="Q110" s="120"/>
      <c r="R110" s="116"/>
      <c r="S110" s="120"/>
      <c r="T110" s="121"/>
      <c r="U110" s="29"/>
      <c r="V110" s="122"/>
    </row>
    <row r="111" spans="1:22" ht="15.75" thickBot="1" x14ac:dyDescent="0.3">
      <c r="A111" s="95"/>
      <c r="B111" s="30"/>
      <c r="C111" s="30" t="s">
        <v>31</v>
      </c>
      <c r="D111" s="61"/>
      <c r="E111" s="30"/>
      <c r="F111" s="30"/>
      <c r="G111" s="49"/>
      <c r="H111" s="166"/>
      <c r="I111" s="167"/>
      <c r="J111" s="82" t="s">
        <v>32</v>
      </c>
      <c r="K111" s="123"/>
      <c r="L111" s="124"/>
      <c r="M111" s="123"/>
      <c r="N111" s="124"/>
      <c r="O111" s="124"/>
      <c r="P111" s="125"/>
      <c r="Q111" s="123"/>
      <c r="R111" s="123"/>
      <c r="S111" s="123"/>
      <c r="T111" s="126"/>
      <c r="U111" s="31"/>
      <c r="V111" s="127"/>
    </row>
    <row r="112" spans="1:22" x14ac:dyDescent="0.25">
      <c r="A112" s="156"/>
      <c r="B112" s="157"/>
      <c r="C112" s="157" t="s">
        <v>33</v>
      </c>
      <c r="D112" s="158"/>
      <c r="E112" s="157"/>
      <c r="F112" s="157"/>
      <c r="G112" s="265"/>
      <c r="H112" s="168" t="s">
        <v>34</v>
      </c>
      <c r="I112" s="169"/>
      <c r="J112" s="129"/>
      <c r="K112" s="129"/>
      <c r="L112" s="129"/>
      <c r="M112" s="129"/>
      <c r="N112" s="129"/>
      <c r="O112" s="129"/>
      <c r="P112" s="130"/>
      <c r="Q112" s="128"/>
      <c r="R112" s="128"/>
      <c r="S112" s="128"/>
      <c r="T112" s="131"/>
      <c r="U112" s="32"/>
      <c r="V112" s="132"/>
    </row>
    <row r="113" spans="1:22" ht="15.75" thickBot="1" x14ac:dyDescent="0.3">
      <c r="A113" s="96"/>
      <c r="B113" s="201"/>
      <c r="C113" s="76" t="s">
        <v>35</v>
      </c>
      <c r="D113" s="77"/>
      <c r="E113" s="76"/>
      <c r="F113" s="76"/>
      <c r="G113" s="78"/>
      <c r="H113" s="170" t="s">
        <v>36</v>
      </c>
      <c r="I113" s="171"/>
      <c r="J113" s="134"/>
      <c r="K113" s="134"/>
      <c r="L113" s="134"/>
      <c r="M113" s="134"/>
      <c r="N113" s="134"/>
      <c r="O113" s="134"/>
      <c r="P113" s="135"/>
      <c r="Q113" s="133"/>
      <c r="R113" s="133"/>
      <c r="S113" s="133"/>
      <c r="T113" s="136"/>
      <c r="U113" s="33"/>
      <c r="V113" s="137"/>
    </row>
    <row r="114" spans="1:22" ht="15.75" thickBot="1" x14ac:dyDescent="0.3">
      <c r="A114" s="97"/>
      <c r="B114" s="34"/>
      <c r="C114" s="34" t="s">
        <v>37</v>
      </c>
      <c r="D114" s="62"/>
      <c r="E114" s="34"/>
      <c r="F114" s="34"/>
      <c r="G114" s="50"/>
      <c r="H114" s="172" t="s">
        <v>38</v>
      </c>
      <c r="I114" s="165"/>
      <c r="J114" s="117" t="s">
        <v>30</v>
      </c>
      <c r="K114" s="116"/>
      <c r="L114" s="118"/>
      <c r="M114" s="116"/>
      <c r="N114" s="118"/>
      <c r="O114" s="118"/>
      <c r="P114" s="119"/>
      <c r="Q114" s="120"/>
      <c r="R114" s="116"/>
      <c r="S114" s="120"/>
      <c r="T114" s="121"/>
      <c r="U114" s="29"/>
      <c r="V114" s="122"/>
    </row>
    <row r="115" spans="1:22" ht="15.75" thickBot="1" x14ac:dyDescent="0.3">
      <c r="A115" s="98"/>
      <c r="B115" s="35" t="s">
        <v>39</v>
      </c>
      <c r="C115" s="36"/>
      <c r="D115" s="63"/>
      <c r="E115" s="36"/>
      <c r="F115" s="36"/>
      <c r="G115" s="37"/>
      <c r="H115" s="173"/>
      <c r="I115" s="174"/>
      <c r="J115" s="80" t="s">
        <v>40</v>
      </c>
      <c r="K115" s="104"/>
      <c r="L115" s="103"/>
      <c r="M115" s="104"/>
      <c r="N115" s="103"/>
      <c r="O115" s="103"/>
      <c r="P115" s="138"/>
      <c r="Q115" s="104"/>
      <c r="R115" s="104"/>
      <c r="S115" s="104"/>
      <c r="T115" s="139"/>
      <c r="U115" s="26"/>
      <c r="V115" s="140"/>
    </row>
    <row r="116" spans="1:22" ht="15.75" thickBot="1" x14ac:dyDescent="0.3">
      <c r="A116" s="148"/>
      <c r="B116" s="152" t="s">
        <v>57</v>
      </c>
      <c r="C116" s="149"/>
      <c r="D116" s="150"/>
      <c r="E116" s="149"/>
      <c r="F116" s="149"/>
      <c r="G116" s="151"/>
      <c r="H116" s="173"/>
      <c r="I116" s="174"/>
      <c r="J116" s="80" t="s">
        <v>41</v>
      </c>
      <c r="K116" s="104"/>
      <c r="L116" s="103"/>
      <c r="M116" s="104"/>
      <c r="N116" s="103"/>
      <c r="O116" s="103"/>
      <c r="P116" s="138"/>
      <c r="Q116" s="104"/>
      <c r="R116" s="104"/>
      <c r="S116" s="104"/>
      <c r="T116" s="139"/>
      <c r="U116" s="26"/>
      <c r="V116" s="140"/>
    </row>
    <row r="117" spans="1:22" ht="15.75" thickBot="1" x14ac:dyDescent="0.3">
      <c r="A117" s="290" t="s">
        <v>123</v>
      </c>
      <c r="B117" s="291"/>
      <c r="C117" s="291"/>
      <c r="D117" s="291"/>
      <c r="E117" s="291"/>
      <c r="F117" s="291"/>
      <c r="G117" s="292"/>
      <c r="H117" s="166"/>
      <c r="I117" s="167"/>
      <c r="J117" s="82" t="s">
        <v>42</v>
      </c>
      <c r="K117" s="123"/>
      <c r="L117" s="124"/>
      <c r="M117" s="123"/>
      <c r="N117" s="124"/>
      <c r="O117" s="124"/>
      <c r="P117" s="125"/>
      <c r="Q117" s="123"/>
      <c r="R117" s="123"/>
      <c r="S117" s="123"/>
      <c r="T117" s="126"/>
      <c r="U117" s="31"/>
      <c r="V117" s="127"/>
    </row>
    <row r="118" spans="1:22" x14ac:dyDescent="0.25">
      <c r="A118" s="296" t="s">
        <v>743</v>
      </c>
      <c r="B118" s="296"/>
      <c r="C118" s="296"/>
      <c r="D118" s="296"/>
      <c r="E118" s="296"/>
      <c r="F118" s="296"/>
      <c r="G118" s="297"/>
      <c r="H118" s="172" t="s">
        <v>43</v>
      </c>
      <c r="I118" s="165"/>
      <c r="J118" s="117" t="s">
        <v>44</v>
      </c>
      <c r="K118" s="116"/>
      <c r="L118" s="118"/>
      <c r="M118" s="116"/>
      <c r="N118" s="118"/>
      <c r="O118" s="118"/>
      <c r="P118" s="119"/>
      <c r="Q118" s="120"/>
      <c r="R118" s="116"/>
      <c r="S118" s="120"/>
      <c r="T118" s="121"/>
      <c r="U118" s="29"/>
      <c r="V118" s="122"/>
    </row>
    <row r="119" spans="1:22" x14ac:dyDescent="0.25">
      <c r="A119" s="99"/>
      <c r="B119" s="38"/>
      <c r="C119" s="39"/>
      <c r="D119" s="64"/>
      <c r="E119" s="24"/>
      <c r="F119" s="71"/>
      <c r="G119" s="71"/>
      <c r="H119" s="173"/>
      <c r="I119" s="174"/>
      <c r="J119" s="80" t="s">
        <v>45</v>
      </c>
      <c r="K119" s="104"/>
      <c r="L119" s="103"/>
      <c r="M119" s="104"/>
      <c r="N119" s="103"/>
      <c r="O119" s="103"/>
      <c r="P119" s="138"/>
      <c r="Q119" s="104"/>
      <c r="R119" s="104"/>
      <c r="S119" s="104"/>
      <c r="T119" s="139"/>
      <c r="U119" s="26"/>
      <c r="V119" s="140"/>
    </row>
    <row r="120" spans="1:22" x14ac:dyDescent="0.25">
      <c r="A120" s="87"/>
      <c r="C120" s="23"/>
      <c r="D120" s="58"/>
      <c r="E120" s="23"/>
      <c r="F120" s="23"/>
      <c r="G120" s="23"/>
      <c r="H120" s="173"/>
      <c r="I120" s="174"/>
      <c r="J120" s="80" t="s">
        <v>46</v>
      </c>
      <c r="K120" s="104"/>
      <c r="L120" s="103"/>
      <c r="M120" s="104"/>
      <c r="N120" s="103"/>
      <c r="O120" s="103"/>
      <c r="P120" s="138"/>
      <c r="Q120" s="104"/>
      <c r="R120" s="104"/>
      <c r="S120" s="104"/>
      <c r="T120" s="139"/>
      <c r="U120" s="26"/>
      <c r="V120" s="140"/>
    </row>
    <row r="121" spans="1:22" ht="15.75" thickBot="1" x14ac:dyDescent="0.3">
      <c r="A121" s="87"/>
      <c r="C121" s="23"/>
      <c r="D121" s="58"/>
      <c r="E121" s="23"/>
      <c r="F121" s="23"/>
      <c r="G121" s="23"/>
      <c r="H121" s="175"/>
      <c r="I121" s="176"/>
      <c r="J121" s="82" t="s">
        <v>47</v>
      </c>
      <c r="K121" s="123"/>
      <c r="L121" s="124"/>
      <c r="M121" s="123"/>
      <c r="N121" s="124"/>
      <c r="O121" s="124"/>
      <c r="P121" s="125"/>
      <c r="Q121" s="123"/>
      <c r="R121" s="123"/>
      <c r="S121" s="123"/>
      <c r="T121" s="126"/>
      <c r="U121" s="31"/>
      <c r="V121" s="127"/>
    </row>
  </sheetData>
  <mergeCells count="2">
    <mergeCell ref="A117:G117"/>
    <mergeCell ref="A118:G118"/>
  </mergeCells>
  <phoneticPr fontId="12" type="noConversion"/>
  <pageMargins left="0.23622047244094491" right="0.23622047244094491" top="0.39370078740157483" bottom="0.15748031496062992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ENE25</vt:lpstr>
      <vt:lpstr>FEB25</vt:lpstr>
      <vt:lpstr>MAR25</vt:lpstr>
      <vt:lpstr>ABR25</vt:lpstr>
      <vt:lpstr>MAY25</vt:lpstr>
      <vt:lpstr>JUN25</vt:lpstr>
      <vt:lpstr>JUL25</vt:lpstr>
      <vt:lpstr>AGO25</vt:lpstr>
      <vt:lpstr>SEP25</vt:lpstr>
      <vt:lpstr>OCT25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Yaiza Afonso</dc:creator>
  <cp:lastModifiedBy>Leila</cp:lastModifiedBy>
  <cp:lastPrinted>2025-10-23T10:49:48Z</cp:lastPrinted>
  <dcterms:created xsi:type="dcterms:W3CDTF">2022-01-10T15:49:41Z</dcterms:created>
  <dcterms:modified xsi:type="dcterms:W3CDTF">2025-10-29T09:22:42Z</dcterms:modified>
</cp:coreProperties>
</file>