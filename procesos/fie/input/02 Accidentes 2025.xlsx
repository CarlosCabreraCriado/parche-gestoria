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LABORAL\LAB Seccion 3\2025\Listado Controles\02 Listado INCAPACIDAD TEMPORAL\"/>
    </mc:Choice>
  </mc:AlternateContent>
  <bookViews>
    <workbookView xWindow="-105" yWindow="-105" windowWidth="23265" windowHeight="12465" activeTab="9"/>
  </bookViews>
  <sheets>
    <sheet name="ENE25" sheetId="90" r:id="rId1"/>
    <sheet name="FEB25" sheetId="91" r:id="rId2"/>
    <sheet name="MAR25" sheetId="92" r:id="rId3"/>
    <sheet name="ABR25" sheetId="93" r:id="rId4"/>
    <sheet name="MAY25" sheetId="94" r:id="rId5"/>
    <sheet name="JUN25" sheetId="95" r:id="rId6"/>
    <sheet name="JUL25" sheetId="96" r:id="rId7"/>
    <sheet name="AGO25" sheetId="97" r:id="rId8"/>
    <sheet name="SEPT25" sheetId="98" r:id="rId9"/>
    <sheet name="OCT25" sheetId="99" r:id="rId10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8" i="99" l="1"/>
  <c r="O8" i="99" s="1"/>
  <c r="Q8" i="99" s="1"/>
  <c r="N8" i="99" l="1"/>
  <c r="L10" i="99"/>
  <c r="N10" i="99" s="1"/>
  <c r="N11" i="99" s="1"/>
  <c r="L5" i="99"/>
  <c r="N5" i="99" s="1"/>
  <c r="P8" i="99" l="1"/>
  <c r="N9" i="99"/>
  <c r="O10" i="99"/>
  <c r="Q10" i="99" s="1"/>
  <c r="O5" i="99"/>
  <c r="Q5" i="99" s="1"/>
  <c r="N7" i="99"/>
  <c r="L8" i="98"/>
  <c r="N8" i="98" s="1"/>
  <c r="P10" i="99" l="1"/>
  <c r="P5" i="99"/>
  <c r="N9" i="98"/>
  <c r="O8" i="98"/>
  <c r="Q8" i="98" s="1"/>
  <c r="L5" i="98"/>
  <c r="N5" i="98" s="1"/>
  <c r="P8" i="98" l="1"/>
  <c r="O5" i="98"/>
  <c r="Q5" i="98" s="1"/>
  <c r="N7" i="98"/>
  <c r="L11" i="97"/>
  <c r="O11" i="97" s="1"/>
  <c r="Q11" i="97" s="1"/>
  <c r="L8" i="96"/>
  <c r="O8" i="96" s="1"/>
  <c r="Q8" i="96" s="1"/>
  <c r="P5" i="98" l="1"/>
  <c r="N11" i="97"/>
  <c r="N8" i="96"/>
  <c r="L5" i="97"/>
  <c r="O5" i="97" s="1"/>
  <c r="Q5" i="97" s="1"/>
  <c r="N12" i="97" l="1"/>
  <c r="P11" i="97"/>
  <c r="P8" i="96"/>
  <c r="N9" i="96"/>
  <c r="N5" i="97"/>
  <c r="L8" i="97"/>
  <c r="N8" i="97" s="1"/>
  <c r="P5" i="97" l="1"/>
  <c r="N7" i="97"/>
  <c r="O8" i="97"/>
  <c r="Q8" i="97" s="1"/>
  <c r="L10" i="96"/>
  <c r="O10" i="96" s="1"/>
  <c r="Q10" i="96" s="1"/>
  <c r="P8" i="97" l="1"/>
  <c r="N10" i="97"/>
  <c r="N10" i="96"/>
  <c r="L12" i="96"/>
  <c r="O12" i="96" s="1"/>
  <c r="Q12" i="96" s="1"/>
  <c r="N11" i="96" l="1"/>
  <c r="P10" i="96"/>
  <c r="N12" i="96"/>
  <c r="L10" i="95"/>
  <c r="O10" i="95" s="1"/>
  <c r="Q10" i="95" s="1"/>
  <c r="P12" i="96" l="1"/>
  <c r="N13" i="96"/>
  <c r="N10" i="95"/>
  <c r="L6" i="96"/>
  <c r="N6" i="96" s="1"/>
  <c r="L5" i="96"/>
  <c r="O5" i="96" s="1"/>
  <c r="Q5" i="96" s="1"/>
  <c r="N11" i="95" l="1"/>
  <c r="P10" i="95"/>
  <c r="O6" i="96"/>
  <c r="Q6" i="96" s="1"/>
  <c r="N5" i="96"/>
  <c r="L8" i="95"/>
  <c r="O8" i="95" s="1"/>
  <c r="Q8" i="95" s="1"/>
  <c r="P6" i="96" l="1"/>
  <c r="N7" i="96"/>
  <c r="P5" i="96"/>
  <c r="N8" i="95"/>
  <c r="N9" i="95" s="1"/>
  <c r="P8" i="95" l="1"/>
  <c r="L12" i="95"/>
  <c r="O12" i="95" s="1"/>
  <c r="Q12" i="95" s="1"/>
  <c r="L6" i="95"/>
  <c r="O6" i="95" s="1"/>
  <c r="Q6" i="95" s="1"/>
  <c r="L5" i="95"/>
  <c r="N5" i="95" s="1"/>
  <c r="O5" i="95" l="1"/>
  <c r="Q5" i="95" s="1"/>
  <c r="N6" i="95"/>
  <c r="P6" i="95" s="1"/>
  <c r="N12" i="95"/>
  <c r="N13" i="95" s="1"/>
  <c r="L5" i="94"/>
  <c r="O5" i="94" s="1"/>
  <c r="Q5" i="94" s="1"/>
  <c r="P5" i="95" l="1"/>
  <c r="N7" i="95"/>
  <c r="P12" i="95"/>
  <c r="N5" i="94"/>
  <c r="L6" i="94"/>
  <c r="O6" i="94" s="1"/>
  <c r="Q6" i="94" s="1"/>
  <c r="P5" i="94" l="1"/>
  <c r="N6" i="94"/>
  <c r="N7" i="94" s="1"/>
  <c r="L8" i="94"/>
  <c r="O8" i="94" s="1"/>
  <c r="Q8" i="94" s="1"/>
  <c r="P6" i="94" l="1"/>
  <c r="N8" i="94"/>
  <c r="N9" i="94" s="1"/>
  <c r="L5" i="93"/>
  <c r="O5" i="93" s="1"/>
  <c r="Q5" i="93" s="1"/>
  <c r="P8" i="94" l="1"/>
  <c r="N5" i="93"/>
  <c r="L7" i="93"/>
  <c r="O7" i="93" s="1"/>
  <c r="Q7" i="93" s="1"/>
  <c r="N6" i="93" l="1"/>
  <c r="P5" i="93"/>
  <c r="N7" i="93"/>
  <c r="L5" i="92"/>
  <c r="N5" i="92" s="1"/>
  <c r="N8" i="93" l="1"/>
  <c r="P7" i="93"/>
  <c r="N6" i="92"/>
  <c r="O5" i="92"/>
  <c r="Q5" i="92" s="1"/>
  <c r="L5" i="91"/>
  <c r="O5" i="91" s="1"/>
  <c r="Q5" i="91" s="1"/>
  <c r="P5" i="92" l="1"/>
  <c r="N5" i="91"/>
  <c r="L5" i="90"/>
  <c r="O5" i="90" s="1"/>
  <c r="Q5" i="90" s="1"/>
  <c r="P5" i="91" l="1"/>
  <c r="N6" i="91"/>
  <c r="N5" i="90"/>
  <c r="L7" i="90"/>
  <c r="O7" i="90" l="1"/>
  <c r="Q7" i="90" s="1"/>
  <c r="N7" i="90"/>
  <c r="N6" i="90"/>
  <c r="P5" i="90"/>
  <c r="P7" i="90" l="1"/>
  <c r="N9" i="90"/>
</calcChain>
</file>

<file path=xl/sharedStrings.xml><?xml version="1.0" encoding="utf-8"?>
<sst xmlns="http://schemas.openxmlformats.org/spreadsheetml/2006/main" count="441" uniqueCount="102">
  <si>
    <t>APELLIDOS Y NOMBRE</t>
  </si>
  <si>
    <t>MUTUA</t>
  </si>
  <si>
    <t>F.  BAJA</t>
  </si>
  <si>
    <t>F. ALTA</t>
  </si>
  <si>
    <t>BASE MES ANT</t>
  </si>
  <si>
    <t>DIAS</t>
  </si>
  <si>
    <t>DIAS 75%</t>
  </si>
  <si>
    <t>BASE DIA</t>
  </si>
  <si>
    <t>Indemn.75%</t>
  </si>
  <si>
    <t>Indemn.25%</t>
  </si>
  <si>
    <t>I.T.100%</t>
  </si>
  <si>
    <t>dif.ILT(25%)</t>
  </si>
  <si>
    <t>** El dia del Accidente se cuenta como dia de trabajo la empresa pagará el 100% del salario</t>
  </si>
  <si>
    <t>EXP</t>
  </si>
  <si>
    <t>CONTRATO</t>
  </si>
  <si>
    <t>DNI</t>
  </si>
  <si>
    <t>Próxima revisión</t>
  </si>
  <si>
    <t>*** OJO COMPLEMENTO IT CONSTRUCCION: 100% BASE REGULADORA DEL 1º AL 360 DIAS EN BAJAS SUPERIORES A 20 DÍAS, EN BAJAS DE MENOS</t>
  </si>
  <si>
    <t>DE 20 DÍAS, COMPLEMENTO DEL DÍA 7º AL 360</t>
  </si>
  <si>
    <t xml:space="preserve">*** OJO COMPLEMENTOS EN EMPRESAS CON INAPLICACION </t>
  </si>
  <si>
    <t>CORONAVIRUS</t>
  </si>
  <si>
    <t>PAGO DIRECTO</t>
  </si>
  <si>
    <t>RECAIDA</t>
  </si>
  <si>
    <t xml:space="preserve">AUTONOMOS </t>
  </si>
  <si>
    <t>*** OJO EN BAJAS EN ERTE EL CÁLCULO SE HACE SOBRE EL PORCENTAJE DE JORNADA TRABAJADA</t>
  </si>
  <si>
    <t>2290-CANARY</t>
  </si>
  <si>
    <t>NO PUEDE BONIF ENF/ACC MAYORES ENV CASSIA NO BONIF POR NO TENER PLAN IG</t>
  </si>
  <si>
    <t>C.C.C.</t>
  </si>
  <si>
    <t>ASEP</t>
  </si>
  <si>
    <t>YANES HERRERA MARIA ELENA</t>
  </si>
  <si>
    <t xml:space="preserve">HERREA GUARIN, CLAUDIA PATRICIA </t>
  </si>
  <si>
    <t>200</t>
  </si>
  <si>
    <t>79095392W</t>
  </si>
  <si>
    <t>ok baja SUSTITUIDO POR WENDY CUERO RENTERIA - OJO DAR DE BAJA CUANDO FINALICE IT</t>
  </si>
  <si>
    <t>CANARY GREEN CORNER SLU</t>
  </si>
  <si>
    <t>RODRIGUEZ TEJEIRA, OLGA</t>
  </si>
  <si>
    <t>43802617Z</t>
  </si>
  <si>
    <t>100</t>
  </si>
  <si>
    <t>ok transformacion indefinido</t>
  </si>
  <si>
    <t xml:space="preserve">GESTABAC CANARIAS S.L. </t>
  </si>
  <si>
    <t>78611599Z</t>
  </si>
  <si>
    <t>189</t>
  </si>
  <si>
    <t>ASEPEYO</t>
  </si>
  <si>
    <t>GONZALEZ MARRERO, TOMAS</t>
  </si>
  <si>
    <t>PC4-14/04/2025</t>
  </si>
  <si>
    <t>21/04/2025</t>
  </si>
  <si>
    <t>CAYRO OFF ROAD</t>
  </si>
  <si>
    <t>78611599Z78706410L</t>
  </si>
  <si>
    <t>FRATERNIDAD</t>
  </si>
  <si>
    <t>BANCO FABELO, TINGUARO BENCOMO</t>
  </si>
  <si>
    <t>CARGRI</t>
  </si>
  <si>
    <t>OGANDO FERNANDEZ, FERNANDO ANTONIO</t>
  </si>
  <si>
    <t>42242249N</t>
  </si>
  <si>
    <t>GONZALEZ DIAZ, CLAUDIA</t>
  </si>
  <si>
    <t>79236177G</t>
  </si>
  <si>
    <t>04/06/2025</t>
  </si>
  <si>
    <t>PC4-26/05/25</t>
  </si>
  <si>
    <t>16/06/2025</t>
  </si>
  <si>
    <t xml:space="preserve">FRAT  </t>
  </si>
  <si>
    <t>FRAT</t>
  </si>
  <si>
    <t>TRUENO IMPORTACIÓN</t>
  </si>
  <si>
    <t>FERREIRA DIAZ, MILAGROS</t>
  </si>
  <si>
    <t>43815168F</t>
  </si>
  <si>
    <t>PC2-10/06/25</t>
  </si>
  <si>
    <t>17/06/2025</t>
  </si>
  <si>
    <t>PC3-13/06/25</t>
  </si>
  <si>
    <t>GENERCLIMA 2012</t>
  </si>
  <si>
    <t>CASTELLANO PADILLA, DAVID</t>
  </si>
  <si>
    <t>78708636Z</t>
  </si>
  <si>
    <t>07/07/2025</t>
  </si>
  <si>
    <t>29/07/2025</t>
  </si>
  <si>
    <t>AGUILAR PIÑERO, CESAR ENRIQUE</t>
  </si>
  <si>
    <t>12841693B</t>
  </si>
  <si>
    <t>25/07/2025</t>
  </si>
  <si>
    <t>PC8-18/07/25</t>
  </si>
  <si>
    <t>SUSTITUIDO POR ALEXANDER ROMERO DELGADO - OJO DAR DE BAJA CUANDO FINALICE IT</t>
  </si>
  <si>
    <t>11/08/2025</t>
  </si>
  <si>
    <t>20/08/025</t>
  </si>
  <si>
    <t>FARCA SA</t>
  </si>
  <si>
    <t>RODRIGUEZ JIMENEZ, JOSE</t>
  </si>
  <si>
    <t>78610411E</t>
  </si>
  <si>
    <t>HERMANOS DE BELEN</t>
  </si>
  <si>
    <t>PELAYO MARTINEZ, WILLIAM NEVARDO</t>
  </si>
  <si>
    <t>Y1449378R</t>
  </si>
  <si>
    <t>289</t>
  </si>
  <si>
    <t>01/08/2025</t>
  </si>
  <si>
    <t>SUSTITUIDO POR BELLO HERNANDEZ, LAURA - OJO DAR DE BAJA CUANDO FINALICE IT</t>
  </si>
  <si>
    <t>TRANSFORMADO A INDEFINIDO</t>
  </si>
  <si>
    <t>03/09/2025</t>
  </si>
  <si>
    <t>PC7-27/08/25</t>
  </si>
  <si>
    <t>PC7-30/09/25</t>
  </si>
  <si>
    <t>06/10/25</t>
  </si>
  <si>
    <t>CHINA HOME 2020 SL</t>
  </si>
  <si>
    <t>VIVAS ROMERO, SILMAR JOSANA</t>
  </si>
  <si>
    <t>Y5495180B</t>
  </si>
  <si>
    <t>BENITEZ PLASENCIA, MONTSERRAT</t>
  </si>
  <si>
    <t>38102537361</t>
  </si>
  <si>
    <t>43821164T</t>
  </si>
  <si>
    <t>PC11-24/10/25</t>
  </si>
  <si>
    <t>31/10/2025</t>
  </si>
  <si>
    <t>30/10/2025</t>
  </si>
  <si>
    <t>PC1-26/10/25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</si>
</sst>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;[Red]0"/>
  </numFmts>
  <fonts count="14" x14ac:knownFonts="1">
    <font>
      <sz val="10"/>
      <name val="Arial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8"/>
      <color theme="9" tint="-0.249977111117893"/>
      <name val="Arial"/>
      <family val="2"/>
    </font>
    <font>
      <b/>
      <sz val="10"/>
      <color rgb="FFFF0000"/>
      <name val="Arial"/>
      <family val="2"/>
    </font>
    <font>
      <b/>
      <sz val="9"/>
      <color rgb="FFFF0000"/>
      <name val="Arial"/>
      <family val="2"/>
    </font>
    <font>
      <b/>
      <sz val="9"/>
      <color theme="4" tint="-0.499984740745262"/>
      <name val="Arial"/>
      <family val="2"/>
    </font>
    <font>
      <b/>
      <sz val="8"/>
      <color rgb="FFFF0000"/>
      <name val="Arial"/>
      <family val="2"/>
    </font>
    <font>
      <b/>
      <sz val="9"/>
      <color rgb="FFFF66FF"/>
      <name val="Arial"/>
      <family val="2"/>
    </font>
    <font>
      <b/>
      <sz val="15"/>
      <color rgb="FFCC0099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7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33CC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14" fontId="4" fillId="0" borderId="0" xfId="0" applyNumberFormat="1" applyFont="1" applyAlignment="1">
      <alignment horizontal="left"/>
    </xf>
    <xf numFmtId="0" fontId="5" fillId="0" borderId="0" xfId="0" applyFont="1"/>
    <xf numFmtId="14" fontId="5" fillId="0" borderId="0" xfId="0" applyNumberFormat="1" applyFont="1"/>
    <xf numFmtId="0" fontId="1" fillId="0" borderId="0" xfId="0" applyFont="1" applyAlignment="1">
      <alignment horizontal="right"/>
    </xf>
    <xf numFmtId="0" fontId="2" fillId="2" borderId="1" xfId="0" applyFont="1" applyFill="1" applyBorder="1" applyAlignment="1">
      <alignment horizontal="right" textRotation="90"/>
    </xf>
    <xf numFmtId="2" fontId="2" fillId="2" borderId="1" xfId="0" applyNumberFormat="1" applyFont="1" applyFill="1" applyBorder="1" applyAlignment="1">
      <alignment horizontal="right"/>
    </xf>
    <xf numFmtId="2" fontId="2" fillId="2" borderId="1" xfId="0" applyNumberFormat="1" applyFont="1" applyFill="1" applyBorder="1" applyAlignment="1">
      <alignment horizontal="center"/>
    </xf>
    <xf numFmtId="14" fontId="2" fillId="2" borderId="1" xfId="0" applyNumberFormat="1" applyFont="1" applyFill="1" applyBorder="1" applyAlignment="1">
      <alignment horizontal="center"/>
    </xf>
    <xf numFmtId="1" fontId="2" fillId="2" borderId="1" xfId="0" applyNumberFormat="1" applyFont="1" applyFill="1" applyBorder="1" applyAlignment="1">
      <alignment horizontal="center"/>
    </xf>
    <xf numFmtId="2" fontId="2" fillId="4" borderId="1" xfId="0" applyNumberFormat="1" applyFont="1" applyFill="1" applyBorder="1" applyAlignment="1">
      <alignment horizontal="right"/>
    </xf>
    <xf numFmtId="0" fontId="1" fillId="3" borderId="1" xfId="0" applyFont="1" applyFill="1" applyBorder="1"/>
    <xf numFmtId="0" fontId="2" fillId="2" borderId="1" xfId="0" quotePrefix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1" xfId="0" quotePrefix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left" vertical="center"/>
    </xf>
    <xf numFmtId="14" fontId="3" fillId="0" borderId="1" xfId="0" applyNumberFormat="1" applyFont="1" applyBorder="1" applyAlignment="1">
      <alignment horizontal="center" vertical="center" shrinkToFit="1"/>
    </xf>
    <xf numFmtId="2" fontId="3" fillId="0" borderId="1" xfId="0" applyNumberFormat="1" applyFont="1" applyBorder="1" applyAlignment="1">
      <alignment horizontal="right"/>
    </xf>
    <xf numFmtId="0" fontId="1" fillId="6" borderId="1" xfId="0" applyFont="1" applyFill="1" applyBorder="1"/>
    <xf numFmtId="0" fontId="2" fillId="9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 textRotation="90"/>
    </xf>
    <xf numFmtId="0" fontId="2" fillId="0" borderId="0" xfId="0" quotePrefix="1" applyFont="1" applyAlignment="1">
      <alignment horizontal="center"/>
    </xf>
    <xf numFmtId="0" fontId="2" fillId="0" borderId="0" xfId="0" applyFont="1" applyAlignment="1">
      <alignment horizontal="left"/>
    </xf>
    <xf numFmtId="1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14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 textRotation="90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1" fillId="6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1" fillId="0" borderId="0" xfId="0" applyFont="1" applyAlignment="1">
      <alignment horizontal="center"/>
    </xf>
    <xf numFmtId="0" fontId="1" fillId="5" borderId="1" xfId="0" applyFont="1" applyFill="1" applyBorder="1" applyAlignment="1">
      <alignment horizontal="left"/>
    </xf>
    <xf numFmtId="0" fontId="1" fillId="5" borderId="1" xfId="0" applyFont="1" applyFill="1" applyBorder="1"/>
    <xf numFmtId="49" fontId="3" fillId="0" borderId="1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right"/>
    </xf>
    <xf numFmtId="0" fontId="0" fillId="0" borderId="0" xfId="0" applyAlignment="1">
      <alignment horizontal="center" shrinkToFit="1"/>
    </xf>
    <xf numFmtId="0" fontId="3" fillId="0" borderId="1" xfId="0" applyFont="1" applyBorder="1" applyAlignment="1">
      <alignment horizontal="center" vertical="center"/>
    </xf>
    <xf numFmtId="17" fontId="10" fillId="0" borderId="0" xfId="0" applyNumberFormat="1" applyFont="1" applyAlignment="1">
      <alignment horizontal="center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center"/>
    </xf>
    <xf numFmtId="0" fontId="11" fillId="7" borderId="0" xfId="0" applyFont="1" applyFill="1"/>
    <xf numFmtId="0" fontId="3" fillId="10" borderId="1" xfId="0" applyFont="1" applyFill="1" applyBorder="1" applyAlignment="1">
      <alignment horizontal="right"/>
    </xf>
    <xf numFmtId="49" fontId="3" fillId="11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8" fillId="7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  <xf numFmtId="49" fontId="2" fillId="7" borderId="1" xfId="0" applyNumberFormat="1" applyFont="1" applyFill="1" applyBorder="1" applyAlignment="1">
      <alignment horizontal="center" vertical="center"/>
    </xf>
    <xf numFmtId="49" fontId="13" fillId="7" borderId="1" xfId="0" applyNumberFormat="1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14" fontId="2" fillId="7" borderId="1" xfId="0" applyNumberFormat="1" applyFont="1" applyFill="1" applyBorder="1" applyAlignment="1">
      <alignment horizontal="center" vertical="center"/>
    </xf>
    <xf numFmtId="4" fontId="2" fillId="7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2" fontId="2" fillId="7" borderId="1" xfId="0" applyNumberFormat="1" applyFont="1" applyFill="1" applyBorder="1" applyAlignment="1">
      <alignment horizontal="center" vertical="center"/>
    </xf>
    <xf numFmtId="0" fontId="12" fillId="0" borderId="0" xfId="0" applyFont="1"/>
    <xf numFmtId="14" fontId="8" fillId="0" borderId="1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12" fillId="7" borderId="0" xfId="0" applyFont="1" applyFill="1"/>
    <xf numFmtId="49" fontId="3" fillId="0" borderId="1" xfId="0" applyNumberFormat="1" applyFont="1" applyBorder="1" applyAlignment="1">
      <alignment horizontal="left" vertical="center"/>
    </xf>
    <xf numFmtId="0" fontId="1" fillId="8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C0099"/>
      <color rgb="FF99CC00"/>
      <color rgb="FF009900"/>
      <color rgb="FFCCFF66"/>
      <color rgb="FFCCFFFF"/>
      <color rgb="FF32EE3B"/>
      <color rgb="FFCCFFCC"/>
      <color rgb="FF00FFCC"/>
      <color rgb="FFFF66FF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19"/>
  <sheetViews>
    <sheetView zoomScale="115" zoomScaleNormal="115" workbookViewId="0">
      <selection activeCell="A8" sqref="A8:XFD8"/>
    </sheetView>
  </sheetViews>
  <sheetFormatPr baseColWidth="10" defaultRowHeight="12.75" x14ac:dyDescent="0.2"/>
  <cols>
    <col min="1" max="1" width="4.140625" customWidth="1"/>
    <col min="2" max="2" width="22" customWidth="1"/>
    <col min="3" max="3" width="11.140625" bestFit="1" customWidth="1"/>
    <col min="4" max="4" width="8.42578125" customWidth="1"/>
    <col min="5" max="5" width="3.140625" bestFit="1" customWidth="1"/>
    <col min="6" max="6" width="5" customWidth="1"/>
    <col min="7" max="7" width="8.5703125" customWidth="1"/>
    <col min="8" max="8" width="8" customWidth="1"/>
    <col min="9" max="9" width="12.140625" customWidth="1"/>
    <col min="10" max="10" width="7.140625" customWidth="1"/>
    <col min="11" max="11" width="2.85546875" customWidth="1"/>
    <col min="12" max="12" width="6.140625" bestFit="1" customWidth="1"/>
    <col min="13" max="13" width="3.5703125" customWidth="1"/>
    <col min="14" max="14" width="6.85546875" bestFit="1" customWidth="1"/>
    <col min="15" max="15" width="5.85546875" bestFit="1" customWidth="1"/>
    <col min="16" max="16" width="6.5703125" bestFit="1" customWidth="1"/>
    <col min="17" max="17" width="5.85546875" bestFit="1" customWidth="1"/>
  </cols>
  <sheetData>
    <row r="1" spans="1:23" ht="19.5" x14ac:dyDescent="0.3">
      <c r="A1" s="15"/>
      <c r="B1" s="44">
        <v>45658</v>
      </c>
      <c r="C1" s="5">
        <v>45656</v>
      </c>
      <c r="D1" s="2"/>
      <c r="F1" s="45" t="s">
        <v>25</v>
      </c>
      <c r="G1" s="45" t="s">
        <v>26</v>
      </c>
      <c r="H1" s="46"/>
      <c r="I1" s="46"/>
      <c r="J1" s="46"/>
      <c r="K1" s="46"/>
      <c r="L1" s="46"/>
      <c r="M1" s="47"/>
      <c r="N1" s="47"/>
      <c r="O1" s="47"/>
      <c r="P1" s="47"/>
      <c r="Q1" s="47"/>
    </row>
    <row r="2" spans="1:23" x14ac:dyDescent="0.2">
      <c r="A2" s="37"/>
      <c r="D2" s="5"/>
      <c r="F2" s="42"/>
      <c r="J2" s="6"/>
      <c r="K2" s="2"/>
      <c r="L2" s="2"/>
      <c r="M2" s="2"/>
      <c r="N2" s="2"/>
      <c r="O2" s="2"/>
      <c r="P2" s="2"/>
      <c r="Q2" s="2"/>
    </row>
    <row r="3" spans="1:23" x14ac:dyDescent="0.2">
      <c r="A3" s="29"/>
      <c r="B3" s="3" t="s">
        <v>12</v>
      </c>
      <c r="C3" s="1"/>
      <c r="D3" s="2"/>
      <c r="F3" s="42"/>
      <c r="J3" s="6"/>
      <c r="K3" s="2"/>
      <c r="L3" s="2"/>
      <c r="M3" s="2"/>
      <c r="N3" s="2"/>
      <c r="O3" s="2"/>
      <c r="P3" s="2"/>
      <c r="Q3" s="2"/>
    </row>
    <row r="4" spans="1:23" ht="75" x14ac:dyDescent="0.2">
      <c r="A4" s="23" t="s">
        <v>13</v>
      </c>
      <c r="B4" s="23" t="s">
        <v>0</v>
      </c>
      <c r="C4" s="23" t="s">
        <v>27</v>
      </c>
      <c r="D4" s="24" t="s">
        <v>15</v>
      </c>
      <c r="E4" s="24" t="s">
        <v>14</v>
      </c>
      <c r="F4" s="24" t="s">
        <v>1</v>
      </c>
      <c r="G4" s="24" t="s">
        <v>2</v>
      </c>
      <c r="H4" s="24" t="s">
        <v>16</v>
      </c>
      <c r="I4" s="24" t="s">
        <v>3</v>
      </c>
      <c r="J4" s="24" t="s">
        <v>4</v>
      </c>
      <c r="K4" s="24" t="s">
        <v>5</v>
      </c>
      <c r="L4" s="24" t="s">
        <v>7</v>
      </c>
      <c r="M4" s="24" t="s">
        <v>6</v>
      </c>
      <c r="N4" s="24" t="s">
        <v>8</v>
      </c>
      <c r="O4" s="24" t="s">
        <v>9</v>
      </c>
      <c r="P4" s="24" t="s">
        <v>10</v>
      </c>
      <c r="Q4" s="24" t="s">
        <v>11</v>
      </c>
    </row>
    <row r="5" spans="1:23" x14ac:dyDescent="0.2">
      <c r="A5" s="16">
        <v>2290</v>
      </c>
      <c r="B5" s="17" t="s">
        <v>35</v>
      </c>
      <c r="C5" s="18">
        <v>38100737306</v>
      </c>
      <c r="D5" s="19" t="s">
        <v>36</v>
      </c>
      <c r="E5" s="40" t="s">
        <v>37</v>
      </c>
      <c r="F5" s="43" t="s">
        <v>28</v>
      </c>
      <c r="G5" s="20">
        <v>45685</v>
      </c>
      <c r="H5" s="49"/>
      <c r="I5" s="61">
        <v>45687</v>
      </c>
      <c r="J5" s="43">
        <v>2385.36</v>
      </c>
      <c r="K5" s="43">
        <v>30</v>
      </c>
      <c r="L5" s="21">
        <f>J5/K5</f>
        <v>79.512</v>
      </c>
      <c r="M5" s="48">
        <v>2</v>
      </c>
      <c r="N5" s="41">
        <f>L5*M5*75%</f>
        <v>119.268</v>
      </c>
      <c r="O5" s="21">
        <f>M5*25%*L5</f>
        <v>39.756</v>
      </c>
      <c r="P5" s="21">
        <f>N5+O5</f>
        <v>159.024</v>
      </c>
      <c r="Q5" s="21">
        <f>O5</f>
        <v>39.756</v>
      </c>
    </row>
    <row r="6" spans="1:23" x14ac:dyDescent="0.2">
      <c r="A6" s="14">
        <v>2290</v>
      </c>
      <c r="B6" s="50" t="s">
        <v>34</v>
      </c>
      <c r="C6" s="11"/>
      <c r="D6" s="9"/>
      <c r="E6" s="9"/>
      <c r="F6" s="9"/>
      <c r="G6" s="10"/>
      <c r="H6" s="9"/>
      <c r="I6" s="9"/>
      <c r="J6" s="8"/>
      <c r="K6" s="7"/>
      <c r="L6" s="7"/>
      <c r="M6" s="7"/>
      <c r="N6" s="12">
        <f>SUM(N5)</f>
        <v>119.268</v>
      </c>
      <c r="O6" s="7"/>
      <c r="P6" s="7"/>
      <c r="Q6" s="7"/>
    </row>
    <row r="7" spans="1:23" x14ac:dyDescent="0.2">
      <c r="A7" s="16">
        <v>2357</v>
      </c>
      <c r="B7" s="17" t="s">
        <v>30</v>
      </c>
      <c r="C7" s="18">
        <v>38121226938</v>
      </c>
      <c r="D7" s="19" t="s">
        <v>32</v>
      </c>
      <c r="E7" s="40" t="s">
        <v>31</v>
      </c>
      <c r="F7" s="43" t="s">
        <v>28</v>
      </c>
      <c r="G7" s="20">
        <v>45500</v>
      </c>
      <c r="H7" s="49"/>
      <c r="I7" s="61">
        <v>45660</v>
      </c>
      <c r="J7" s="43">
        <v>4751.79</v>
      </c>
      <c r="K7" s="43">
        <v>91</v>
      </c>
      <c r="L7" s="21">
        <f>J7/K7</f>
        <v>52.21747252747253</v>
      </c>
      <c r="M7" s="48">
        <v>3</v>
      </c>
      <c r="N7" s="41">
        <f>L7*M7*75%</f>
        <v>117.48931318681321</v>
      </c>
      <c r="O7" s="21">
        <f>M7*25%*L7</f>
        <v>39.1631043956044</v>
      </c>
      <c r="P7" s="21">
        <f>N7+O7</f>
        <v>156.6524175824176</v>
      </c>
      <c r="Q7" s="21">
        <f>O7</f>
        <v>39.1631043956044</v>
      </c>
    </row>
    <row r="8" spans="1:23" s="60" customFormat="1" ht="14.25" customHeight="1" x14ac:dyDescent="0.25">
      <c r="A8" s="51" t="s">
        <v>33</v>
      </c>
      <c r="B8" s="52"/>
      <c r="C8" s="53"/>
      <c r="D8" s="54"/>
      <c r="E8" s="55"/>
      <c r="F8" s="56"/>
      <c r="G8" s="56"/>
      <c r="H8" s="57"/>
      <c r="I8" s="58" t="s">
        <v>38</v>
      </c>
      <c r="J8" s="59"/>
      <c r="K8" s="58"/>
      <c r="L8" s="58"/>
      <c r="M8" s="58"/>
      <c r="N8" s="58"/>
      <c r="O8" s="58"/>
      <c r="P8" s="57"/>
      <c r="Q8" s="57"/>
      <c r="R8"/>
      <c r="S8"/>
      <c r="T8"/>
      <c r="U8"/>
      <c r="V8"/>
      <c r="W8"/>
    </row>
    <row r="9" spans="1:23" x14ac:dyDescent="0.2">
      <c r="A9" s="14">
        <v>2357</v>
      </c>
      <c r="B9" s="50" t="s">
        <v>29</v>
      </c>
      <c r="C9" s="11"/>
      <c r="D9" s="9"/>
      <c r="E9" s="9"/>
      <c r="F9" s="9"/>
      <c r="G9" s="10"/>
      <c r="H9" s="9"/>
      <c r="I9" s="9"/>
      <c r="J9" s="8"/>
      <c r="K9" s="7"/>
      <c r="L9" s="7"/>
      <c r="M9" s="7"/>
      <c r="N9" s="12">
        <f>SUM(N7)</f>
        <v>117.48931318681321</v>
      </c>
      <c r="O9" s="7"/>
      <c r="P9" s="7"/>
      <c r="Q9" s="7"/>
    </row>
    <row r="10" spans="1:23" x14ac:dyDescent="0.2">
      <c r="A10" s="25"/>
      <c r="B10" s="26"/>
      <c r="C10" s="27"/>
      <c r="D10" s="28"/>
      <c r="E10" s="28"/>
      <c r="F10" s="28"/>
      <c r="G10" s="29"/>
      <c r="H10" s="28"/>
      <c r="I10" s="28"/>
      <c r="J10" s="30"/>
      <c r="K10" s="31"/>
      <c r="L10" s="31"/>
      <c r="M10" s="31"/>
      <c r="N10" s="30"/>
      <c r="O10" s="31"/>
      <c r="P10" s="31"/>
      <c r="Q10" s="31"/>
    </row>
    <row r="11" spans="1:23" x14ac:dyDescent="0.2">
      <c r="A11" s="32" t="s">
        <v>19</v>
      </c>
      <c r="C11" s="4"/>
      <c r="F11" s="15"/>
      <c r="J11" s="2"/>
      <c r="O11" s="2"/>
      <c r="P11" s="2"/>
      <c r="Q11" s="2"/>
    </row>
    <row r="12" spans="1:23" x14ac:dyDescent="0.2">
      <c r="A12" s="33" t="s">
        <v>17</v>
      </c>
      <c r="F12" s="42"/>
      <c r="J12" s="2"/>
      <c r="K12" s="2"/>
      <c r="L12" s="2"/>
      <c r="M12" s="2"/>
      <c r="N12" s="2"/>
      <c r="O12" s="2"/>
      <c r="P12" s="2"/>
      <c r="Q12" s="2"/>
    </row>
    <row r="13" spans="1:23" x14ac:dyDescent="0.2">
      <c r="A13" s="33" t="s">
        <v>18</v>
      </c>
      <c r="F13" s="42"/>
      <c r="J13" s="2"/>
      <c r="K13" s="2"/>
      <c r="L13" s="2"/>
      <c r="M13" s="2"/>
      <c r="N13" s="2"/>
      <c r="O13" s="2"/>
      <c r="P13" s="2"/>
      <c r="Q13" s="2"/>
    </row>
    <row r="14" spans="1:23" x14ac:dyDescent="0.2">
      <c r="A14" s="34" t="s">
        <v>24</v>
      </c>
      <c r="F14" s="42"/>
      <c r="J14" s="2"/>
      <c r="K14" s="2"/>
      <c r="L14" s="2"/>
      <c r="M14" s="2"/>
      <c r="N14" s="2"/>
      <c r="O14" s="2"/>
      <c r="P14" s="2"/>
      <c r="Q14" s="2"/>
    </row>
    <row r="15" spans="1:23" x14ac:dyDescent="0.2">
      <c r="A15" s="34"/>
      <c r="F15" s="42"/>
      <c r="J15" s="2"/>
      <c r="K15" s="2"/>
      <c r="L15" s="2"/>
      <c r="M15" s="2"/>
      <c r="N15" s="2"/>
      <c r="O15" s="2"/>
      <c r="P15" s="2"/>
      <c r="Q15" s="2"/>
    </row>
    <row r="16" spans="1:23" x14ac:dyDescent="0.2">
      <c r="A16" s="65" t="s">
        <v>20</v>
      </c>
      <c r="B16" s="65"/>
      <c r="F16" s="15"/>
    </row>
    <row r="17" spans="1:17" x14ac:dyDescent="0.2">
      <c r="A17" s="38" t="s">
        <v>21</v>
      </c>
      <c r="B17" s="39"/>
      <c r="F17" s="15"/>
    </row>
    <row r="18" spans="1:17" x14ac:dyDescent="0.2">
      <c r="A18" s="35" t="s">
        <v>22</v>
      </c>
      <c r="B18" s="22"/>
      <c r="C18" s="1"/>
      <c r="D18" s="1"/>
      <c r="E18" s="1"/>
      <c r="F18" s="37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">
      <c r="A19" s="36" t="s">
        <v>23</v>
      </c>
      <c r="B19" s="13"/>
      <c r="F19" s="15"/>
    </row>
  </sheetData>
  <mergeCells count="1">
    <mergeCell ref="A16:B16"/>
  </mergeCells>
  <pageMargins left="0.31496062992125984" right="0.31496062992125984" top="0.31496062992125984" bottom="0.31496062992125984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6"/>
  <sheetViews>
    <sheetView zoomScale="115" zoomScaleNormal="115" workbookViewId="0">
      <selection activeCell="C2" sqref="C2"/>
    </sheetView>
  </sheetViews>
  <sheetFormatPr baseColWidth="10" defaultRowHeight="12.75" x14ac:dyDescent="0.2"/>
  <cols>
    <col min="1" max="1" width="4.140625" customWidth="1"/>
    <col min="2" max="2" width="22" customWidth="1"/>
    <col min="3" max="3" width="11.140625" bestFit="1" customWidth="1"/>
    <col min="4" max="4" width="8.42578125" customWidth="1"/>
    <col min="5" max="5" width="3.140625" bestFit="1" customWidth="1"/>
    <col min="6" max="6" width="5" customWidth="1"/>
    <col min="7" max="7" width="8.5703125" customWidth="1"/>
    <col min="8" max="8" width="8" customWidth="1"/>
    <col min="9" max="9" width="12.140625" customWidth="1"/>
    <col min="10" max="10" width="7.140625" customWidth="1"/>
    <col min="11" max="11" width="2.85546875" customWidth="1"/>
    <col min="12" max="12" width="6.140625" bestFit="1" customWidth="1"/>
    <col min="13" max="13" width="3.5703125" customWidth="1"/>
    <col min="14" max="14" width="6.85546875" bestFit="1" customWidth="1"/>
    <col min="15" max="15" width="5.85546875" bestFit="1" customWidth="1"/>
    <col min="16" max="16" width="6.5703125" bestFit="1" customWidth="1"/>
    <col min="17" max="17" width="5.85546875" bestFit="1" customWidth="1"/>
  </cols>
  <sheetData>
    <row r="1" spans="1:17" ht="19.5" x14ac:dyDescent="0.3">
      <c r="A1" s="15"/>
      <c r="B1" s="44">
        <v>45689</v>
      </c>
      <c r="C1" s="5">
        <v>45716</v>
      </c>
      <c r="D1" s="2"/>
      <c r="F1" s="45" t="s">
        <v>25</v>
      </c>
      <c r="G1" s="45" t="s">
        <v>26</v>
      </c>
      <c r="H1" s="46"/>
      <c r="I1" s="46"/>
      <c r="J1" s="46"/>
      <c r="K1" s="46"/>
      <c r="L1" s="46"/>
      <c r="M1" s="47"/>
      <c r="N1" s="47"/>
      <c r="O1" s="47"/>
      <c r="P1" s="47"/>
      <c r="Q1" s="47"/>
    </row>
    <row r="2" spans="1:17" x14ac:dyDescent="0.2">
      <c r="A2" s="37"/>
      <c r="D2" s="5"/>
      <c r="F2" s="42"/>
      <c r="J2" s="6"/>
      <c r="K2" s="2"/>
      <c r="L2" s="2"/>
      <c r="M2" s="2"/>
      <c r="N2" s="2"/>
      <c r="O2" s="2"/>
      <c r="P2" s="2"/>
      <c r="Q2" s="2"/>
    </row>
    <row r="3" spans="1:17" x14ac:dyDescent="0.2">
      <c r="A3" s="29"/>
      <c r="B3" s="3" t="s">
        <v>12</v>
      </c>
      <c r="C3" s="1"/>
      <c r="D3" s="2"/>
      <c r="F3" s="42"/>
      <c r="J3" s="6"/>
      <c r="K3" s="2"/>
      <c r="L3" s="2"/>
      <c r="M3" s="2"/>
      <c r="N3" s="2"/>
      <c r="O3" s="2"/>
      <c r="P3" s="2"/>
      <c r="Q3" s="2"/>
    </row>
    <row r="4" spans="1:17" ht="75" x14ac:dyDescent="0.2">
      <c r="A4" s="23" t="s">
        <v>13</v>
      </c>
      <c r="B4" s="23" t="s">
        <v>0</v>
      </c>
      <c r="C4" s="23" t="s">
        <v>27</v>
      </c>
      <c r="D4" s="24" t="s">
        <v>15</v>
      </c>
      <c r="E4" s="24" t="s">
        <v>14</v>
      </c>
      <c r="F4" s="24" t="s">
        <v>1</v>
      </c>
      <c r="G4" s="24" t="s">
        <v>2</v>
      </c>
      <c r="H4" s="24" t="s">
        <v>16</v>
      </c>
      <c r="I4" s="24" t="s">
        <v>3</v>
      </c>
      <c r="J4" s="24" t="s">
        <v>4</v>
      </c>
      <c r="K4" s="24" t="s">
        <v>5</v>
      </c>
      <c r="L4" s="24" t="s">
        <v>7</v>
      </c>
      <c r="M4" s="24" t="s">
        <v>6</v>
      </c>
      <c r="N4" s="24" t="s">
        <v>8</v>
      </c>
      <c r="O4" s="24" t="s">
        <v>9</v>
      </c>
      <c r="P4" s="24" t="s">
        <v>10</v>
      </c>
      <c r="Q4" s="24" t="s">
        <v>11</v>
      </c>
    </row>
    <row r="5" spans="1:17" x14ac:dyDescent="0.2">
      <c r="A5" s="16"/>
      <c r="B5" s="17"/>
      <c r="C5" s="18"/>
      <c r="D5" s="19"/>
      <c r="E5" s="40"/>
      <c r="F5" s="43"/>
      <c r="G5" s="20"/>
      <c r="H5" s="49"/>
      <c r="I5" s="61"/>
      <c r="J5" s="43"/>
      <c r="K5" s="43"/>
      <c r="L5" s="21" t="e">
        <f>J5/K5</f>
        <v>#DIV/0!</v>
      </c>
      <c r="M5" s="48"/>
      <c r="N5" s="41" t="e">
        <f>L5*M5*75%</f>
        <v>#DIV/0!</v>
      </c>
      <c r="O5" s="21" t="e">
        <f>M5*25%*L5</f>
        <v>#DIV/0!</v>
      </c>
      <c r="P5" s="21" t="e">
        <f>N5+O5</f>
        <v>#DIV/0!</v>
      </c>
      <c r="Q5" s="21" t="e">
        <f>O5</f>
        <v>#DIV/0!</v>
      </c>
    </row>
    <row r="6" spans="1:17" x14ac:dyDescent="0.2">
      <c r="A6" s="14"/>
      <c r="B6" s="50"/>
      <c r="C6" s="11"/>
      <c r="D6" s="9"/>
      <c r="E6" s="9"/>
      <c r="F6" s="9"/>
      <c r="G6" s="10"/>
      <c r="H6" s="9"/>
      <c r="I6" s="9"/>
      <c r="J6" s="8"/>
      <c r="K6" s="7"/>
      <c r="L6" s="7"/>
      <c r="M6" s="7"/>
      <c r="N6" s="12" t="e">
        <f>SUM(N5)</f>
        <v>#DIV/0!</v>
      </c>
      <c r="O6" s="7"/>
      <c r="P6" s="7"/>
      <c r="Q6" s="7"/>
    </row>
    <row r="7" spans="1:17" x14ac:dyDescent="0.2">
      <c r="A7" s="25"/>
      <c r="B7" s="26"/>
      <c r="C7" s="27"/>
      <c r="D7" s="28"/>
      <c r="E7" s="28"/>
      <c r="F7" s="28"/>
      <c r="G7" s="29"/>
      <c r="H7" s="28"/>
      <c r="I7" s="28"/>
      <c r="J7" s="30"/>
      <c r="K7" s="31"/>
      <c r="L7" s="31"/>
      <c r="M7" s="31"/>
      <c r="N7" s="30"/>
      <c r="O7" s="31"/>
      <c r="P7" s="31"/>
      <c r="Q7" s="31"/>
    </row>
    <row r="8" spans="1:17" x14ac:dyDescent="0.2">
      <c r="A8" s="32" t="s">
        <v>19</v>
      </c>
      <c r="C8" s="4"/>
      <c r="F8" s="15"/>
      <c r="J8" s="2"/>
      <c r="O8" s="2"/>
      <c r="P8" s="2"/>
      <c r="Q8" s="2"/>
    </row>
    <row r="9" spans="1:17" x14ac:dyDescent="0.2">
      <c r="A9" s="33" t="s">
        <v>17</v>
      </c>
      <c r="F9" s="42"/>
      <c r="J9" s="2"/>
      <c r="K9" s="2"/>
      <c r="L9" s="2"/>
      <c r="M9" s="2"/>
      <c r="N9" s="2"/>
      <c r="O9" s="2"/>
      <c r="P9" s="2"/>
      <c r="Q9" s="2"/>
    </row>
    <row r="10" spans="1:17" x14ac:dyDescent="0.2">
      <c r="A10" s="33" t="s">
        <v>18</v>
      </c>
      <c r="F10" s="42"/>
      <c r="J10" s="2"/>
      <c r="K10" s="2"/>
      <c r="L10" s="2"/>
      <c r="M10" s="2"/>
      <c r="N10" s="2"/>
      <c r="O10" s="2"/>
      <c r="P10" s="2"/>
      <c r="Q10" s="2"/>
    </row>
    <row r="11" spans="1:17" x14ac:dyDescent="0.2">
      <c r="A11" s="34" t="s">
        <v>24</v>
      </c>
      <c r="F11" s="42"/>
      <c r="J11" s="2"/>
      <c r="K11" s="2"/>
      <c r="L11" s="2"/>
      <c r="M11" s="2"/>
      <c r="N11" s="2"/>
      <c r="O11" s="2"/>
      <c r="P11" s="2"/>
      <c r="Q11" s="2"/>
    </row>
    <row r="12" spans="1:17" x14ac:dyDescent="0.2">
      <c r="A12" s="34"/>
      <c r="F12" s="42"/>
      <c r="J12" s="2"/>
      <c r="K12" s="2"/>
      <c r="L12" s="2"/>
      <c r="M12" s="2"/>
      <c r="N12" s="2"/>
      <c r="O12" s="2"/>
      <c r="P12" s="2"/>
      <c r="Q12" s="2"/>
    </row>
    <row r="13" spans="1:17" x14ac:dyDescent="0.2">
      <c r="A13" s="65" t="s">
        <v>20</v>
      </c>
      <c r="B13" s="65"/>
      <c r="F13" s="15"/>
    </row>
    <row r="14" spans="1:17" x14ac:dyDescent="0.2">
      <c r="A14" s="38" t="s">
        <v>21</v>
      </c>
      <c r="B14" s="39"/>
      <c r="F14" s="15"/>
    </row>
    <row r="15" spans="1:17" x14ac:dyDescent="0.2">
      <c r="A15" s="35" t="s">
        <v>22</v>
      </c>
      <c r="B15" s="22"/>
      <c r="C15" s="1"/>
      <c r="D15" s="1"/>
      <c r="E15" s="1"/>
      <c r="F15" s="37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">
      <c r="A16" s="36" t="s">
        <v>23</v>
      </c>
      <c r="B16" s="13"/>
      <c r="F16" s="15"/>
    </row>
  </sheetData>
  <mergeCells count="1">
    <mergeCell ref="A13:B13"/>
  </mergeCells>
  <pageMargins left="0.31496062992125984" right="0.31496062992125984" top="0.31496062992125984" bottom="0.31496062992125984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6"/>
  <sheetViews>
    <sheetView zoomScale="115" zoomScaleNormal="115" workbookViewId="0">
      <selection activeCell="J23" sqref="J23"/>
    </sheetView>
  </sheetViews>
  <sheetFormatPr baseColWidth="10" defaultRowHeight="12.75" x14ac:dyDescent="0.2"/>
  <cols>
    <col min="1" max="1" width="4.140625" customWidth="1"/>
    <col min="2" max="2" width="22" customWidth="1"/>
    <col min="3" max="3" width="11.140625" bestFit="1" customWidth="1"/>
    <col min="4" max="4" width="8.42578125" customWidth="1"/>
    <col min="5" max="5" width="3.140625" bestFit="1" customWidth="1"/>
    <col min="6" max="6" width="5" customWidth="1"/>
    <col min="7" max="7" width="8.5703125" customWidth="1"/>
    <col min="8" max="8" width="8" customWidth="1"/>
    <col min="9" max="9" width="12.140625" customWidth="1"/>
    <col min="10" max="10" width="7.140625" customWidth="1"/>
    <col min="11" max="11" width="2.85546875" customWidth="1"/>
    <col min="12" max="12" width="6.140625" bestFit="1" customWidth="1"/>
    <col min="13" max="13" width="3.5703125" customWidth="1"/>
    <col min="14" max="14" width="6.85546875" bestFit="1" customWidth="1"/>
    <col min="15" max="15" width="5.85546875" bestFit="1" customWidth="1"/>
    <col min="16" max="16" width="6.5703125" bestFit="1" customWidth="1"/>
    <col min="17" max="17" width="5.85546875" bestFit="1" customWidth="1"/>
  </cols>
  <sheetData>
    <row r="1" spans="1:17" ht="19.5" x14ac:dyDescent="0.3">
      <c r="A1" s="15"/>
      <c r="B1" s="44">
        <v>45717</v>
      </c>
      <c r="C1" s="5">
        <v>45742</v>
      </c>
      <c r="D1" s="2"/>
      <c r="F1" s="45" t="s">
        <v>25</v>
      </c>
      <c r="G1" s="45" t="s">
        <v>26</v>
      </c>
      <c r="H1" s="46"/>
      <c r="I1" s="46"/>
      <c r="J1" s="46"/>
      <c r="K1" s="46"/>
      <c r="L1" s="46"/>
      <c r="M1" s="47"/>
      <c r="N1" s="47"/>
      <c r="O1" s="47"/>
      <c r="P1" s="47"/>
      <c r="Q1" s="47"/>
    </row>
    <row r="2" spans="1:17" x14ac:dyDescent="0.2">
      <c r="A2" s="37"/>
      <c r="D2" s="5"/>
      <c r="F2" s="42"/>
      <c r="J2" s="6"/>
      <c r="K2" s="2"/>
      <c r="L2" s="2"/>
      <c r="M2" s="2"/>
      <c r="N2" s="2"/>
      <c r="O2" s="2"/>
      <c r="P2" s="2"/>
      <c r="Q2" s="2"/>
    </row>
    <row r="3" spans="1:17" x14ac:dyDescent="0.2">
      <c r="A3" s="29"/>
      <c r="B3" s="3" t="s">
        <v>12</v>
      </c>
      <c r="C3" s="1"/>
      <c r="D3" s="2"/>
      <c r="F3" s="42"/>
      <c r="J3" s="6"/>
      <c r="K3" s="2"/>
      <c r="L3" s="2"/>
      <c r="M3" s="2"/>
      <c r="N3" s="2"/>
      <c r="O3" s="2"/>
      <c r="P3" s="2"/>
      <c r="Q3" s="2"/>
    </row>
    <row r="4" spans="1:17" ht="75" x14ac:dyDescent="0.2">
      <c r="A4" s="23" t="s">
        <v>13</v>
      </c>
      <c r="B4" s="23" t="s">
        <v>0</v>
      </c>
      <c r="C4" s="23" t="s">
        <v>27</v>
      </c>
      <c r="D4" s="24" t="s">
        <v>15</v>
      </c>
      <c r="E4" s="24" t="s">
        <v>14</v>
      </c>
      <c r="F4" s="24" t="s">
        <v>1</v>
      </c>
      <c r="G4" s="24" t="s">
        <v>2</v>
      </c>
      <c r="H4" s="24" t="s">
        <v>16</v>
      </c>
      <c r="I4" s="24" t="s">
        <v>3</v>
      </c>
      <c r="J4" s="24" t="s">
        <v>4</v>
      </c>
      <c r="K4" s="24" t="s">
        <v>5</v>
      </c>
      <c r="L4" s="24" t="s">
        <v>7</v>
      </c>
      <c r="M4" s="24" t="s">
        <v>6</v>
      </c>
      <c r="N4" s="24" t="s">
        <v>8</v>
      </c>
      <c r="O4" s="24" t="s">
        <v>9</v>
      </c>
      <c r="P4" s="24" t="s">
        <v>10</v>
      </c>
      <c r="Q4" s="24" t="s">
        <v>11</v>
      </c>
    </row>
    <row r="5" spans="1:17" x14ac:dyDescent="0.2">
      <c r="A5" s="16">
        <v>1481</v>
      </c>
      <c r="B5" s="17" t="s">
        <v>43</v>
      </c>
      <c r="C5" s="18">
        <v>38112894941</v>
      </c>
      <c r="D5" s="19" t="s">
        <v>40</v>
      </c>
      <c r="E5" s="40" t="s">
        <v>41</v>
      </c>
      <c r="F5" s="43" t="s">
        <v>42</v>
      </c>
      <c r="G5" s="20">
        <v>45736</v>
      </c>
      <c r="H5" s="49" t="s">
        <v>45</v>
      </c>
      <c r="I5" s="62" t="s">
        <v>44</v>
      </c>
      <c r="J5" s="43">
        <v>1671.91</v>
      </c>
      <c r="K5" s="43">
        <v>30</v>
      </c>
      <c r="L5" s="21">
        <f>J5/K5</f>
        <v>55.730333333333334</v>
      </c>
      <c r="M5" s="48">
        <v>11</v>
      </c>
      <c r="N5" s="41">
        <f>L5*M5*75%</f>
        <v>459.77525000000003</v>
      </c>
      <c r="O5" s="21">
        <f>M5*25%*L5</f>
        <v>153.25841666666668</v>
      </c>
      <c r="P5" s="21">
        <f>N5+O5</f>
        <v>613.0336666666667</v>
      </c>
      <c r="Q5" s="21">
        <f>O5</f>
        <v>153.25841666666668</v>
      </c>
    </row>
    <row r="6" spans="1:17" x14ac:dyDescent="0.2">
      <c r="A6" s="14">
        <v>1481</v>
      </c>
      <c r="B6" s="50" t="s">
        <v>39</v>
      </c>
      <c r="C6" s="11"/>
      <c r="D6" s="9"/>
      <c r="E6" s="9"/>
      <c r="F6" s="9"/>
      <c r="G6" s="10"/>
      <c r="H6" s="9"/>
      <c r="I6" s="9"/>
      <c r="J6" s="8"/>
      <c r="K6" s="7"/>
      <c r="L6" s="7"/>
      <c r="M6" s="7"/>
      <c r="N6" s="12">
        <f>SUM(N5)</f>
        <v>459.77525000000003</v>
      </c>
      <c r="O6" s="7"/>
      <c r="P6" s="7"/>
      <c r="Q6" s="7"/>
    </row>
    <row r="7" spans="1:17" x14ac:dyDescent="0.2">
      <c r="A7" s="25"/>
      <c r="B7" s="26"/>
      <c r="C7" s="27"/>
      <c r="D7" s="28"/>
      <c r="E7" s="28"/>
      <c r="F7" s="28"/>
      <c r="G7" s="29"/>
      <c r="H7" s="28"/>
      <c r="I7" s="28"/>
      <c r="J7" s="30"/>
      <c r="K7" s="31"/>
      <c r="L7" s="31"/>
      <c r="M7" s="31"/>
      <c r="N7" s="30"/>
      <c r="O7" s="31"/>
      <c r="P7" s="31"/>
      <c r="Q7" s="31"/>
    </row>
    <row r="8" spans="1:17" x14ac:dyDescent="0.2">
      <c r="A8" s="32" t="s">
        <v>19</v>
      </c>
      <c r="C8" s="4"/>
      <c r="F8" s="15"/>
      <c r="J8" s="2"/>
      <c r="O8" s="2"/>
      <c r="P8" s="2"/>
      <c r="Q8" s="2"/>
    </row>
    <row r="9" spans="1:17" x14ac:dyDescent="0.2">
      <c r="A9" s="33" t="s">
        <v>17</v>
      </c>
      <c r="F9" s="42"/>
      <c r="J9" s="2"/>
      <c r="K9" s="2"/>
      <c r="L9" s="2"/>
      <c r="M9" s="2"/>
      <c r="N9" s="2"/>
      <c r="O9" s="2"/>
      <c r="P9" s="2"/>
      <c r="Q9" s="2"/>
    </row>
    <row r="10" spans="1:17" x14ac:dyDescent="0.2">
      <c r="A10" s="33" t="s">
        <v>18</v>
      </c>
      <c r="F10" s="42"/>
      <c r="J10" s="2"/>
      <c r="K10" s="2"/>
      <c r="L10" s="2"/>
      <c r="M10" s="2"/>
      <c r="N10" s="2"/>
      <c r="O10" s="2"/>
      <c r="P10" s="2"/>
      <c r="Q10" s="2"/>
    </row>
    <row r="11" spans="1:17" x14ac:dyDescent="0.2">
      <c r="A11" s="34" t="s">
        <v>24</v>
      </c>
      <c r="F11" s="42"/>
      <c r="J11" s="2"/>
      <c r="K11" s="2"/>
      <c r="L11" s="2"/>
      <c r="M11" s="2"/>
      <c r="N11" s="2"/>
      <c r="O11" s="2"/>
      <c r="P11" s="2"/>
      <c r="Q11" s="2"/>
    </row>
    <row r="12" spans="1:17" x14ac:dyDescent="0.2">
      <c r="A12" s="34"/>
      <c r="F12" s="42"/>
      <c r="J12" s="2"/>
      <c r="K12" s="2"/>
      <c r="L12" s="2"/>
      <c r="M12" s="2"/>
      <c r="N12" s="2"/>
      <c r="O12" s="2"/>
      <c r="P12" s="2"/>
      <c r="Q12" s="2"/>
    </row>
    <row r="13" spans="1:17" x14ac:dyDescent="0.2">
      <c r="A13" s="65" t="s">
        <v>20</v>
      </c>
      <c r="B13" s="65"/>
      <c r="F13" s="15"/>
    </row>
    <row r="14" spans="1:17" x14ac:dyDescent="0.2">
      <c r="A14" s="38" t="s">
        <v>21</v>
      </c>
      <c r="B14" s="39"/>
      <c r="F14" s="15"/>
    </row>
    <row r="15" spans="1:17" x14ac:dyDescent="0.2">
      <c r="A15" s="35" t="s">
        <v>22</v>
      </c>
      <c r="B15" s="22"/>
      <c r="C15" s="1"/>
      <c r="D15" s="1"/>
      <c r="E15" s="1"/>
      <c r="F15" s="37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">
      <c r="A16" s="36" t="s">
        <v>23</v>
      </c>
      <c r="B16" s="13"/>
      <c r="F16" s="15"/>
    </row>
  </sheetData>
  <mergeCells count="1">
    <mergeCell ref="A13:B13"/>
  </mergeCells>
  <pageMargins left="0.31496062992125984" right="0.31496062992125984" top="0.31496062992125984" bottom="0.31496062992125984" header="0.31496062992125984" footer="0.31496062992125984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8"/>
  <sheetViews>
    <sheetView zoomScale="115" zoomScaleNormal="115" workbookViewId="0">
      <selection activeCell="O26" sqref="O26"/>
    </sheetView>
  </sheetViews>
  <sheetFormatPr baseColWidth="10" defaultRowHeight="12.75" x14ac:dyDescent="0.2"/>
  <cols>
    <col min="1" max="1" width="4.140625" customWidth="1"/>
    <col min="2" max="2" width="22" customWidth="1"/>
    <col min="3" max="3" width="11.140625" bestFit="1" customWidth="1"/>
    <col min="4" max="4" width="8.42578125" customWidth="1"/>
    <col min="5" max="5" width="3.140625" bestFit="1" customWidth="1"/>
    <col min="6" max="6" width="5" customWidth="1"/>
    <col min="7" max="7" width="8.5703125" customWidth="1"/>
    <col min="8" max="8" width="8" customWidth="1"/>
    <col min="9" max="9" width="9.85546875" customWidth="1"/>
    <col min="10" max="10" width="7.140625" customWidth="1"/>
    <col min="11" max="11" width="2.85546875" customWidth="1"/>
    <col min="12" max="12" width="6.140625" bestFit="1" customWidth="1"/>
    <col min="13" max="13" width="3.5703125" customWidth="1"/>
    <col min="14" max="14" width="6.85546875" bestFit="1" customWidth="1"/>
    <col min="15" max="15" width="5.85546875" bestFit="1" customWidth="1"/>
    <col min="16" max="16" width="6.5703125" bestFit="1" customWidth="1"/>
    <col min="17" max="17" width="5.85546875" bestFit="1" customWidth="1"/>
  </cols>
  <sheetData>
    <row r="1" spans="1:17" ht="19.5" x14ac:dyDescent="0.3">
      <c r="A1" s="15"/>
      <c r="B1" s="44">
        <v>45748</v>
      </c>
      <c r="C1" s="5">
        <v>45768</v>
      </c>
      <c r="D1" s="2"/>
      <c r="F1" s="45" t="s">
        <v>25</v>
      </c>
      <c r="G1" s="45" t="s">
        <v>26</v>
      </c>
      <c r="H1" s="46"/>
      <c r="I1" s="46"/>
      <c r="J1" s="46"/>
      <c r="K1" s="46"/>
      <c r="L1" s="46"/>
      <c r="M1" s="47"/>
      <c r="N1" s="47"/>
      <c r="O1" s="47"/>
      <c r="P1" s="47"/>
      <c r="Q1" s="47"/>
    </row>
    <row r="2" spans="1:17" x14ac:dyDescent="0.2">
      <c r="A2" s="37"/>
      <c r="D2" s="5"/>
      <c r="F2" s="42"/>
      <c r="J2" s="6"/>
      <c r="K2" s="2"/>
      <c r="L2" s="2"/>
      <c r="M2" s="2"/>
      <c r="N2" s="2"/>
      <c r="O2" s="2"/>
      <c r="P2" s="2"/>
      <c r="Q2" s="2"/>
    </row>
    <row r="3" spans="1:17" x14ac:dyDescent="0.2">
      <c r="A3" s="29"/>
      <c r="B3" s="3" t="s">
        <v>12</v>
      </c>
      <c r="C3" s="1"/>
      <c r="D3" s="2"/>
      <c r="F3" s="42"/>
      <c r="J3" s="6"/>
      <c r="K3" s="2"/>
      <c r="L3" s="2"/>
      <c r="M3" s="2"/>
      <c r="N3" s="2"/>
      <c r="O3" s="2"/>
      <c r="P3" s="2"/>
      <c r="Q3" s="2"/>
    </row>
    <row r="4" spans="1:17" ht="75" x14ac:dyDescent="0.2">
      <c r="A4" s="23" t="s">
        <v>13</v>
      </c>
      <c r="B4" s="23" t="s">
        <v>0</v>
      </c>
      <c r="C4" s="23" t="s">
        <v>27</v>
      </c>
      <c r="D4" s="24" t="s">
        <v>15</v>
      </c>
      <c r="E4" s="24" t="s">
        <v>14</v>
      </c>
      <c r="F4" s="24" t="s">
        <v>1</v>
      </c>
      <c r="G4" s="24" t="s">
        <v>2</v>
      </c>
      <c r="H4" s="24" t="s">
        <v>16</v>
      </c>
      <c r="I4" s="24" t="s">
        <v>3</v>
      </c>
      <c r="J4" s="24" t="s">
        <v>4</v>
      </c>
      <c r="K4" s="24" t="s">
        <v>5</v>
      </c>
      <c r="L4" s="24" t="s">
        <v>7</v>
      </c>
      <c r="M4" s="24" t="s">
        <v>6</v>
      </c>
      <c r="N4" s="24" t="s">
        <v>8</v>
      </c>
      <c r="O4" s="24" t="s">
        <v>9</v>
      </c>
      <c r="P4" s="24" t="s">
        <v>10</v>
      </c>
      <c r="Q4" s="24" t="s">
        <v>11</v>
      </c>
    </row>
    <row r="5" spans="1:17" x14ac:dyDescent="0.2">
      <c r="A5" s="16">
        <v>1481</v>
      </c>
      <c r="B5" s="17" t="s">
        <v>43</v>
      </c>
      <c r="C5" s="18">
        <v>38112894941</v>
      </c>
      <c r="D5" s="19" t="s">
        <v>40</v>
      </c>
      <c r="E5" s="40" t="s">
        <v>41</v>
      </c>
      <c r="F5" s="43" t="s">
        <v>42</v>
      </c>
      <c r="G5" s="20">
        <v>45736</v>
      </c>
      <c r="H5" s="49"/>
      <c r="I5" s="61">
        <v>45763</v>
      </c>
      <c r="J5" s="43">
        <v>1671.91</v>
      </c>
      <c r="K5" s="43">
        <v>30</v>
      </c>
      <c r="L5" s="21">
        <f>J5/K5</f>
        <v>55.730333333333334</v>
      </c>
      <c r="M5" s="48">
        <v>16</v>
      </c>
      <c r="N5" s="41">
        <f>L5*M5*75%</f>
        <v>668.76400000000001</v>
      </c>
      <c r="O5" s="21">
        <f>M5*25%*L5</f>
        <v>222.92133333333334</v>
      </c>
      <c r="P5" s="21">
        <f>N5+O5</f>
        <v>891.68533333333335</v>
      </c>
      <c r="Q5" s="21">
        <f>O5</f>
        <v>222.92133333333334</v>
      </c>
    </row>
    <row r="6" spans="1:17" x14ac:dyDescent="0.2">
      <c r="A6" s="14">
        <v>1481</v>
      </c>
      <c r="B6" s="50" t="s">
        <v>39</v>
      </c>
      <c r="C6" s="11"/>
      <c r="D6" s="9"/>
      <c r="E6" s="9"/>
      <c r="F6" s="9"/>
      <c r="G6" s="10"/>
      <c r="H6" s="9"/>
      <c r="I6" s="9"/>
      <c r="J6" s="8"/>
      <c r="K6" s="7"/>
      <c r="L6" s="7"/>
      <c r="M6" s="7"/>
      <c r="N6" s="12">
        <f>SUM(N5)</f>
        <v>668.76400000000001</v>
      </c>
      <c r="O6" s="7"/>
      <c r="P6" s="7"/>
      <c r="Q6" s="7"/>
    </row>
    <row r="7" spans="1:17" x14ac:dyDescent="0.2">
      <c r="A7" s="16">
        <v>2225</v>
      </c>
      <c r="B7" s="17" t="s">
        <v>49</v>
      </c>
      <c r="C7" s="18">
        <v>38118786376</v>
      </c>
      <c r="D7" s="19" t="s">
        <v>47</v>
      </c>
      <c r="E7" s="40" t="s">
        <v>37</v>
      </c>
      <c r="F7" s="43" t="s">
        <v>48</v>
      </c>
      <c r="G7" s="20">
        <v>45775</v>
      </c>
      <c r="H7" s="49"/>
      <c r="I7" s="61"/>
      <c r="J7" s="43">
        <v>1535.57</v>
      </c>
      <c r="K7" s="43">
        <v>30</v>
      </c>
      <c r="L7" s="21">
        <f>J7/K7</f>
        <v>51.185666666666663</v>
      </c>
      <c r="M7" s="48">
        <v>2</v>
      </c>
      <c r="N7" s="41">
        <f>L7*M7*75%</f>
        <v>76.778499999999994</v>
      </c>
      <c r="O7" s="21">
        <f>M7*25%*L7</f>
        <v>25.592833333333331</v>
      </c>
      <c r="P7" s="21">
        <f>N7+O7</f>
        <v>102.37133333333333</v>
      </c>
      <c r="Q7" s="21">
        <f>O7</f>
        <v>25.592833333333331</v>
      </c>
    </row>
    <row r="8" spans="1:17" x14ac:dyDescent="0.2">
      <c r="A8" s="14">
        <v>2225</v>
      </c>
      <c r="B8" s="50" t="s">
        <v>46</v>
      </c>
      <c r="C8" s="11"/>
      <c r="D8" s="9"/>
      <c r="E8" s="9"/>
      <c r="F8" s="9"/>
      <c r="G8" s="10"/>
      <c r="H8" s="9"/>
      <c r="I8" s="9"/>
      <c r="J8" s="8"/>
      <c r="K8" s="7"/>
      <c r="L8" s="7"/>
      <c r="M8" s="7"/>
      <c r="N8" s="12">
        <f>SUM(N7)</f>
        <v>76.778499999999994</v>
      </c>
      <c r="O8" s="7"/>
      <c r="P8" s="7"/>
      <c r="Q8" s="7"/>
    </row>
    <row r="9" spans="1:17" x14ac:dyDescent="0.2">
      <c r="A9" s="25"/>
      <c r="B9" s="26"/>
      <c r="C9" s="27"/>
      <c r="D9" s="28"/>
      <c r="E9" s="28"/>
      <c r="F9" s="28"/>
      <c r="G9" s="29"/>
      <c r="H9" s="28"/>
      <c r="I9" s="28"/>
      <c r="J9" s="30"/>
      <c r="K9" s="31"/>
      <c r="L9" s="31"/>
      <c r="M9" s="31"/>
      <c r="N9" s="30"/>
      <c r="O9" s="31"/>
      <c r="P9" s="31"/>
      <c r="Q9" s="31"/>
    </row>
    <row r="10" spans="1:17" x14ac:dyDescent="0.2">
      <c r="A10" s="32" t="s">
        <v>19</v>
      </c>
      <c r="C10" s="4"/>
      <c r="F10" s="15"/>
      <c r="J10" s="2"/>
      <c r="O10" s="2"/>
      <c r="P10" s="2"/>
      <c r="Q10" s="2"/>
    </row>
    <row r="11" spans="1:17" x14ac:dyDescent="0.2">
      <c r="A11" s="33" t="s">
        <v>17</v>
      </c>
      <c r="F11" s="42"/>
      <c r="J11" s="2"/>
      <c r="K11" s="2"/>
      <c r="L11" s="2"/>
      <c r="M11" s="2"/>
      <c r="N11" s="2"/>
      <c r="O11" s="2"/>
      <c r="P11" s="2"/>
      <c r="Q11" s="2"/>
    </row>
    <row r="12" spans="1:17" x14ac:dyDescent="0.2">
      <c r="A12" s="33" t="s">
        <v>18</v>
      </c>
      <c r="F12" s="42"/>
      <c r="J12" s="2"/>
      <c r="K12" s="2"/>
      <c r="L12" s="2"/>
      <c r="M12" s="2"/>
      <c r="N12" s="2"/>
      <c r="O12" s="2"/>
      <c r="P12" s="2"/>
      <c r="Q12" s="2"/>
    </row>
    <row r="13" spans="1:17" x14ac:dyDescent="0.2">
      <c r="A13" s="34" t="s">
        <v>24</v>
      </c>
      <c r="F13" s="42"/>
      <c r="J13" s="2"/>
      <c r="K13" s="2"/>
      <c r="L13" s="2"/>
      <c r="M13" s="2"/>
      <c r="N13" s="2"/>
      <c r="O13" s="2"/>
      <c r="P13" s="2"/>
      <c r="Q13" s="2"/>
    </row>
    <row r="14" spans="1:17" x14ac:dyDescent="0.2">
      <c r="A14" s="34"/>
      <c r="F14" s="42"/>
      <c r="J14" s="2"/>
      <c r="K14" s="2"/>
      <c r="L14" s="2"/>
      <c r="M14" s="2"/>
      <c r="N14" s="2"/>
      <c r="O14" s="2"/>
      <c r="P14" s="2"/>
      <c r="Q14" s="2"/>
    </row>
    <row r="15" spans="1:17" x14ac:dyDescent="0.2">
      <c r="A15" s="65" t="s">
        <v>20</v>
      </c>
      <c r="B15" s="65"/>
      <c r="F15" s="15"/>
    </row>
    <row r="16" spans="1:17" x14ac:dyDescent="0.2">
      <c r="A16" s="38" t="s">
        <v>21</v>
      </c>
      <c r="B16" s="39"/>
      <c r="F16" s="15"/>
    </row>
    <row r="17" spans="1:17" x14ac:dyDescent="0.2">
      <c r="A17" s="35" t="s">
        <v>22</v>
      </c>
      <c r="B17" s="22"/>
      <c r="C17" s="1"/>
      <c r="D17" s="1"/>
      <c r="E17" s="1"/>
      <c r="F17" s="37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">
      <c r="A18" s="36" t="s">
        <v>23</v>
      </c>
      <c r="B18" s="13"/>
      <c r="F18" s="15"/>
    </row>
  </sheetData>
  <mergeCells count="1">
    <mergeCell ref="A15:B15"/>
  </mergeCells>
  <pageMargins left="0.31496062992125984" right="0.31496062992125984" top="0.31496062992125984" bottom="0.31496062992125984" header="0.31496062992125984" footer="0.31496062992125984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9"/>
  <sheetViews>
    <sheetView zoomScale="115" zoomScaleNormal="115" workbookViewId="0">
      <selection activeCell="N10" sqref="N10"/>
    </sheetView>
  </sheetViews>
  <sheetFormatPr baseColWidth="10" defaultRowHeight="12.75" x14ac:dyDescent="0.2"/>
  <cols>
    <col min="1" max="1" width="4.140625" customWidth="1"/>
    <col min="2" max="2" width="22" customWidth="1"/>
    <col min="3" max="3" width="11.140625" bestFit="1" customWidth="1"/>
    <col min="4" max="4" width="8.42578125" customWidth="1"/>
    <col min="5" max="5" width="3.140625" bestFit="1" customWidth="1"/>
    <col min="6" max="6" width="5" customWidth="1"/>
    <col min="7" max="7" width="8.5703125" customWidth="1"/>
    <col min="8" max="8" width="8" customWidth="1"/>
    <col min="9" max="9" width="9.85546875" customWidth="1"/>
    <col min="10" max="10" width="7.140625" customWidth="1"/>
    <col min="11" max="11" width="2.85546875" customWidth="1"/>
    <col min="12" max="12" width="6.140625" bestFit="1" customWidth="1"/>
    <col min="13" max="13" width="3.5703125" customWidth="1"/>
    <col min="14" max="14" width="6.85546875" bestFit="1" customWidth="1"/>
    <col min="15" max="15" width="5.85546875" bestFit="1" customWidth="1"/>
    <col min="16" max="16" width="6.5703125" bestFit="1" customWidth="1"/>
    <col min="17" max="17" width="5.85546875" bestFit="1" customWidth="1"/>
  </cols>
  <sheetData>
    <row r="1" spans="1:17" ht="19.5" x14ac:dyDescent="0.3">
      <c r="A1" s="15"/>
      <c r="B1" s="44">
        <v>45778</v>
      </c>
      <c r="C1" s="5">
        <v>45810</v>
      </c>
      <c r="D1" s="2"/>
      <c r="F1" s="45" t="s">
        <v>25</v>
      </c>
      <c r="G1" s="45" t="s">
        <v>26</v>
      </c>
      <c r="H1" s="46"/>
      <c r="I1" s="46"/>
      <c r="J1" s="46"/>
      <c r="K1" s="46"/>
      <c r="L1" s="46"/>
      <c r="M1" s="47"/>
      <c r="N1" s="47"/>
      <c r="O1" s="47"/>
      <c r="P1" s="47"/>
      <c r="Q1" s="47"/>
    </row>
    <row r="2" spans="1:17" x14ac:dyDescent="0.2">
      <c r="A2" s="37"/>
      <c r="D2" s="5"/>
      <c r="F2" s="42"/>
      <c r="J2" s="6"/>
      <c r="K2" s="2"/>
      <c r="L2" s="2"/>
      <c r="M2" s="2"/>
      <c r="N2" s="2"/>
      <c r="O2" s="2"/>
      <c r="P2" s="2"/>
      <c r="Q2" s="2"/>
    </row>
    <row r="3" spans="1:17" x14ac:dyDescent="0.2">
      <c r="A3" s="29"/>
      <c r="B3" s="3" t="s">
        <v>12</v>
      </c>
      <c r="C3" s="1"/>
      <c r="D3" s="2"/>
      <c r="F3" s="42"/>
      <c r="J3" s="6"/>
      <c r="K3" s="2"/>
      <c r="L3" s="2"/>
      <c r="M3" s="2"/>
      <c r="N3" s="2"/>
      <c r="O3" s="2"/>
      <c r="P3" s="2"/>
      <c r="Q3" s="2"/>
    </row>
    <row r="4" spans="1:17" ht="75" x14ac:dyDescent="0.2">
      <c r="A4" s="23" t="s">
        <v>13</v>
      </c>
      <c r="B4" s="23" t="s">
        <v>0</v>
      </c>
      <c r="C4" s="23" t="s">
        <v>27</v>
      </c>
      <c r="D4" s="24" t="s">
        <v>15</v>
      </c>
      <c r="E4" s="24" t="s">
        <v>14</v>
      </c>
      <c r="F4" s="24" t="s">
        <v>1</v>
      </c>
      <c r="G4" s="24" t="s">
        <v>2</v>
      </c>
      <c r="H4" s="24" t="s">
        <v>16</v>
      </c>
      <c r="I4" s="24" t="s">
        <v>3</v>
      </c>
      <c r="J4" s="24" t="s">
        <v>4</v>
      </c>
      <c r="K4" s="24" t="s">
        <v>5</v>
      </c>
      <c r="L4" s="24" t="s">
        <v>7</v>
      </c>
      <c r="M4" s="24" t="s">
        <v>6</v>
      </c>
      <c r="N4" s="24" t="s">
        <v>8</v>
      </c>
      <c r="O4" s="24" t="s">
        <v>9</v>
      </c>
      <c r="P4" s="24" t="s">
        <v>10</v>
      </c>
      <c r="Q4" s="24" t="s">
        <v>11</v>
      </c>
    </row>
    <row r="5" spans="1:17" ht="12" customHeight="1" x14ac:dyDescent="0.2">
      <c r="A5" s="16">
        <v>1378</v>
      </c>
      <c r="B5" s="17" t="s">
        <v>53</v>
      </c>
      <c r="C5" s="18">
        <v>38102537361</v>
      </c>
      <c r="D5" s="19" t="s">
        <v>54</v>
      </c>
      <c r="E5" s="40" t="s">
        <v>37</v>
      </c>
      <c r="F5" s="43" t="s">
        <v>58</v>
      </c>
      <c r="G5" s="20">
        <v>45804</v>
      </c>
      <c r="H5" s="49"/>
      <c r="I5" s="62"/>
      <c r="J5" s="43">
        <v>1381.34</v>
      </c>
      <c r="K5" s="43">
        <v>30</v>
      </c>
      <c r="L5" s="21">
        <f>J5/K5</f>
        <v>46.044666666666664</v>
      </c>
      <c r="M5" s="48">
        <v>4</v>
      </c>
      <c r="N5" s="41">
        <f>L5*M5*75%</f>
        <v>138.13399999999999</v>
      </c>
      <c r="O5" s="21">
        <f>M5*25%*L5</f>
        <v>46.044666666666664</v>
      </c>
      <c r="P5" s="21">
        <f>N5+O5</f>
        <v>184.17866666666666</v>
      </c>
      <c r="Q5" s="21">
        <f>O5</f>
        <v>46.044666666666664</v>
      </c>
    </row>
    <row r="6" spans="1:17" ht="12" customHeight="1" x14ac:dyDescent="0.2">
      <c r="A6" s="16">
        <v>1378</v>
      </c>
      <c r="B6" s="17" t="s">
        <v>51</v>
      </c>
      <c r="C6" s="18">
        <v>38102537361</v>
      </c>
      <c r="D6" s="19" t="s">
        <v>52</v>
      </c>
      <c r="E6" s="40" t="s">
        <v>37</v>
      </c>
      <c r="F6" s="43" t="s">
        <v>59</v>
      </c>
      <c r="G6" s="20">
        <v>45800</v>
      </c>
      <c r="H6" s="49"/>
      <c r="I6" s="62"/>
      <c r="J6" s="43">
        <v>1381.34</v>
      </c>
      <c r="K6" s="43">
        <v>30</v>
      </c>
      <c r="L6" s="21">
        <f>J6/K6</f>
        <v>46.044666666666664</v>
      </c>
      <c r="M6" s="48">
        <v>8</v>
      </c>
      <c r="N6" s="41">
        <f>L6*M6*75%</f>
        <v>276.26799999999997</v>
      </c>
      <c r="O6" s="21">
        <f>M6*25%*L6</f>
        <v>92.089333333333329</v>
      </c>
      <c r="P6" s="21">
        <f>N6+O6</f>
        <v>368.35733333333332</v>
      </c>
      <c r="Q6" s="21">
        <f>O6</f>
        <v>92.089333333333329</v>
      </c>
    </row>
    <row r="7" spans="1:17" ht="12" customHeight="1" x14ac:dyDescent="0.2">
      <c r="A7" s="14">
        <v>1378</v>
      </c>
      <c r="B7" s="50" t="s">
        <v>50</v>
      </c>
      <c r="C7" s="11"/>
      <c r="D7" s="9"/>
      <c r="E7" s="9"/>
      <c r="F7" s="9"/>
      <c r="G7" s="10"/>
      <c r="H7" s="9"/>
      <c r="I7" s="9"/>
      <c r="J7" s="8"/>
      <c r="K7" s="7"/>
      <c r="L7" s="7"/>
      <c r="M7" s="7"/>
      <c r="N7" s="12">
        <f>SUM(N5:N6)</f>
        <v>414.40199999999993</v>
      </c>
      <c r="O7" s="7"/>
      <c r="P7" s="7"/>
      <c r="Q7" s="7"/>
    </row>
    <row r="8" spans="1:17" x14ac:dyDescent="0.2">
      <c r="A8" s="16">
        <v>2225</v>
      </c>
      <c r="B8" s="17" t="s">
        <v>49</v>
      </c>
      <c r="C8" s="18">
        <v>38118786376</v>
      </c>
      <c r="D8" s="19" t="s">
        <v>47</v>
      </c>
      <c r="E8" s="40" t="s">
        <v>37</v>
      </c>
      <c r="F8" s="43" t="s">
        <v>59</v>
      </c>
      <c r="G8" s="20">
        <v>45775</v>
      </c>
      <c r="H8" s="49" t="s">
        <v>55</v>
      </c>
      <c r="I8" s="62" t="s">
        <v>56</v>
      </c>
      <c r="J8" s="43">
        <v>1535.57</v>
      </c>
      <c r="K8" s="43">
        <v>30</v>
      </c>
      <c r="L8" s="21">
        <f>J8/K8</f>
        <v>51.185666666666663</v>
      </c>
      <c r="M8" s="48">
        <v>31</v>
      </c>
      <c r="N8" s="41">
        <f>L8*M8*75%</f>
        <v>1190.06675</v>
      </c>
      <c r="O8" s="21">
        <f>M8*25%*L8</f>
        <v>396.68891666666661</v>
      </c>
      <c r="P8" s="21">
        <f>N8+O8</f>
        <v>1586.7556666666665</v>
      </c>
      <c r="Q8" s="21">
        <f>O8</f>
        <v>396.68891666666661</v>
      </c>
    </row>
    <row r="9" spans="1:17" ht="12" customHeight="1" x14ac:dyDescent="0.2">
      <c r="A9" s="14">
        <v>2225</v>
      </c>
      <c r="B9" s="50" t="s">
        <v>46</v>
      </c>
      <c r="C9" s="11"/>
      <c r="D9" s="9"/>
      <c r="E9" s="9"/>
      <c r="F9" s="9"/>
      <c r="G9" s="10"/>
      <c r="H9" s="9"/>
      <c r="I9" s="9"/>
      <c r="J9" s="8"/>
      <c r="K9" s="7"/>
      <c r="L9" s="7"/>
      <c r="M9" s="7"/>
      <c r="N9" s="12">
        <f>SUM(N8)</f>
        <v>1190.06675</v>
      </c>
      <c r="O9" s="7"/>
      <c r="P9" s="7"/>
      <c r="Q9" s="7"/>
    </row>
    <row r="10" spans="1:17" x14ac:dyDescent="0.2">
      <c r="A10" s="25"/>
      <c r="B10" s="26"/>
      <c r="C10" s="27"/>
      <c r="D10" s="28"/>
      <c r="E10" s="28"/>
      <c r="F10" s="28"/>
      <c r="G10" s="29"/>
      <c r="H10" s="28"/>
      <c r="I10" s="28"/>
      <c r="J10" s="30"/>
      <c r="K10" s="31"/>
      <c r="L10" s="31"/>
      <c r="M10" s="31"/>
      <c r="N10" s="30"/>
      <c r="O10" s="31"/>
      <c r="P10" s="31"/>
      <c r="Q10" s="31"/>
    </row>
    <row r="11" spans="1:17" x14ac:dyDescent="0.2">
      <c r="A11" s="32" t="s">
        <v>19</v>
      </c>
      <c r="C11" s="4"/>
      <c r="F11" s="15"/>
      <c r="J11" s="2"/>
      <c r="O11" s="2"/>
      <c r="P11" s="2"/>
      <c r="Q11" s="2"/>
    </row>
    <row r="12" spans="1:17" x14ac:dyDescent="0.2">
      <c r="A12" s="33" t="s">
        <v>17</v>
      </c>
      <c r="F12" s="42"/>
      <c r="J12" s="2"/>
      <c r="K12" s="2"/>
      <c r="L12" s="2"/>
      <c r="M12" s="2"/>
      <c r="N12" s="2"/>
      <c r="O12" s="2"/>
      <c r="P12" s="2"/>
      <c r="Q12" s="2"/>
    </row>
    <row r="13" spans="1:17" x14ac:dyDescent="0.2">
      <c r="A13" s="33" t="s">
        <v>18</v>
      </c>
      <c r="F13" s="42"/>
      <c r="J13" s="2"/>
      <c r="K13" s="2"/>
      <c r="L13" s="2"/>
      <c r="M13" s="2"/>
      <c r="N13" s="2"/>
      <c r="O13" s="2"/>
      <c r="P13" s="2"/>
      <c r="Q13" s="2"/>
    </row>
    <row r="14" spans="1:17" x14ac:dyDescent="0.2">
      <c r="A14" s="34" t="s">
        <v>24</v>
      </c>
      <c r="F14" s="42"/>
      <c r="J14" s="2"/>
      <c r="K14" s="2"/>
      <c r="L14" s="2"/>
      <c r="M14" s="2"/>
      <c r="N14" s="2"/>
      <c r="O14" s="2"/>
      <c r="P14" s="2"/>
      <c r="Q14" s="2"/>
    </row>
    <row r="15" spans="1:17" x14ac:dyDescent="0.2">
      <c r="A15" s="34"/>
      <c r="F15" s="42"/>
      <c r="J15" s="2"/>
      <c r="K15" s="2"/>
      <c r="L15" s="2"/>
      <c r="M15" s="2"/>
      <c r="N15" s="2"/>
      <c r="O15" s="2"/>
      <c r="P15" s="2"/>
      <c r="Q15" s="2"/>
    </row>
    <row r="16" spans="1:17" x14ac:dyDescent="0.2">
      <c r="A16" s="65" t="s">
        <v>20</v>
      </c>
      <c r="B16" s="65"/>
      <c r="F16" s="15"/>
    </row>
    <row r="17" spans="1:17" x14ac:dyDescent="0.2">
      <c r="A17" s="38" t="s">
        <v>21</v>
      </c>
      <c r="B17" s="39"/>
      <c r="F17" s="15"/>
    </row>
    <row r="18" spans="1:17" x14ac:dyDescent="0.2">
      <c r="A18" s="35" t="s">
        <v>22</v>
      </c>
      <c r="B18" s="22"/>
      <c r="C18" s="1"/>
      <c r="D18" s="1"/>
      <c r="E18" s="1"/>
      <c r="F18" s="37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">
      <c r="A19" s="36" t="s">
        <v>23</v>
      </c>
      <c r="B19" s="13"/>
      <c r="F19" s="15"/>
    </row>
  </sheetData>
  <mergeCells count="1">
    <mergeCell ref="A16:B16"/>
  </mergeCells>
  <pageMargins left="0.31496062992125984" right="0.31496062992125984" top="0.31496062992125984" bottom="0.31496062992125984" header="0.31496062992125984" footer="0.31496062992125984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23"/>
  <sheetViews>
    <sheetView zoomScale="115" zoomScaleNormal="115" workbookViewId="0">
      <selection activeCell="A10" sqref="A10:XFD11"/>
    </sheetView>
  </sheetViews>
  <sheetFormatPr baseColWidth="10" defaultRowHeight="12.75" x14ac:dyDescent="0.2"/>
  <cols>
    <col min="1" max="1" width="4.140625" customWidth="1"/>
    <col min="2" max="2" width="22" customWidth="1"/>
    <col min="3" max="3" width="11.140625" bestFit="1" customWidth="1"/>
    <col min="4" max="4" width="8.42578125" customWidth="1"/>
    <col min="5" max="5" width="3.140625" bestFit="1" customWidth="1"/>
    <col min="6" max="6" width="5" customWidth="1"/>
    <col min="7" max="7" width="8.5703125" customWidth="1"/>
    <col min="8" max="8" width="8" customWidth="1"/>
    <col min="9" max="9" width="9.85546875" customWidth="1"/>
    <col min="10" max="10" width="7.140625" customWidth="1"/>
    <col min="11" max="11" width="2.85546875" customWidth="1"/>
    <col min="12" max="12" width="4.5703125" customWidth="1"/>
    <col min="13" max="13" width="3.5703125" customWidth="1"/>
    <col min="14" max="14" width="6.85546875" bestFit="1" customWidth="1"/>
    <col min="15" max="15" width="5.85546875" bestFit="1" customWidth="1"/>
    <col min="16" max="16" width="6.5703125" bestFit="1" customWidth="1"/>
    <col min="17" max="17" width="5.85546875" bestFit="1" customWidth="1"/>
  </cols>
  <sheetData>
    <row r="1" spans="1:17" ht="19.5" x14ac:dyDescent="0.3">
      <c r="A1" s="15"/>
      <c r="B1" s="44">
        <v>45809</v>
      </c>
      <c r="C1" s="5">
        <v>45838</v>
      </c>
      <c r="D1" s="2"/>
      <c r="F1" s="45" t="s">
        <v>25</v>
      </c>
      <c r="G1" s="45" t="s">
        <v>26</v>
      </c>
      <c r="H1" s="46"/>
      <c r="I1" s="46"/>
      <c r="J1" s="46"/>
      <c r="K1" s="46"/>
      <c r="L1" s="46"/>
      <c r="M1" s="47"/>
      <c r="N1" s="47"/>
      <c r="O1" s="47"/>
      <c r="P1" s="47"/>
      <c r="Q1" s="47"/>
    </row>
    <row r="2" spans="1:17" x14ac:dyDescent="0.2">
      <c r="A2" s="37"/>
      <c r="D2" s="5"/>
      <c r="F2" s="42"/>
      <c r="J2" s="6"/>
      <c r="K2" s="2"/>
      <c r="L2" s="2"/>
      <c r="M2" s="2"/>
      <c r="N2" s="2"/>
      <c r="O2" s="2"/>
      <c r="P2" s="2"/>
      <c r="Q2" s="2"/>
    </row>
    <row r="3" spans="1:17" x14ac:dyDescent="0.2">
      <c r="A3" s="29"/>
      <c r="B3" s="3" t="s">
        <v>12</v>
      </c>
      <c r="C3" s="1"/>
      <c r="D3" s="2"/>
      <c r="F3" s="42"/>
      <c r="J3" s="6"/>
      <c r="K3" s="2"/>
      <c r="L3" s="2"/>
      <c r="M3" s="2"/>
      <c r="N3" s="2"/>
      <c r="O3" s="2"/>
      <c r="P3" s="2"/>
      <c r="Q3" s="2"/>
    </row>
    <row r="4" spans="1:17" ht="75" x14ac:dyDescent="0.2">
      <c r="A4" s="23" t="s">
        <v>13</v>
      </c>
      <c r="B4" s="23" t="s">
        <v>0</v>
      </c>
      <c r="C4" s="23" t="s">
        <v>27</v>
      </c>
      <c r="D4" s="24" t="s">
        <v>15</v>
      </c>
      <c r="E4" s="24" t="s">
        <v>14</v>
      </c>
      <c r="F4" s="24" t="s">
        <v>1</v>
      </c>
      <c r="G4" s="24" t="s">
        <v>2</v>
      </c>
      <c r="H4" s="24" t="s">
        <v>16</v>
      </c>
      <c r="I4" s="24" t="s">
        <v>3</v>
      </c>
      <c r="J4" s="24" t="s">
        <v>4</v>
      </c>
      <c r="K4" s="24" t="s">
        <v>5</v>
      </c>
      <c r="L4" s="24" t="s">
        <v>7</v>
      </c>
      <c r="M4" s="24" t="s">
        <v>6</v>
      </c>
      <c r="N4" s="24" t="s">
        <v>8</v>
      </c>
      <c r="O4" s="24" t="s">
        <v>9</v>
      </c>
      <c r="P4" s="24" t="s">
        <v>10</v>
      </c>
      <c r="Q4" s="24" t="s">
        <v>11</v>
      </c>
    </row>
    <row r="5" spans="1:17" ht="12" customHeight="1" x14ac:dyDescent="0.2">
      <c r="A5" s="16">
        <v>1378</v>
      </c>
      <c r="B5" s="17" t="s">
        <v>53</v>
      </c>
      <c r="C5" s="18">
        <v>38102537361</v>
      </c>
      <c r="D5" s="19" t="s">
        <v>54</v>
      </c>
      <c r="E5" s="40" t="s">
        <v>37</v>
      </c>
      <c r="F5" s="43" t="s">
        <v>48</v>
      </c>
      <c r="G5" s="20">
        <v>45804</v>
      </c>
      <c r="H5" s="49" t="s">
        <v>57</v>
      </c>
      <c r="I5" s="62" t="s">
        <v>63</v>
      </c>
      <c r="J5" s="43">
        <v>1381.34</v>
      </c>
      <c r="K5" s="43">
        <v>30</v>
      </c>
      <c r="L5" s="21">
        <f>J5/K5</f>
        <v>46.044666666666664</v>
      </c>
      <c r="M5" s="48">
        <v>30</v>
      </c>
      <c r="N5" s="41">
        <f>L5*M5*75%</f>
        <v>1036.0049999999999</v>
      </c>
      <c r="O5" s="21">
        <f>M5*25%*L5</f>
        <v>345.33499999999998</v>
      </c>
      <c r="P5" s="21">
        <f>N5+O5</f>
        <v>1381.34</v>
      </c>
      <c r="Q5" s="21">
        <f>O5</f>
        <v>345.33499999999998</v>
      </c>
    </row>
    <row r="6" spans="1:17" ht="12" customHeight="1" x14ac:dyDescent="0.2">
      <c r="A6" s="16">
        <v>1378</v>
      </c>
      <c r="B6" s="17" t="s">
        <v>51</v>
      </c>
      <c r="C6" s="18">
        <v>38102537361</v>
      </c>
      <c r="D6" s="19" t="s">
        <v>52</v>
      </c>
      <c r="E6" s="40" t="s">
        <v>37</v>
      </c>
      <c r="F6" s="43" t="s">
        <v>48</v>
      </c>
      <c r="G6" s="20">
        <v>45800</v>
      </c>
      <c r="H6" s="49" t="s">
        <v>64</v>
      </c>
      <c r="I6" s="62" t="s">
        <v>65</v>
      </c>
      <c r="J6" s="43">
        <v>1381.34</v>
      </c>
      <c r="K6" s="43">
        <v>30</v>
      </c>
      <c r="L6" s="21">
        <f>J6/K6</f>
        <v>46.044666666666664</v>
      </c>
      <c r="M6" s="48">
        <v>30</v>
      </c>
      <c r="N6" s="41">
        <f>L6*M6*75%</f>
        <v>1036.0049999999999</v>
      </c>
      <c r="O6" s="21">
        <f>M6*25%*L6</f>
        <v>345.33499999999998</v>
      </c>
      <c r="P6" s="21">
        <f>N6+O6</f>
        <v>1381.34</v>
      </c>
      <c r="Q6" s="21">
        <f>O6</f>
        <v>345.33499999999998</v>
      </c>
    </row>
    <row r="7" spans="1:17" ht="12" customHeight="1" x14ac:dyDescent="0.2">
      <c r="A7" s="14">
        <v>1378</v>
      </c>
      <c r="B7" s="50" t="s">
        <v>50</v>
      </c>
      <c r="C7" s="11"/>
      <c r="D7" s="9"/>
      <c r="E7" s="9"/>
      <c r="F7" s="9"/>
      <c r="G7" s="10"/>
      <c r="H7" s="9"/>
      <c r="I7" s="9"/>
      <c r="J7" s="8"/>
      <c r="K7" s="7"/>
      <c r="L7" s="7"/>
      <c r="M7" s="7"/>
      <c r="N7" s="12">
        <f>SUM(N5:N6)</f>
        <v>2072.0099999999998</v>
      </c>
      <c r="O7" s="7"/>
      <c r="P7" s="7"/>
      <c r="Q7" s="7"/>
    </row>
    <row r="8" spans="1:17" ht="12" customHeight="1" x14ac:dyDescent="0.2">
      <c r="A8" s="16">
        <v>1985</v>
      </c>
      <c r="B8" s="17" t="s">
        <v>61</v>
      </c>
      <c r="C8" s="18">
        <v>38117674516</v>
      </c>
      <c r="D8" s="19" t="s">
        <v>62</v>
      </c>
      <c r="E8" s="40" t="s">
        <v>41</v>
      </c>
      <c r="F8" s="43" t="s">
        <v>48</v>
      </c>
      <c r="G8" s="20">
        <v>45818</v>
      </c>
      <c r="H8" s="49"/>
      <c r="I8" s="61">
        <v>45835</v>
      </c>
      <c r="J8" s="43">
        <v>1381.35</v>
      </c>
      <c r="K8" s="43">
        <v>30</v>
      </c>
      <c r="L8" s="21">
        <f>J8/K8</f>
        <v>46.044999999999995</v>
      </c>
      <c r="M8" s="48">
        <v>17</v>
      </c>
      <c r="N8" s="41">
        <f>L8*M8*75%</f>
        <v>587.0737499999999</v>
      </c>
      <c r="O8" s="21">
        <f>M8*25%*L8</f>
        <v>195.69124999999997</v>
      </c>
      <c r="P8" s="21">
        <f>N8+O8</f>
        <v>782.76499999999987</v>
      </c>
      <c r="Q8" s="21">
        <f>O8</f>
        <v>195.69124999999997</v>
      </c>
    </row>
    <row r="9" spans="1:17" ht="12" customHeight="1" x14ac:dyDescent="0.2">
      <c r="A9" s="14">
        <v>1985</v>
      </c>
      <c r="B9" s="50" t="s">
        <v>60</v>
      </c>
      <c r="C9" s="11"/>
      <c r="D9" s="9"/>
      <c r="E9" s="9"/>
      <c r="F9" s="9"/>
      <c r="G9" s="10"/>
      <c r="H9" s="9"/>
      <c r="I9" s="9"/>
      <c r="J9" s="8"/>
      <c r="K9" s="7"/>
      <c r="L9" s="7"/>
      <c r="M9" s="7"/>
      <c r="N9" s="12">
        <f>SUM(N8)</f>
        <v>587.0737499999999</v>
      </c>
      <c r="O9" s="7"/>
      <c r="P9" s="7"/>
      <c r="Q9" s="7"/>
    </row>
    <row r="10" spans="1:17" x14ac:dyDescent="0.2">
      <c r="A10" s="16">
        <v>2225</v>
      </c>
      <c r="B10" s="17" t="s">
        <v>49</v>
      </c>
      <c r="C10" s="18">
        <v>38118786376</v>
      </c>
      <c r="D10" s="19" t="s">
        <v>47</v>
      </c>
      <c r="E10" s="40" t="s">
        <v>37</v>
      </c>
      <c r="F10" s="43" t="s">
        <v>48</v>
      </c>
      <c r="G10" s="20">
        <v>45775</v>
      </c>
      <c r="H10" s="49"/>
      <c r="I10" s="61">
        <v>45819</v>
      </c>
      <c r="J10" s="43">
        <v>1535.57</v>
      </c>
      <c r="K10" s="43">
        <v>30</v>
      </c>
      <c r="L10" s="21">
        <f>J10/K10</f>
        <v>51.185666666666663</v>
      </c>
      <c r="M10" s="48">
        <v>11</v>
      </c>
      <c r="N10" s="41">
        <f>L10*M10*75%</f>
        <v>422.28174999999999</v>
      </c>
      <c r="O10" s="21">
        <f>M10*25%*L10</f>
        <v>140.76058333333333</v>
      </c>
      <c r="P10" s="21">
        <f>N10+O10</f>
        <v>563.04233333333332</v>
      </c>
      <c r="Q10" s="21">
        <f>O10</f>
        <v>140.76058333333333</v>
      </c>
    </row>
    <row r="11" spans="1:17" ht="12" customHeight="1" x14ac:dyDescent="0.2">
      <c r="A11" s="14">
        <v>2225</v>
      </c>
      <c r="B11" s="50" t="s">
        <v>46</v>
      </c>
      <c r="C11" s="11"/>
      <c r="D11" s="9"/>
      <c r="E11" s="9"/>
      <c r="F11" s="9"/>
      <c r="G11" s="10"/>
      <c r="H11" s="9"/>
      <c r="I11" s="9"/>
      <c r="J11" s="8"/>
      <c r="K11" s="7"/>
      <c r="L11" s="7"/>
      <c r="M11" s="7"/>
      <c r="N11" s="12">
        <f>SUM(N10)</f>
        <v>422.28174999999999</v>
      </c>
      <c r="O11" s="7"/>
      <c r="P11" s="7"/>
      <c r="Q11" s="7"/>
    </row>
    <row r="12" spans="1:17" x14ac:dyDescent="0.2">
      <c r="A12" s="16">
        <v>2433</v>
      </c>
      <c r="B12" s="17" t="s">
        <v>67</v>
      </c>
      <c r="C12" s="18">
        <v>38116665918</v>
      </c>
      <c r="D12" s="19" t="s">
        <v>68</v>
      </c>
      <c r="E12" s="40" t="s">
        <v>37</v>
      </c>
      <c r="F12" s="43" t="s">
        <v>42</v>
      </c>
      <c r="G12" s="20">
        <v>45838</v>
      </c>
      <c r="H12" s="49" t="s">
        <v>69</v>
      </c>
      <c r="I12" s="61"/>
      <c r="J12" s="43">
        <v>2003</v>
      </c>
      <c r="K12" s="43">
        <v>30</v>
      </c>
      <c r="L12" s="21">
        <f>J12/K12</f>
        <v>66.766666666666666</v>
      </c>
      <c r="M12" s="48">
        <v>0</v>
      </c>
      <c r="N12" s="41">
        <f>L12*M12*75%</f>
        <v>0</v>
      </c>
      <c r="O12" s="21">
        <f>M12*25%*L12</f>
        <v>0</v>
      </c>
      <c r="P12" s="21">
        <f>N12+O12</f>
        <v>0</v>
      </c>
      <c r="Q12" s="21">
        <f>O12</f>
        <v>0</v>
      </c>
    </row>
    <row r="13" spans="1:17" ht="12" customHeight="1" x14ac:dyDescent="0.2">
      <c r="A13" s="14">
        <v>2433</v>
      </c>
      <c r="B13" s="50" t="s">
        <v>66</v>
      </c>
      <c r="C13" s="11"/>
      <c r="D13" s="9"/>
      <c r="E13" s="9"/>
      <c r="F13" s="9"/>
      <c r="G13" s="10"/>
      <c r="H13" s="9"/>
      <c r="I13" s="9"/>
      <c r="J13" s="8"/>
      <c r="K13" s="7"/>
      <c r="L13" s="7"/>
      <c r="M13" s="7"/>
      <c r="N13" s="12">
        <f>SUM(N12)</f>
        <v>0</v>
      </c>
      <c r="O13" s="7"/>
      <c r="P13" s="7"/>
      <c r="Q13" s="7"/>
    </row>
    <row r="14" spans="1:17" x14ac:dyDescent="0.2">
      <c r="A14" s="25"/>
      <c r="B14" s="26"/>
      <c r="C14" s="27"/>
      <c r="D14" s="28"/>
      <c r="E14" s="28"/>
      <c r="F14" s="28"/>
      <c r="G14" s="29"/>
      <c r="H14" s="28"/>
      <c r="I14" s="28"/>
      <c r="J14" s="30"/>
      <c r="K14" s="31"/>
      <c r="L14" s="31"/>
      <c r="M14" s="31"/>
      <c r="N14" s="30"/>
      <c r="O14" s="31"/>
      <c r="P14" s="31"/>
      <c r="Q14" s="31"/>
    </row>
    <row r="15" spans="1:17" x14ac:dyDescent="0.2">
      <c r="A15" s="32" t="s">
        <v>19</v>
      </c>
      <c r="C15" s="4"/>
      <c r="F15" s="15"/>
      <c r="J15" s="2"/>
      <c r="O15" s="2"/>
      <c r="P15" s="2"/>
      <c r="Q15" s="2"/>
    </row>
    <row r="16" spans="1:17" x14ac:dyDescent="0.2">
      <c r="A16" s="33" t="s">
        <v>17</v>
      </c>
      <c r="F16" s="42"/>
      <c r="J16" s="2"/>
      <c r="K16" s="2"/>
      <c r="L16" s="2"/>
      <c r="M16" s="2"/>
      <c r="N16" s="2"/>
      <c r="O16" s="2"/>
      <c r="P16" s="2"/>
      <c r="Q16" s="2"/>
    </row>
    <row r="17" spans="1:17" x14ac:dyDescent="0.2">
      <c r="A17" s="33" t="s">
        <v>18</v>
      </c>
      <c r="F17" s="42"/>
      <c r="J17" s="2"/>
      <c r="K17" s="2"/>
      <c r="L17" s="2"/>
      <c r="M17" s="2"/>
      <c r="N17" s="2"/>
      <c r="O17" s="2"/>
      <c r="P17" s="2"/>
      <c r="Q17" s="2"/>
    </row>
    <row r="18" spans="1:17" x14ac:dyDescent="0.2">
      <c r="A18" s="34" t="s">
        <v>24</v>
      </c>
      <c r="F18" s="42"/>
      <c r="J18" s="2"/>
      <c r="K18" s="2"/>
      <c r="L18" s="2"/>
      <c r="M18" s="2"/>
      <c r="N18" s="2"/>
      <c r="O18" s="2"/>
      <c r="P18" s="2"/>
      <c r="Q18" s="2"/>
    </row>
    <row r="19" spans="1:17" x14ac:dyDescent="0.2">
      <c r="A19" s="34"/>
      <c r="F19" s="42"/>
      <c r="J19" s="2"/>
      <c r="K19" s="2"/>
      <c r="L19" s="2"/>
      <c r="M19" s="2"/>
      <c r="N19" s="2"/>
      <c r="O19" s="2"/>
      <c r="P19" s="2"/>
      <c r="Q19" s="2"/>
    </row>
    <row r="20" spans="1:17" x14ac:dyDescent="0.2">
      <c r="A20" s="65" t="s">
        <v>20</v>
      </c>
      <c r="B20" s="65"/>
      <c r="F20" s="15"/>
    </row>
    <row r="21" spans="1:17" x14ac:dyDescent="0.2">
      <c r="A21" s="38" t="s">
        <v>21</v>
      </c>
      <c r="B21" s="39"/>
      <c r="F21" s="15"/>
    </row>
    <row r="22" spans="1:17" x14ac:dyDescent="0.2">
      <c r="A22" s="35" t="s">
        <v>22</v>
      </c>
      <c r="B22" s="22"/>
      <c r="C22" s="1"/>
      <c r="D22" s="1"/>
      <c r="E22" s="1"/>
      <c r="F22" s="37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">
      <c r="A23" s="36" t="s">
        <v>23</v>
      </c>
      <c r="B23" s="13"/>
      <c r="F23" s="15"/>
    </row>
  </sheetData>
  <mergeCells count="1">
    <mergeCell ref="A20:B20"/>
  </mergeCells>
  <pageMargins left="0.31496062992125984" right="0.31496062992125984" top="0.31496062992125984" bottom="0.31496062992125984" header="0.31496062992125984" footer="0.31496062992125984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23"/>
  <sheetViews>
    <sheetView zoomScale="115" zoomScaleNormal="115" workbookViewId="0">
      <selection activeCell="M9" sqref="M9"/>
    </sheetView>
  </sheetViews>
  <sheetFormatPr baseColWidth="10" defaultRowHeight="12.75" x14ac:dyDescent="0.2"/>
  <cols>
    <col min="1" max="1" width="4.140625" customWidth="1"/>
    <col min="2" max="2" width="22" customWidth="1"/>
    <col min="3" max="3" width="11.140625" bestFit="1" customWidth="1"/>
    <col min="4" max="4" width="8.42578125" customWidth="1"/>
    <col min="5" max="5" width="3.140625" bestFit="1" customWidth="1"/>
    <col min="6" max="6" width="5" customWidth="1"/>
    <col min="7" max="7" width="8.5703125" customWidth="1"/>
    <col min="8" max="8" width="8" customWidth="1"/>
    <col min="9" max="9" width="8.85546875" customWidth="1"/>
    <col min="10" max="10" width="7.140625" customWidth="1"/>
    <col min="11" max="11" width="2.85546875" customWidth="1"/>
    <col min="12" max="12" width="4.5703125" customWidth="1"/>
    <col min="13" max="13" width="3.5703125" customWidth="1"/>
    <col min="14" max="14" width="6.85546875" bestFit="1" customWidth="1"/>
    <col min="15" max="15" width="5.85546875" bestFit="1" customWidth="1"/>
    <col min="16" max="16" width="6.5703125" bestFit="1" customWidth="1"/>
    <col min="17" max="17" width="5.85546875" bestFit="1" customWidth="1"/>
  </cols>
  <sheetData>
    <row r="1" spans="1:17" ht="19.5" x14ac:dyDescent="0.3">
      <c r="A1" s="15"/>
      <c r="B1" s="44">
        <v>45870</v>
      </c>
      <c r="C1" s="5">
        <v>45873</v>
      </c>
      <c r="D1" s="2"/>
      <c r="F1" s="45" t="s">
        <v>25</v>
      </c>
      <c r="G1" s="45" t="s">
        <v>26</v>
      </c>
      <c r="H1" s="46"/>
      <c r="I1" s="46"/>
      <c r="J1" s="46"/>
      <c r="K1" s="46"/>
      <c r="L1" s="46"/>
      <c r="M1" s="47"/>
      <c r="N1" s="47"/>
      <c r="O1" s="47"/>
      <c r="P1" s="47"/>
      <c r="Q1" s="47"/>
    </row>
    <row r="2" spans="1:17" x14ac:dyDescent="0.2">
      <c r="A2" s="37"/>
      <c r="D2" s="5"/>
      <c r="F2" s="42"/>
      <c r="J2" s="6"/>
      <c r="K2" s="2"/>
      <c r="L2" s="2"/>
      <c r="M2" s="2"/>
      <c r="N2" s="2"/>
      <c r="O2" s="2"/>
      <c r="P2" s="2"/>
      <c r="Q2" s="2"/>
    </row>
    <row r="3" spans="1:17" x14ac:dyDescent="0.2">
      <c r="A3" s="29"/>
      <c r="B3" s="3" t="s">
        <v>12</v>
      </c>
      <c r="C3" s="1"/>
      <c r="D3" s="2"/>
      <c r="F3" s="42"/>
      <c r="J3" s="6"/>
      <c r="K3" s="2"/>
      <c r="L3" s="2"/>
      <c r="M3" s="2"/>
      <c r="N3" s="2"/>
      <c r="O3" s="2"/>
      <c r="P3" s="2"/>
      <c r="Q3" s="2"/>
    </row>
    <row r="4" spans="1:17" ht="75" x14ac:dyDescent="0.2">
      <c r="A4" s="23" t="s">
        <v>13</v>
      </c>
      <c r="B4" s="23" t="s">
        <v>0</v>
      </c>
      <c r="C4" s="23" t="s">
        <v>27</v>
      </c>
      <c r="D4" s="24" t="s">
        <v>15</v>
      </c>
      <c r="E4" s="24" t="s">
        <v>14</v>
      </c>
      <c r="F4" s="24" t="s">
        <v>1</v>
      </c>
      <c r="G4" s="24" t="s">
        <v>2</v>
      </c>
      <c r="H4" s="24" t="s">
        <v>16</v>
      </c>
      <c r="I4" s="24" t="s">
        <v>3</v>
      </c>
      <c r="J4" s="24" t="s">
        <v>4</v>
      </c>
      <c r="K4" s="24" t="s">
        <v>5</v>
      </c>
      <c r="L4" s="24" t="s">
        <v>7</v>
      </c>
      <c r="M4" s="24" t="s">
        <v>6</v>
      </c>
      <c r="N4" s="24" t="s">
        <v>8</v>
      </c>
      <c r="O4" s="24" t="s">
        <v>9</v>
      </c>
      <c r="P4" s="24" t="s">
        <v>10</v>
      </c>
      <c r="Q4" s="24" t="s">
        <v>11</v>
      </c>
    </row>
    <row r="5" spans="1:17" ht="12" customHeight="1" x14ac:dyDescent="0.2">
      <c r="A5" s="16">
        <v>1378</v>
      </c>
      <c r="B5" s="17" t="s">
        <v>53</v>
      </c>
      <c r="C5" s="18">
        <v>38102537361</v>
      </c>
      <c r="D5" s="19" t="s">
        <v>54</v>
      </c>
      <c r="E5" s="40" t="s">
        <v>37</v>
      </c>
      <c r="F5" s="43" t="s">
        <v>48</v>
      </c>
      <c r="G5" s="20">
        <v>45804</v>
      </c>
      <c r="H5" s="49" t="s">
        <v>70</v>
      </c>
      <c r="I5" s="61">
        <v>45867</v>
      </c>
      <c r="J5" s="43">
        <v>1381.34</v>
      </c>
      <c r="K5" s="43">
        <v>30</v>
      </c>
      <c r="L5" s="21">
        <f>J5/K5</f>
        <v>46.044666666666664</v>
      </c>
      <c r="M5" s="48">
        <v>29</v>
      </c>
      <c r="N5" s="41">
        <f>L5*M5*75%</f>
        <v>1001.4714999999999</v>
      </c>
      <c r="O5" s="21">
        <f>M5*25%*L5</f>
        <v>333.82383333333331</v>
      </c>
      <c r="P5" s="21">
        <f>N5+O5</f>
        <v>1335.2953333333332</v>
      </c>
      <c r="Q5" s="21">
        <f>O5</f>
        <v>333.82383333333331</v>
      </c>
    </row>
    <row r="6" spans="1:17" ht="12" customHeight="1" x14ac:dyDescent="0.2">
      <c r="A6" s="16">
        <v>1378</v>
      </c>
      <c r="B6" s="17" t="s">
        <v>51</v>
      </c>
      <c r="C6" s="18">
        <v>38102537361</v>
      </c>
      <c r="D6" s="19" t="s">
        <v>52</v>
      </c>
      <c r="E6" s="40" t="s">
        <v>37</v>
      </c>
      <c r="F6" s="43" t="s">
        <v>48</v>
      </c>
      <c r="G6" s="20">
        <v>45800</v>
      </c>
      <c r="H6" s="49" t="s">
        <v>70</v>
      </c>
      <c r="I6" s="62" t="s">
        <v>74</v>
      </c>
      <c r="J6" s="43">
        <v>1381.34</v>
      </c>
      <c r="K6" s="43">
        <v>30</v>
      </c>
      <c r="L6" s="21">
        <f>J6/K6</f>
        <v>46.044666666666664</v>
      </c>
      <c r="M6" s="48">
        <v>31</v>
      </c>
      <c r="N6" s="41">
        <f>L6*M6*75%</f>
        <v>1070.5384999999999</v>
      </c>
      <c r="O6" s="21">
        <f>M6*25%*L6</f>
        <v>356.84616666666665</v>
      </c>
      <c r="P6" s="21">
        <f>N6+O6</f>
        <v>1427.3846666666666</v>
      </c>
      <c r="Q6" s="21">
        <f>O6</f>
        <v>356.84616666666665</v>
      </c>
    </row>
    <row r="7" spans="1:17" ht="12" customHeight="1" x14ac:dyDescent="0.2">
      <c r="A7" s="14">
        <v>1378</v>
      </c>
      <c r="B7" s="50" t="s">
        <v>50</v>
      </c>
      <c r="C7" s="11"/>
      <c r="D7" s="9"/>
      <c r="E7" s="9"/>
      <c r="F7" s="9"/>
      <c r="G7" s="10"/>
      <c r="H7" s="9"/>
      <c r="I7" s="9"/>
      <c r="J7" s="8"/>
      <c r="K7" s="7"/>
      <c r="L7" s="7"/>
      <c r="M7" s="7"/>
      <c r="N7" s="12">
        <f>SUM(N5:N6)</f>
        <v>2072.0099999999998</v>
      </c>
      <c r="O7" s="7"/>
      <c r="P7" s="7"/>
      <c r="Q7" s="7"/>
    </row>
    <row r="8" spans="1:17" ht="12" customHeight="1" x14ac:dyDescent="0.2">
      <c r="A8" s="16">
        <v>1386</v>
      </c>
      <c r="B8" s="17" t="s">
        <v>82</v>
      </c>
      <c r="C8" s="18">
        <v>38112326782</v>
      </c>
      <c r="D8" s="19" t="s">
        <v>83</v>
      </c>
      <c r="E8" s="40" t="s">
        <v>84</v>
      </c>
      <c r="F8" s="43" t="s">
        <v>42</v>
      </c>
      <c r="G8" s="20">
        <v>45863</v>
      </c>
      <c r="H8" s="49" t="s">
        <v>85</v>
      </c>
      <c r="I8" s="61"/>
      <c r="J8" s="43">
        <v>2895.36</v>
      </c>
      <c r="K8" s="43">
        <v>92</v>
      </c>
      <c r="L8" s="21">
        <f>J8/K8</f>
        <v>31.471304347826088</v>
      </c>
      <c r="M8" s="48">
        <v>6</v>
      </c>
      <c r="N8" s="41">
        <f>L8*M8*75%</f>
        <v>141.62086956521739</v>
      </c>
      <c r="O8" s="21">
        <f>M8*25%*L8</f>
        <v>47.20695652173913</v>
      </c>
      <c r="P8" s="21">
        <f>N8+O8</f>
        <v>188.82782608695652</v>
      </c>
      <c r="Q8" s="21">
        <f>O8</f>
        <v>47.20695652173913</v>
      </c>
    </row>
    <row r="9" spans="1:17" ht="12" customHeight="1" x14ac:dyDescent="0.2">
      <c r="A9" s="14">
        <v>1386</v>
      </c>
      <c r="B9" s="50" t="s">
        <v>81</v>
      </c>
      <c r="C9" s="11"/>
      <c r="D9" s="9"/>
      <c r="E9" s="9"/>
      <c r="F9" s="9"/>
      <c r="G9" s="10"/>
      <c r="H9" s="9"/>
      <c r="I9" s="9"/>
      <c r="J9" s="8"/>
      <c r="K9" s="7"/>
      <c r="L9" s="7"/>
      <c r="M9" s="7"/>
      <c r="N9" s="12">
        <f>SUM(N8)</f>
        <v>141.62086956521739</v>
      </c>
      <c r="O9" s="7"/>
      <c r="P9" s="7"/>
      <c r="Q9" s="7"/>
    </row>
    <row r="10" spans="1:17" x14ac:dyDescent="0.2">
      <c r="A10" s="16">
        <v>2225</v>
      </c>
      <c r="B10" s="17" t="s">
        <v>71</v>
      </c>
      <c r="C10" s="18">
        <v>38118786376</v>
      </c>
      <c r="D10" s="19" t="s">
        <v>72</v>
      </c>
      <c r="E10" s="40" t="s">
        <v>37</v>
      </c>
      <c r="F10" s="43" t="s">
        <v>48</v>
      </c>
      <c r="G10" s="20">
        <v>45854</v>
      </c>
      <c r="H10" s="49" t="s">
        <v>73</v>
      </c>
      <c r="I10" s="61">
        <v>45868</v>
      </c>
      <c r="J10" s="43">
        <v>1642.34</v>
      </c>
      <c r="K10" s="43">
        <v>30</v>
      </c>
      <c r="L10" s="21">
        <f>J10/K10</f>
        <v>54.744666666666667</v>
      </c>
      <c r="M10" s="48">
        <v>14</v>
      </c>
      <c r="N10" s="41">
        <f>L10*M10*75%</f>
        <v>574.81899999999996</v>
      </c>
      <c r="O10" s="21">
        <f>M10*25%*L10</f>
        <v>191.60633333333334</v>
      </c>
      <c r="P10" s="21">
        <f>N10+O10</f>
        <v>766.42533333333336</v>
      </c>
      <c r="Q10" s="21">
        <f>O10</f>
        <v>191.60633333333334</v>
      </c>
    </row>
    <row r="11" spans="1:17" ht="12" customHeight="1" x14ac:dyDescent="0.2">
      <c r="A11" s="14">
        <v>2225</v>
      </c>
      <c r="B11" s="50" t="s">
        <v>46</v>
      </c>
      <c r="C11" s="11"/>
      <c r="D11" s="9"/>
      <c r="E11" s="9"/>
      <c r="F11" s="9"/>
      <c r="G11" s="10"/>
      <c r="H11" s="9"/>
      <c r="I11" s="9"/>
      <c r="J11" s="8"/>
      <c r="K11" s="7"/>
      <c r="L11" s="7"/>
      <c r="M11" s="7"/>
      <c r="N11" s="12">
        <f>SUM(N10)</f>
        <v>574.81899999999996</v>
      </c>
      <c r="O11" s="7"/>
      <c r="P11" s="7"/>
      <c r="Q11" s="7"/>
    </row>
    <row r="12" spans="1:17" x14ac:dyDescent="0.2">
      <c r="A12" s="16">
        <v>2433</v>
      </c>
      <c r="B12" s="17" t="s">
        <v>67</v>
      </c>
      <c r="C12" s="18">
        <v>38116665918</v>
      </c>
      <c r="D12" s="19" t="s">
        <v>68</v>
      </c>
      <c r="E12" s="40" t="s">
        <v>37</v>
      </c>
      <c r="F12" s="17" t="s">
        <v>42</v>
      </c>
      <c r="G12" s="20">
        <v>45838</v>
      </c>
      <c r="H12" s="49"/>
      <c r="I12" s="61">
        <v>45846</v>
      </c>
      <c r="J12" s="43">
        <v>2003</v>
      </c>
      <c r="K12" s="43">
        <v>30</v>
      </c>
      <c r="L12" s="21">
        <f>J12/K12</f>
        <v>66.766666666666666</v>
      </c>
      <c r="M12" s="48">
        <v>8</v>
      </c>
      <c r="N12" s="41">
        <f>L12*M12*75%</f>
        <v>400.6</v>
      </c>
      <c r="O12" s="21">
        <f>M12*25%*L12</f>
        <v>133.53333333333333</v>
      </c>
      <c r="P12" s="21">
        <f>N12+O12</f>
        <v>534.13333333333333</v>
      </c>
      <c r="Q12" s="21">
        <f>O12</f>
        <v>133.53333333333333</v>
      </c>
    </row>
    <row r="13" spans="1:17" ht="12" customHeight="1" x14ac:dyDescent="0.2">
      <c r="A13" s="14">
        <v>2433</v>
      </c>
      <c r="B13" s="50" t="s">
        <v>66</v>
      </c>
      <c r="C13" s="11"/>
      <c r="D13" s="9"/>
      <c r="E13" s="9"/>
      <c r="F13" s="9"/>
      <c r="G13" s="10"/>
      <c r="H13" s="9"/>
      <c r="I13" s="9"/>
      <c r="J13" s="8"/>
      <c r="K13" s="7"/>
      <c r="L13" s="7"/>
      <c r="M13" s="7"/>
      <c r="N13" s="12">
        <f>SUM(N12)</f>
        <v>400.6</v>
      </c>
      <c r="O13" s="7"/>
      <c r="P13" s="7"/>
      <c r="Q13" s="7"/>
    </row>
    <row r="14" spans="1:17" x14ac:dyDescent="0.2">
      <c r="A14" s="25"/>
      <c r="B14" s="26"/>
      <c r="C14" s="27"/>
      <c r="D14" s="28"/>
      <c r="E14" s="28"/>
      <c r="F14" s="28"/>
      <c r="G14" s="29"/>
      <c r="H14" s="28"/>
      <c r="I14" s="28"/>
      <c r="J14" s="30"/>
      <c r="K14" s="31"/>
      <c r="L14" s="31"/>
      <c r="M14" s="31"/>
      <c r="N14" s="30"/>
      <c r="O14" s="31"/>
      <c r="P14" s="31"/>
      <c r="Q14" s="31"/>
    </row>
    <row r="15" spans="1:17" x14ac:dyDescent="0.2">
      <c r="A15" s="32" t="s">
        <v>19</v>
      </c>
      <c r="C15" s="4"/>
      <c r="F15" s="15"/>
      <c r="J15" s="2"/>
      <c r="O15" s="2"/>
      <c r="P15" s="2"/>
      <c r="Q15" s="2"/>
    </row>
    <row r="16" spans="1:17" x14ac:dyDescent="0.2">
      <c r="A16" s="33" t="s">
        <v>17</v>
      </c>
      <c r="F16" s="42"/>
      <c r="J16" s="2"/>
      <c r="K16" s="2"/>
      <c r="L16" s="2"/>
      <c r="M16" s="2"/>
      <c r="N16" s="2"/>
      <c r="O16" s="2"/>
      <c r="P16" s="2"/>
      <c r="Q16" s="2"/>
    </row>
    <row r="17" spans="1:17" x14ac:dyDescent="0.2">
      <c r="A17" s="33" t="s">
        <v>18</v>
      </c>
      <c r="F17" s="42"/>
      <c r="J17" s="2"/>
      <c r="K17" s="2"/>
      <c r="L17" s="2"/>
      <c r="M17" s="2"/>
      <c r="N17" s="2"/>
      <c r="O17" s="2"/>
      <c r="P17" s="2"/>
      <c r="Q17" s="2"/>
    </row>
    <row r="18" spans="1:17" x14ac:dyDescent="0.2">
      <c r="A18" s="34" t="s">
        <v>24</v>
      </c>
      <c r="F18" s="42"/>
      <c r="J18" s="2"/>
      <c r="K18" s="2"/>
      <c r="L18" s="2"/>
      <c r="M18" s="2"/>
      <c r="N18" s="2"/>
      <c r="O18" s="2"/>
      <c r="P18" s="2"/>
      <c r="Q18" s="2"/>
    </row>
    <row r="19" spans="1:17" x14ac:dyDescent="0.2">
      <c r="A19" s="34"/>
      <c r="F19" s="42"/>
      <c r="J19" s="2"/>
      <c r="K19" s="2"/>
      <c r="L19" s="2"/>
      <c r="M19" s="2"/>
      <c r="N19" s="2"/>
      <c r="O19" s="2"/>
      <c r="P19" s="2"/>
      <c r="Q19" s="2"/>
    </row>
    <row r="20" spans="1:17" x14ac:dyDescent="0.2">
      <c r="A20" s="65" t="s">
        <v>20</v>
      </c>
      <c r="B20" s="65"/>
      <c r="F20" s="15"/>
    </row>
    <row r="21" spans="1:17" x14ac:dyDescent="0.2">
      <c r="A21" s="38" t="s">
        <v>21</v>
      </c>
      <c r="B21" s="39"/>
      <c r="F21" s="15"/>
    </row>
    <row r="22" spans="1:17" x14ac:dyDescent="0.2">
      <c r="A22" s="35" t="s">
        <v>22</v>
      </c>
      <c r="B22" s="22"/>
      <c r="C22" s="1"/>
      <c r="D22" s="1"/>
      <c r="E22" s="1"/>
      <c r="F22" s="37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">
      <c r="A23" s="36" t="s">
        <v>23</v>
      </c>
      <c r="B23" s="13"/>
      <c r="F23" s="15"/>
    </row>
  </sheetData>
  <mergeCells count="1">
    <mergeCell ref="A20:B20"/>
  </mergeCells>
  <pageMargins left="0.31496062992125984" right="0.31496062992125984" top="0.31496062992125984" bottom="0.31496062992125984" header="0.31496062992125984" footer="0.31496062992125984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22"/>
  <sheetViews>
    <sheetView zoomScale="115" zoomScaleNormal="115" workbookViewId="0">
      <selection activeCell="G16" sqref="G16"/>
    </sheetView>
  </sheetViews>
  <sheetFormatPr baseColWidth="10" defaultRowHeight="12.75" x14ac:dyDescent="0.2"/>
  <cols>
    <col min="1" max="1" width="4.140625" customWidth="1"/>
    <col min="2" max="2" width="22" customWidth="1"/>
    <col min="3" max="3" width="11.140625" bestFit="1" customWidth="1"/>
    <col min="4" max="4" width="8.42578125" customWidth="1"/>
    <col min="5" max="5" width="3.140625" bestFit="1" customWidth="1"/>
    <col min="6" max="6" width="5" customWidth="1"/>
    <col min="7" max="7" width="8.5703125" customWidth="1"/>
    <col min="8" max="8" width="8" customWidth="1"/>
    <col min="9" max="9" width="8.85546875" customWidth="1"/>
    <col min="10" max="10" width="7.140625" customWidth="1"/>
    <col min="11" max="11" width="2.85546875" customWidth="1"/>
    <col min="12" max="12" width="4.5703125" customWidth="1"/>
    <col min="13" max="13" width="2.42578125" customWidth="1"/>
    <col min="14" max="14" width="6.85546875" bestFit="1" customWidth="1"/>
    <col min="15" max="15" width="5.85546875" bestFit="1" customWidth="1"/>
    <col min="16" max="16" width="6.5703125" bestFit="1" customWidth="1"/>
    <col min="17" max="17" width="5.85546875" bestFit="1" customWidth="1"/>
  </cols>
  <sheetData>
    <row r="1" spans="1:23" ht="19.5" x14ac:dyDescent="0.3">
      <c r="A1" s="15"/>
      <c r="B1" s="44">
        <v>45870</v>
      </c>
      <c r="C1" s="5">
        <v>45901</v>
      </c>
      <c r="D1" s="2"/>
      <c r="F1" s="45" t="s">
        <v>25</v>
      </c>
      <c r="G1" s="45" t="s">
        <v>26</v>
      </c>
      <c r="H1" s="46"/>
      <c r="I1" s="46"/>
      <c r="J1" s="46"/>
      <c r="K1" s="46"/>
      <c r="L1" s="46"/>
      <c r="M1" s="47"/>
      <c r="N1" s="47"/>
      <c r="O1" s="47"/>
      <c r="P1" s="47"/>
      <c r="Q1" s="47"/>
    </row>
    <row r="2" spans="1:23" x14ac:dyDescent="0.2">
      <c r="A2" s="37"/>
      <c r="D2" s="5"/>
      <c r="F2" s="42"/>
      <c r="J2" s="6"/>
      <c r="K2" s="2"/>
      <c r="L2" s="2"/>
      <c r="M2" s="2"/>
      <c r="N2" s="2"/>
      <c r="O2" s="2"/>
      <c r="P2" s="2"/>
      <c r="Q2" s="2"/>
    </row>
    <row r="3" spans="1:23" x14ac:dyDescent="0.2">
      <c r="A3" s="29"/>
      <c r="B3" s="3" t="s">
        <v>12</v>
      </c>
      <c r="C3" s="1"/>
      <c r="D3" s="2"/>
      <c r="F3" s="42"/>
      <c r="J3" s="6"/>
      <c r="K3" s="2"/>
      <c r="L3" s="2"/>
      <c r="M3" s="2"/>
      <c r="N3" s="2"/>
      <c r="O3" s="2"/>
      <c r="P3" s="2"/>
      <c r="Q3" s="2"/>
    </row>
    <row r="4" spans="1:23" ht="75" x14ac:dyDescent="0.2">
      <c r="A4" s="23" t="s">
        <v>13</v>
      </c>
      <c r="B4" s="23" t="s">
        <v>0</v>
      </c>
      <c r="C4" s="23" t="s">
        <v>27</v>
      </c>
      <c r="D4" s="24" t="s">
        <v>15</v>
      </c>
      <c r="E4" s="24" t="s">
        <v>14</v>
      </c>
      <c r="F4" s="24" t="s">
        <v>1</v>
      </c>
      <c r="G4" s="24" t="s">
        <v>2</v>
      </c>
      <c r="H4" s="24" t="s">
        <v>16</v>
      </c>
      <c r="I4" s="24" t="s">
        <v>3</v>
      </c>
      <c r="J4" s="24" t="s">
        <v>4</v>
      </c>
      <c r="K4" s="24" t="s">
        <v>5</v>
      </c>
      <c r="L4" s="24" t="s">
        <v>7</v>
      </c>
      <c r="M4" s="24" t="s">
        <v>6</v>
      </c>
      <c r="N4" s="24" t="s">
        <v>8</v>
      </c>
      <c r="O4" s="24" t="s">
        <v>9</v>
      </c>
      <c r="P4" s="24" t="s">
        <v>10</v>
      </c>
      <c r="Q4" s="24" t="s">
        <v>11</v>
      </c>
    </row>
    <row r="5" spans="1:23" ht="12" customHeight="1" x14ac:dyDescent="0.2">
      <c r="A5" s="16">
        <v>28</v>
      </c>
      <c r="B5" s="17" t="s">
        <v>79</v>
      </c>
      <c r="C5" s="18">
        <v>381006572812</v>
      </c>
      <c r="D5" s="19" t="s">
        <v>80</v>
      </c>
      <c r="E5" s="40" t="s">
        <v>37</v>
      </c>
      <c r="F5" s="43" t="s">
        <v>42</v>
      </c>
      <c r="G5" s="20">
        <v>45888</v>
      </c>
      <c r="H5" s="49" t="s">
        <v>88</v>
      </c>
      <c r="I5" s="62" t="s">
        <v>89</v>
      </c>
      <c r="J5" s="43">
        <v>1477.48</v>
      </c>
      <c r="K5" s="43">
        <v>30</v>
      </c>
      <c r="L5" s="21">
        <f>J5/K5</f>
        <v>49.249333333333333</v>
      </c>
      <c r="M5" s="48">
        <v>12</v>
      </c>
      <c r="N5" s="41">
        <f>L5*M5*75%</f>
        <v>443.24399999999997</v>
      </c>
      <c r="O5" s="21">
        <f>M5*25%*L5</f>
        <v>147.74799999999999</v>
      </c>
      <c r="P5" s="21">
        <f>N5+O5</f>
        <v>590.99199999999996</v>
      </c>
      <c r="Q5" s="21">
        <f>O5</f>
        <v>147.74799999999999</v>
      </c>
    </row>
    <row r="6" spans="1:23" s="60" customFormat="1" ht="12.75" customHeight="1" x14ac:dyDescent="0.25">
      <c r="A6" s="51" t="s">
        <v>86</v>
      </c>
      <c r="B6" s="52"/>
      <c r="C6" s="53"/>
      <c r="D6" s="54"/>
      <c r="E6" s="55"/>
      <c r="F6" s="56"/>
      <c r="G6" s="56"/>
      <c r="H6" s="57"/>
      <c r="I6" s="58"/>
      <c r="J6" s="59"/>
      <c r="K6" s="58"/>
      <c r="L6" s="58"/>
      <c r="M6" s="58"/>
      <c r="N6" s="58"/>
      <c r="O6" s="58"/>
      <c r="P6" s="57"/>
      <c r="Q6" s="57"/>
      <c r="R6"/>
      <c r="S6"/>
      <c r="T6"/>
      <c r="U6"/>
      <c r="V6"/>
      <c r="W6"/>
    </row>
    <row r="7" spans="1:23" ht="11.25" customHeight="1" x14ac:dyDescent="0.2">
      <c r="A7" s="14">
        <v>28</v>
      </c>
      <c r="B7" s="50" t="s">
        <v>78</v>
      </c>
      <c r="C7" s="11"/>
      <c r="D7" s="9"/>
      <c r="E7" s="9"/>
      <c r="F7" s="9"/>
      <c r="G7" s="10"/>
      <c r="H7" s="9"/>
      <c r="I7" s="9"/>
      <c r="J7" s="8"/>
      <c r="K7" s="7"/>
      <c r="L7" s="7"/>
      <c r="M7" s="7"/>
      <c r="N7" s="12">
        <f>SUM(N5:N6)</f>
        <v>443.24399999999997</v>
      </c>
      <c r="O7" s="7"/>
      <c r="P7" s="7"/>
      <c r="Q7" s="7"/>
    </row>
    <row r="8" spans="1:23" ht="12" customHeight="1" x14ac:dyDescent="0.2">
      <c r="A8" s="16">
        <v>1378</v>
      </c>
      <c r="B8" s="17" t="s">
        <v>51</v>
      </c>
      <c r="C8" s="18">
        <v>38102537361</v>
      </c>
      <c r="D8" s="19" t="s">
        <v>52</v>
      </c>
      <c r="E8" s="40" t="s">
        <v>37</v>
      </c>
      <c r="F8" s="43" t="s">
        <v>48</v>
      </c>
      <c r="G8" s="20">
        <v>45800</v>
      </c>
      <c r="H8" s="49" t="s">
        <v>76</v>
      </c>
      <c r="I8" s="61" t="s">
        <v>77</v>
      </c>
      <c r="J8" s="43">
        <v>1381.34</v>
      </c>
      <c r="K8" s="43">
        <v>30</v>
      </c>
      <c r="L8" s="21">
        <f>J8/K8</f>
        <v>46.044666666666664</v>
      </c>
      <c r="M8" s="48">
        <v>20</v>
      </c>
      <c r="N8" s="41">
        <f>L8*M8*75%</f>
        <v>690.67</v>
      </c>
      <c r="O8" s="21">
        <f>M8*25%*L8</f>
        <v>230.22333333333333</v>
      </c>
      <c r="P8" s="21">
        <f>N8+O8</f>
        <v>920.89333333333332</v>
      </c>
      <c r="Q8" s="21">
        <f>O8</f>
        <v>230.22333333333333</v>
      </c>
    </row>
    <row r="9" spans="1:23" s="60" customFormat="1" ht="12.75" customHeight="1" x14ac:dyDescent="0.25">
      <c r="A9" s="51" t="s">
        <v>75</v>
      </c>
      <c r="B9" s="52"/>
      <c r="C9" s="53"/>
      <c r="D9" s="54"/>
      <c r="E9" s="55"/>
      <c r="F9" s="56"/>
      <c r="G9" s="56"/>
      <c r="H9" s="57"/>
      <c r="I9" s="63"/>
      <c r="J9" s="58" t="s">
        <v>87</v>
      </c>
      <c r="K9" s="58"/>
      <c r="L9" s="58"/>
      <c r="M9" s="58"/>
      <c r="N9" s="58"/>
      <c r="O9" s="58"/>
      <c r="P9" s="57"/>
      <c r="Q9" s="57"/>
      <c r="R9"/>
      <c r="S9"/>
      <c r="T9"/>
      <c r="U9"/>
      <c r="V9"/>
      <c r="W9"/>
    </row>
    <row r="10" spans="1:23" ht="11.25" customHeight="1" x14ac:dyDescent="0.2">
      <c r="A10" s="14">
        <v>1378</v>
      </c>
      <c r="B10" s="50" t="s">
        <v>50</v>
      </c>
      <c r="C10" s="11"/>
      <c r="D10" s="9"/>
      <c r="E10" s="9"/>
      <c r="F10" s="9"/>
      <c r="G10" s="10"/>
      <c r="H10" s="9"/>
      <c r="I10" s="9"/>
      <c r="J10" s="8"/>
      <c r="K10" s="7"/>
      <c r="L10" s="7"/>
      <c r="M10" s="7"/>
      <c r="N10" s="12">
        <f>SUM(N8:N8)</f>
        <v>690.67</v>
      </c>
      <c r="O10" s="7"/>
      <c r="P10" s="7"/>
      <c r="Q10" s="7"/>
    </row>
    <row r="11" spans="1:23" ht="11.25" customHeight="1" x14ac:dyDescent="0.2">
      <c r="A11" s="16">
        <v>1386</v>
      </c>
      <c r="B11" s="17" t="s">
        <v>82</v>
      </c>
      <c r="C11" s="18">
        <v>38112326782</v>
      </c>
      <c r="D11" s="19" t="s">
        <v>83</v>
      </c>
      <c r="E11" s="40" t="s">
        <v>84</v>
      </c>
      <c r="F11" s="43" t="s">
        <v>42</v>
      </c>
      <c r="G11" s="20">
        <v>45863</v>
      </c>
      <c r="H11" s="49" t="s">
        <v>85</v>
      </c>
      <c r="I11" s="61"/>
      <c r="J11" s="43">
        <v>2895.36</v>
      </c>
      <c r="K11" s="43">
        <v>92</v>
      </c>
      <c r="L11" s="21">
        <f>J11/K11</f>
        <v>31.471304347826088</v>
      </c>
      <c r="M11" s="48">
        <v>31</v>
      </c>
      <c r="N11" s="41">
        <f>L11*M11*75%</f>
        <v>731.70782608695663</v>
      </c>
      <c r="O11" s="21">
        <f>M11*25%*L11</f>
        <v>243.90260869565219</v>
      </c>
      <c r="P11" s="21">
        <f>N11+O11</f>
        <v>975.61043478260876</v>
      </c>
      <c r="Q11" s="21">
        <f>O11</f>
        <v>243.90260869565219</v>
      </c>
    </row>
    <row r="12" spans="1:23" ht="11.25" customHeight="1" x14ac:dyDescent="0.2">
      <c r="A12" s="14">
        <v>1386</v>
      </c>
      <c r="B12" s="50" t="s">
        <v>81</v>
      </c>
      <c r="C12" s="11"/>
      <c r="D12" s="9"/>
      <c r="E12" s="9"/>
      <c r="F12" s="9"/>
      <c r="G12" s="10"/>
      <c r="H12" s="9"/>
      <c r="I12" s="9"/>
      <c r="J12" s="8"/>
      <c r="K12" s="7"/>
      <c r="L12" s="7"/>
      <c r="M12" s="7"/>
      <c r="N12" s="12">
        <f>SUM(N11)</f>
        <v>731.70782608695663</v>
      </c>
      <c r="O12" s="7"/>
      <c r="P12" s="7"/>
      <c r="Q12" s="7"/>
    </row>
    <row r="13" spans="1:23" x14ac:dyDescent="0.2">
      <c r="A13" s="25"/>
      <c r="B13" s="26"/>
      <c r="C13" s="27"/>
      <c r="D13" s="28"/>
      <c r="E13" s="28"/>
      <c r="F13" s="28"/>
      <c r="G13" s="29"/>
      <c r="H13" s="28"/>
      <c r="I13" s="28"/>
      <c r="J13" s="30"/>
      <c r="K13" s="31"/>
      <c r="L13" s="31"/>
      <c r="M13" s="31"/>
      <c r="N13" s="30"/>
      <c r="O13" s="31"/>
      <c r="P13" s="31"/>
      <c r="Q13" s="31"/>
    </row>
    <row r="14" spans="1:23" x14ac:dyDescent="0.2">
      <c r="A14" s="32" t="s">
        <v>19</v>
      </c>
      <c r="C14" s="4"/>
      <c r="F14" s="15"/>
      <c r="J14" s="2"/>
      <c r="O14" s="2"/>
      <c r="P14" s="2"/>
      <c r="Q14" s="2"/>
    </row>
    <row r="15" spans="1:23" x14ac:dyDescent="0.2">
      <c r="A15" s="33" t="s">
        <v>17</v>
      </c>
      <c r="F15" s="42"/>
      <c r="J15" s="2"/>
      <c r="K15" s="2"/>
      <c r="L15" s="2"/>
      <c r="M15" s="2"/>
      <c r="N15" s="2"/>
      <c r="O15" s="2"/>
      <c r="P15" s="2"/>
      <c r="Q15" s="2"/>
    </row>
    <row r="16" spans="1:23" x14ac:dyDescent="0.2">
      <c r="A16" s="33" t="s">
        <v>18</v>
      </c>
      <c r="F16" s="42"/>
      <c r="J16" s="2"/>
      <c r="K16" s="2"/>
      <c r="L16" s="2"/>
      <c r="M16" s="2"/>
      <c r="N16" s="2"/>
      <c r="O16" s="2"/>
      <c r="P16" s="2"/>
      <c r="Q16" s="2"/>
    </row>
    <row r="17" spans="1:17" x14ac:dyDescent="0.2">
      <c r="A17" s="34" t="s">
        <v>24</v>
      </c>
      <c r="F17" s="42"/>
      <c r="J17" s="2"/>
      <c r="K17" s="2"/>
      <c r="L17" s="2"/>
      <c r="M17" s="2"/>
      <c r="N17" s="2"/>
      <c r="O17" s="2"/>
      <c r="P17" s="2"/>
      <c r="Q17" s="2"/>
    </row>
    <row r="18" spans="1:17" x14ac:dyDescent="0.2">
      <c r="A18" s="34"/>
      <c r="F18" s="42"/>
      <c r="J18" s="2"/>
      <c r="K18" s="2"/>
      <c r="L18" s="2"/>
      <c r="M18" s="2"/>
      <c r="N18" s="2"/>
      <c r="O18" s="2"/>
      <c r="P18" s="2"/>
      <c r="Q18" s="2"/>
    </row>
    <row r="19" spans="1:17" x14ac:dyDescent="0.2">
      <c r="A19" s="65" t="s">
        <v>20</v>
      </c>
      <c r="B19" s="65"/>
      <c r="F19" s="15"/>
    </row>
    <row r="20" spans="1:17" x14ac:dyDescent="0.2">
      <c r="A20" s="38" t="s">
        <v>21</v>
      </c>
      <c r="B20" s="39"/>
      <c r="F20" s="15"/>
    </row>
    <row r="21" spans="1:17" x14ac:dyDescent="0.2">
      <c r="A21" s="35" t="s">
        <v>22</v>
      </c>
      <c r="B21" s="22"/>
      <c r="C21" s="1"/>
      <c r="D21" s="1"/>
      <c r="E21" s="1"/>
      <c r="F21" s="37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">
      <c r="A22" s="36" t="s">
        <v>23</v>
      </c>
      <c r="B22" s="13"/>
      <c r="F22" s="15"/>
    </row>
  </sheetData>
  <mergeCells count="1">
    <mergeCell ref="A19:B19"/>
  </mergeCells>
  <pageMargins left="0.31496062992125984" right="0.31496062992125984" top="0.31496062992125984" bottom="0.31496062992125984" header="0.31496062992125984" footer="0.31496062992125984"/>
  <pageSetup paperSize="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19"/>
  <sheetViews>
    <sheetView zoomScale="115" zoomScaleNormal="115" workbookViewId="0">
      <selection activeCell="C1" sqref="C1"/>
    </sheetView>
  </sheetViews>
  <sheetFormatPr baseColWidth="10" defaultRowHeight="12.75" x14ac:dyDescent="0.2"/>
  <cols>
    <col min="1" max="1" width="4.140625" customWidth="1"/>
    <col min="2" max="2" width="22" customWidth="1"/>
    <col min="3" max="3" width="11.140625" bestFit="1" customWidth="1"/>
    <col min="4" max="4" width="8.42578125" customWidth="1"/>
    <col min="5" max="5" width="3.140625" bestFit="1" customWidth="1"/>
    <col min="6" max="6" width="5" customWidth="1"/>
    <col min="7" max="7" width="8.5703125" customWidth="1"/>
    <col min="8" max="8" width="8" customWidth="1"/>
    <col min="9" max="9" width="8.85546875" customWidth="1"/>
    <col min="10" max="10" width="7.140625" customWidth="1"/>
    <col min="11" max="11" width="2.85546875" customWidth="1"/>
    <col min="12" max="12" width="4.5703125" customWidth="1"/>
    <col min="13" max="13" width="3.5703125" customWidth="1"/>
    <col min="14" max="14" width="6.85546875" bestFit="1" customWidth="1"/>
    <col min="15" max="15" width="5.85546875" bestFit="1" customWidth="1"/>
    <col min="16" max="16" width="6.5703125" bestFit="1" customWidth="1"/>
    <col min="17" max="17" width="5.85546875" bestFit="1" customWidth="1"/>
  </cols>
  <sheetData>
    <row r="1" spans="1:23" ht="19.5" x14ac:dyDescent="0.3">
      <c r="A1" s="15"/>
      <c r="B1" s="44">
        <v>45901</v>
      </c>
      <c r="C1" s="5">
        <v>45932</v>
      </c>
      <c r="D1" s="2"/>
      <c r="F1" s="45" t="s">
        <v>25</v>
      </c>
      <c r="G1" s="45" t="s">
        <v>26</v>
      </c>
      <c r="H1" s="46"/>
      <c r="I1" s="46"/>
      <c r="J1" s="46"/>
      <c r="K1" s="46"/>
      <c r="L1" s="46"/>
      <c r="M1" s="47"/>
      <c r="N1" s="47"/>
      <c r="O1" s="47"/>
      <c r="P1" s="47"/>
      <c r="Q1" s="47"/>
    </row>
    <row r="2" spans="1:23" x14ac:dyDescent="0.2">
      <c r="A2" s="37"/>
      <c r="D2" s="5"/>
      <c r="F2" s="42"/>
      <c r="J2" s="6"/>
      <c r="K2" s="2"/>
      <c r="L2" s="2"/>
      <c r="M2" s="2"/>
      <c r="N2" s="2"/>
      <c r="O2" s="2"/>
      <c r="P2" s="2"/>
      <c r="Q2" s="2"/>
    </row>
    <row r="3" spans="1:23" x14ac:dyDescent="0.2">
      <c r="A3" s="29"/>
      <c r="B3" s="3" t="s">
        <v>12</v>
      </c>
      <c r="C3" s="1"/>
      <c r="D3" s="2"/>
      <c r="F3" s="42"/>
      <c r="J3" s="6"/>
      <c r="K3" s="2"/>
      <c r="L3" s="2"/>
      <c r="M3" s="2"/>
      <c r="N3" s="2"/>
      <c r="O3" s="2"/>
      <c r="P3" s="2"/>
      <c r="Q3" s="2"/>
    </row>
    <row r="4" spans="1:23" ht="75" x14ac:dyDescent="0.2">
      <c r="A4" s="23" t="s">
        <v>13</v>
      </c>
      <c r="B4" s="23" t="s">
        <v>0</v>
      </c>
      <c r="C4" s="23" t="s">
        <v>27</v>
      </c>
      <c r="D4" s="24" t="s">
        <v>15</v>
      </c>
      <c r="E4" s="24" t="s">
        <v>14</v>
      </c>
      <c r="F4" s="24" t="s">
        <v>1</v>
      </c>
      <c r="G4" s="24" t="s">
        <v>2</v>
      </c>
      <c r="H4" s="24" t="s">
        <v>16</v>
      </c>
      <c r="I4" s="24" t="s">
        <v>3</v>
      </c>
      <c r="J4" s="24" t="s">
        <v>4</v>
      </c>
      <c r="K4" s="24" t="s">
        <v>5</v>
      </c>
      <c r="L4" s="24" t="s">
        <v>7</v>
      </c>
      <c r="M4" s="24" t="s">
        <v>6</v>
      </c>
      <c r="N4" s="24" t="s">
        <v>8</v>
      </c>
      <c r="O4" s="24" t="s">
        <v>9</v>
      </c>
      <c r="P4" s="24" t="s">
        <v>10</v>
      </c>
      <c r="Q4" s="24" t="s">
        <v>11</v>
      </c>
    </row>
    <row r="5" spans="1:23" ht="12" customHeight="1" x14ac:dyDescent="0.2">
      <c r="A5" s="16">
        <v>28</v>
      </c>
      <c r="B5" s="17" t="s">
        <v>79</v>
      </c>
      <c r="C5" s="18">
        <v>381006572812</v>
      </c>
      <c r="D5" s="19" t="s">
        <v>80</v>
      </c>
      <c r="E5" s="40" t="s">
        <v>37</v>
      </c>
      <c r="F5" s="43" t="s">
        <v>42</v>
      </c>
      <c r="G5" s="20">
        <v>45888</v>
      </c>
      <c r="H5" s="49" t="s">
        <v>91</v>
      </c>
      <c r="I5" s="62" t="s">
        <v>90</v>
      </c>
      <c r="J5" s="43">
        <v>1477.48</v>
      </c>
      <c r="K5" s="43">
        <v>30</v>
      </c>
      <c r="L5" s="21">
        <f>J5/K5</f>
        <v>49.249333333333333</v>
      </c>
      <c r="M5" s="48">
        <v>30</v>
      </c>
      <c r="N5" s="41">
        <f>L5*M5*75%</f>
        <v>1108.1100000000001</v>
      </c>
      <c r="O5" s="21">
        <f>M5*25%*L5</f>
        <v>369.37</v>
      </c>
      <c r="P5" s="21">
        <f>N5+O5</f>
        <v>1477.48</v>
      </c>
      <c r="Q5" s="21">
        <f>O5</f>
        <v>369.37</v>
      </c>
    </row>
    <row r="6" spans="1:23" s="60" customFormat="1" ht="12.75" customHeight="1" x14ac:dyDescent="0.25">
      <c r="A6" s="51" t="s">
        <v>86</v>
      </c>
      <c r="B6" s="52"/>
      <c r="C6" s="53"/>
      <c r="D6" s="54"/>
      <c r="E6" s="55"/>
      <c r="F6" s="56"/>
      <c r="G6" s="56"/>
      <c r="H6" s="57"/>
      <c r="I6" s="58"/>
      <c r="J6" s="59"/>
      <c r="K6" s="58"/>
      <c r="L6" s="58"/>
      <c r="M6" s="58"/>
      <c r="N6" s="58"/>
      <c r="O6" s="58"/>
      <c r="P6" s="57"/>
      <c r="Q6" s="57"/>
      <c r="R6"/>
      <c r="S6"/>
      <c r="T6"/>
      <c r="U6"/>
      <c r="V6"/>
      <c r="W6"/>
    </row>
    <row r="7" spans="1:23" ht="11.25" customHeight="1" x14ac:dyDescent="0.2">
      <c r="A7" s="14">
        <v>28</v>
      </c>
      <c r="B7" s="50" t="s">
        <v>78</v>
      </c>
      <c r="C7" s="11"/>
      <c r="D7" s="9"/>
      <c r="E7" s="9"/>
      <c r="F7" s="9"/>
      <c r="G7" s="10"/>
      <c r="H7" s="9"/>
      <c r="I7" s="9"/>
      <c r="J7" s="8"/>
      <c r="K7" s="7"/>
      <c r="L7" s="7"/>
      <c r="M7" s="7"/>
      <c r="N7" s="12">
        <f>SUM(N5:N6)</f>
        <v>1108.1100000000001</v>
      </c>
      <c r="O7" s="7"/>
      <c r="P7" s="7"/>
      <c r="Q7" s="7"/>
    </row>
    <row r="8" spans="1:23" ht="11.25" customHeight="1" x14ac:dyDescent="0.2">
      <c r="A8" s="16">
        <v>1386</v>
      </c>
      <c r="B8" s="17" t="s">
        <v>82</v>
      </c>
      <c r="C8" s="18">
        <v>38112326782</v>
      </c>
      <c r="D8" s="19" t="s">
        <v>83</v>
      </c>
      <c r="E8" s="40" t="s">
        <v>84</v>
      </c>
      <c r="F8" s="43" t="s">
        <v>42</v>
      </c>
      <c r="G8" s="20">
        <v>45863</v>
      </c>
      <c r="H8" s="49" t="s">
        <v>85</v>
      </c>
      <c r="I8" s="61">
        <v>45905</v>
      </c>
      <c r="J8" s="43">
        <v>2895.36</v>
      </c>
      <c r="K8" s="43">
        <v>92</v>
      </c>
      <c r="L8" s="21">
        <f>J8/K8</f>
        <v>31.471304347826088</v>
      </c>
      <c r="M8" s="48">
        <v>5</v>
      </c>
      <c r="N8" s="41">
        <f>L8*M8*75%</f>
        <v>118.01739130434783</v>
      </c>
      <c r="O8" s="21">
        <f>M8*25%*L8</f>
        <v>39.339130434782611</v>
      </c>
      <c r="P8" s="21">
        <f>N8+O8</f>
        <v>157.35652173913044</v>
      </c>
      <c r="Q8" s="21">
        <f>O8</f>
        <v>39.339130434782611</v>
      </c>
    </row>
    <row r="9" spans="1:23" ht="11.25" customHeight="1" x14ac:dyDescent="0.2">
      <c r="A9" s="14">
        <v>1386</v>
      </c>
      <c r="B9" s="50" t="s">
        <v>81</v>
      </c>
      <c r="C9" s="11"/>
      <c r="D9" s="9"/>
      <c r="E9" s="9"/>
      <c r="F9" s="9"/>
      <c r="G9" s="10"/>
      <c r="H9" s="9"/>
      <c r="I9" s="9"/>
      <c r="J9" s="8"/>
      <c r="K9" s="7"/>
      <c r="L9" s="7"/>
      <c r="M9" s="7"/>
      <c r="N9" s="12">
        <f>SUM(N8)</f>
        <v>118.01739130434783</v>
      </c>
      <c r="O9" s="7"/>
      <c r="P9" s="7"/>
      <c r="Q9" s="7"/>
    </row>
    <row r="10" spans="1:23" x14ac:dyDescent="0.2">
      <c r="A10" s="25"/>
      <c r="B10" s="26"/>
      <c r="C10" s="27"/>
      <c r="D10" s="28"/>
      <c r="E10" s="28"/>
      <c r="F10" s="28"/>
      <c r="G10" s="29"/>
      <c r="H10" s="28"/>
      <c r="I10" s="28"/>
      <c r="J10" s="30"/>
      <c r="K10" s="31"/>
      <c r="L10" s="31"/>
      <c r="M10" s="31"/>
      <c r="N10" s="30"/>
      <c r="O10" s="31"/>
      <c r="P10" s="31"/>
      <c r="Q10" s="31"/>
    </row>
    <row r="11" spans="1:23" x14ac:dyDescent="0.2">
      <c r="A11" s="32" t="s">
        <v>19</v>
      </c>
      <c r="C11" s="4"/>
      <c r="F11" s="15"/>
      <c r="J11" s="2"/>
      <c r="O11" s="2"/>
      <c r="P11" s="2"/>
      <c r="Q11" s="2"/>
    </row>
    <row r="12" spans="1:23" x14ac:dyDescent="0.2">
      <c r="A12" s="33" t="s">
        <v>17</v>
      </c>
      <c r="F12" s="42"/>
      <c r="J12" s="2"/>
      <c r="K12" s="2"/>
      <c r="L12" s="2"/>
      <c r="M12" s="2"/>
      <c r="N12" s="2"/>
      <c r="O12" s="2"/>
      <c r="P12" s="2"/>
      <c r="Q12" s="2"/>
    </row>
    <row r="13" spans="1:23" x14ac:dyDescent="0.2">
      <c r="A13" s="33" t="s">
        <v>18</v>
      </c>
      <c r="F13" s="42"/>
      <c r="J13" s="2"/>
      <c r="K13" s="2"/>
      <c r="L13" s="2"/>
      <c r="M13" s="2"/>
      <c r="N13" s="2"/>
      <c r="O13" s="2"/>
      <c r="P13" s="2"/>
      <c r="Q13" s="2"/>
    </row>
    <row r="14" spans="1:23" x14ac:dyDescent="0.2">
      <c r="A14" s="34" t="s">
        <v>24</v>
      </c>
      <c r="F14" s="42"/>
      <c r="J14" s="2"/>
      <c r="K14" s="2"/>
      <c r="L14" s="2"/>
      <c r="M14" s="2"/>
      <c r="N14" s="2"/>
      <c r="O14" s="2"/>
      <c r="P14" s="2"/>
      <c r="Q14" s="2"/>
    </row>
    <row r="15" spans="1:23" x14ac:dyDescent="0.2">
      <c r="A15" s="34"/>
      <c r="F15" s="42"/>
      <c r="J15" s="2"/>
      <c r="K15" s="2"/>
      <c r="L15" s="2"/>
      <c r="M15" s="2"/>
      <c r="N15" s="2"/>
      <c r="O15" s="2"/>
      <c r="P15" s="2"/>
      <c r="Q15" s="2"/>
    </row>
    <row r="16" spans="1:23" x14ac:dyDescent="0.2">
      <c r="A16" s="65" t="s">
        <v>20</v>
      </c>
      <c r="B16" s="65"/>
      <c r="F16" s="15"/>
    </row>
    <row r="17" spans="1:17" x14ac:dyDescent="0.2">
      <c r="A17" s="38" t="s">
        <v>21</v>
      </c>
      <c r="B17" s="39"/>
      <c r="F17" s="15"/>
    </row>
    <row r="18" spans="1:17" x14ac:dyDescent="0.2">
      <c r="A18" s="35" t="s">
        <v>22</v>
      </c>
      <c r="B18" s="22"/>
      <c r="C18" s="1"/>
      <c r="D18" s="1"/>
      <c r="E18" s="1"/>
      <c r="F18" s="37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">
      <c r="A19" s="36" t="s">
        <v>23</v>
      </c>
      <c r="B19" s="13"/>
      <c r="F19" s="15"/>
    </row>
  </sheetData>
  <mergeCells count="1">
    <mergeCell ref="A16:B16"/>
  </mergeCells>
  <pageMargins left="0.31496062992125984" right="0.31496062992125984" top="0.31496062992125984" bottom="0.31496062992125984" header="0.31496062992125984" footer="0.31496062992125984"/>
  <pageSetup paperSize="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21"/>
  <sheetViews>
    <sheetView tabSelected="1" zoomScale="115" zoomScaleNormal="115" workbookViewId="0">
      <selection activeCell="I8" sqref="I8"/>
    </sheetView>
  </sheetViews>
  <sheetFormatPr baseColWidth="10" defaultRowHeight="12.75" x14ac:dyDescent="0.2"/>
  <cols>
    <col min="1" max="1" width="4.140625" customWidth="1"/>
    <col min="2" max="2" width="22" customWidth="1"/>
    <col min="3" max="3" width="11.140625" bestFit="1" customWidth="1"/>
    <col min="4" max="4" width="8.42578125" customWidth="1"/>
    <col min="5" max="5" width="3.140625" bestFit="1" customWidth="1"/>
    <col min="6" max="6" width="5" customWidth="1"/>
    <col min="7" max="7" width="8.5703125" customWidth="1"/>
    <col min="8" max="8" width="8" customWidth="1"/>
    <col min="9" max="9" width="10.140625" customWidth="1"/>
    <col min="10" max="10" width="7.140625" customWidth="1"/>
    <col min="11" max="11" width="2.85546875" customWidth="1"/>
    <col min="12" max="12" width="4.5703125" customWidth="1"/>
    <col min="13" max="13" width="3.5703125" customWidth="1"/>
    <col min="14" max="14" width="6.85546875" bestFit="1" customWidth="1"/>
    <col min="15" max="15" width="5.85546875" bestFit="1" customWidth="1"/>
    <col min="16" max="16" width="6.5703125" bestFit="1" customWidth="1"/>
    <col min="17" max="17" width="5.85546875" bestFit="1" customWidth="1"/>
  </cols>
  <sheetData>
    <row r="1" spans="1:23" ht="19.5" x14ac:dyDescent="0.3">
      <c r="A1" s="15"/>
      <c r="B1" s="44">
        <v>45931</v>
      </c>
      <c r="C1" s="5">
        <v>45953</v>
      </c>
      <c r="D1" s="2"/>
      <c r="F1" s="45" t="s">
        <v>25</v>
      </c>
      <c r="G1" s="45" t="s">
        <v>26</v>
      </c>
      <c r="H1" s="46"/>
      <c r="I1" s="46"/>
      <c r="J1" s="46"/>
      <c r="K1" s="46"/>
      <c r="L1" s="46"/>
      <c r="M1" s="47"/>
      <c r="N1" s="47"/>
      <c r="O1" s="47"/>
      <c r="P1" s="47"/>
      <c r="Q1" s="47"/>
    </row>
    <row r="2" spans="1:23" x14ac:dyDescent="0.2">
      <c r="A2" s="37"/>
      <c r="D2" s="5"/>
      <c r="F2" s="42"/>
      <c r="J2" s="6"/>
      <c r="K2" s="2"/>
      <c r="L2" s="2"/>
      <c r="M2" s="2"/>
      <c r="N2" s="2"/>
      <c r="O2" s="2"/>
      <c r="P2" s="2"/>
      <c r="Q2" s="2"/>
    </row>
    <row r="3" spans="1:23" x14ac:dyDescent="0.2">
      <c r="A3" s="29"/>
      <c r="B3" s="3" t="s">
        <v>12</v>
      </c>
      <c r="C3" s="1"/>
      <c r="D3" s="2"/>
      <c r="F3" s="42"/>
      <c r="J3" s="6"/>
      <c r="K3" s="2"/>
      <c r="L3" s="2"/>
      <c r="M3" s="2"/>
      <c r="N3" s="2"/>
      <c r="O3" s="2"/>
      <c r="P3" s="2"/>
      <c r="Q3" s="2"/>
    </row>
    <row r="4" spans="1:23" ht="75" x14ac:dyDescent="0.2">
      <c r="A4" s="23" t="s">
        <v>13</v>
      </c>
      <c r="B4" s="23" t="s">
        <v>0</v>
      </c>
      <c r="C4" s="23" t="s">
        <v>27</v>
      </c>
      <c r="D4" s="24" t="s">
        <v>15</v>
      </c>
      <c r="E4" s="24" t="s">
        <v>14</v>
      </c>
      <c r="F4" s="24" t="s">
        <v>1</v>
      </c>
      <c r="G4" s="24" t="s">
        <v>2</v>
      </c>
      <c r="H4" s="24" t="s">
        <v>16</v>
      </c>
      <c r="I4" s="24" t="s">
        <v>3</v>
      </c>
      <c r="J4" s="24" t="s">
        <v>4</v>
      </c>
      <c r="K4" s="24" t="s">
        <v>5</v>
      </c>
      <c r="L4" s="24" t="s">
        <v>7</v>
      </c>
      <c r="M4" s="24" t="s">
        <v>6</v>
      </c>
      <c r="N4" s="24" t="s">
        <v>8</v>
      </c>
      <c r="O4" s="24" t="s">
        <v>9</v>
      </c>
      <c r="P4" s="24" t="s">
        <v>10</v>
      </c>
      <c r="Q4" s="24" t="s">
        <v>11</v>
      </c>
    </row>
    <row r="5" spans="1:23" ht="12" customHeight="1" x14ac:dyDescent="0.2">
      <c r="A5" s="16">
        <v>28</v>
      </c>
      <c r="B5" s="17" t="s">
        <v>79</v>
      </c>
      <c r="C5" s="18">
        <v>381006572812</v>
      </c>
      <c r="D5" s="19" t="s">
        <v>80</v>
      </c>
      <c r="E5" s="40" t="s">
        <v>37</v>
      </c>
      <c r="F5" s="43" t="s">
        <v>42</v>
      </c>
      <c r="G5" s="20">
        <v>45888</v>
      </c>
      <c r="H5" s="49" t="s">
        <v>99</v>
      </c>
      <c r="I5" s="62" t="s">
        <v>98</v>
      </c>
      <c r="J5" s="43">
        <v>1477.48</v>
      </c>
      <c r="K5" s="43">
        <v>30</v>
      </c>
      <c r="L5" s="21">
        <f>J5/K5</f>
        <v>49.249333333333333</v>
      </c>
      <c r="M5" s="48">
        <v>31</v>
      </c>
      <c r="N5" s="41">
        <f>L5*M5*75%</f>
        <v>1145.047</v>
      </c>
      <c r="O5" s="21">
        <f>M5*25%*L5</f>
        <v>381.6823333333333</v>
      </c>
      <c r="P5" s="21">
        <f>N5+O5</f>
        <v>1526.7293333333332</v>
      </c>
      <c r="Q5" s="21">
        <f>O5</f>
        <v>381.6823333333333</v>
      </c>
    </row>
    <row r="6" spans="1:23" s="60" customFormat="1" ht="12.75" customHeight="1" x14ac:dyDescent="0.25">
      <c r="A6" s="51" t="s">
        <v>86</v>
      </c>
      <c r="B6" s="52"/>
      <c r="C6" s="53"/>
      <c r="D6" s="54"/>
      <c r="E6" s="55"/>
      <c r="F6" s="56"/>
      <c r="G6" s="56"/>
      <c r="H6" s="57"/>
      <c r="I6" s="58"/>
      <c r="J6" s="59"/>
      <c r="K6" s="58"/>
      <c r="L6" s="58"/>
      <c r="M6" s="58"/>
      <c r="N6" s="58"/>
      <c r="O6" s="58"/>
      <c r="P6" s="57"/>
      <c r="Q6" s="57"/>
      <c r="R6"/>
      <c r="S6"/>
      <c r="T6"/>
      <c r="U6"/>
      <c r="V6"/>
      <c r="W6"/>
    </row>
    <row r="7" spans="1:23" ht="11.25" customHeight="1" x14ac:dyDescent="0.2">
      <c r="A7" s="14">
        <v>28</v>
      </c>
      <c r="B7" s="50" t="s">
        <v>78</v>
      </c>
      <c r="C7" s="11"/>
      <c r="D7" s="9"/>
      <c r="E7" s="9"/>
      <c r="F7" s="9"/>
      <c r="G7" s="10"/>
      <c r="H7" s="9"/>
      <c r="I7" s="9"/>
      <c r="J7" s="8"/>
      <c r="K7" s="7"/>
      <c r="L7" s="7"/>
      <c r="M7" s="7"/>
      <c r="N7" s="12">
        <f>SUM(N5:N6)</f>
        <v>1145.047</v>
      </c>
      <c r="O7" s="7"/>
      <c r="P7" s="7"/>
      <c r="Q7" s="7"/>
    </row>
    <row r="8" spans="1:23" ht="12" customHeight="1" x14ac:dyDescent="0.2">
      <c r="A8" s="16">
        <v>1378</v>
      </c>
      <c r="B8" s="64" t="s">
        <v>95</v>
      </c>
      <c r="C8" s="40" t="s">
        <v>96</v>
      </c>
      <c r="D8" s="19" t="s">
        <v>97</v>
      </c>
      <c r="E8" s="40" t="s">
        <v>37</v>
      </c>
      <c r="F8" s="43" t="s">
        <v>48</v>
      </c>
      <c r="G8" s="20">
        <v>45949</v>
      </c>
      <c r="H8" s="49" t="s">
        <v>100</v>
      </c>
      <c r="I8" s="62" t="s">
        <v>101</v>
      </c>
      <c r="J8" s="43">
        <v>1381.34</v>
      </c>
      <c r="K8" s="43">
        <v>30</v>
      </c>
      <c r="L8" s="21">
        <f>J8/K8</f>
        <v>46.044666666666664</v>
      </c>
      <c r="M8" s="48">
        <v>12</v>
      </c>
      <c r="N8" s="41">
        <f>L8*M8*75%</f>
        <v>414.40199999999993</v>
      </c>
      <c r="O8" s="21">
        <f>M8*25%*L8</f>
        <v>138.13399999999999</v>
      </c>
      <c r="P8" s="21">
        <f>N8+O8</f>
        <v>552.53599999999994</v>
      </c>
      <c r="Q8" s="21">
        <f>O8</f>
        <v>138.13399999999999</v>
      </c>
    </row>
    <row r="9" spans="1:23" ht="11.25" customHeight="1" x14ac:dyDescent="0.2">
      <c r="A9" s="14">
        <v>1378</v>
      </c>
      <c r="B9" s="50" t="s">
        <v>50</v>
      </c>
      <c r="C9" s="11"/>
      <c r="D9" s="9"/>
      <c r="E9" s="9"/>
      <c r="F9" s="9"/>
      <c r="G9" s="10"/>
      <c r="H9" s="9"/>
      <c r="I9" s="9"/>
      <c r="J9" s="8"/>
      <c r="K9" s="7"/>
      <c r="L9" s="7"/>
      <c r="M9" s="7"/>
      <c r="N9" s="12">
        <f>SUM(N8)</f>
        <v>414.40199999999993</v>
      </c>
      <c r="O9" s="7"/>
      <c r="P9" s="7"/>
      <c r="Q9" s="7"/>
    </row>
    <row r="10" spans="1:23" ht="12" customHeight="1" x14ac:dyDescent="0.2">
      <c r="A10" s="16">
        <v>2350</v>
      </c>
      <c r="B10" s="17" t="s">
        <v>93</v>
      </c>
      <c r="C10" s="18">
        <v>381072351744</v>
      </c>
      <c r="D10" s="19" t="s">
        <v>94</v>
      </c>
      <c r="E10" s="40" t="s">
        <v>37</v>
      </c>
      <c r="F10" s="43" t="s">
        <v>42</v>
      </c>
      <c r="G10" s="20">
        <v>45932</v>
      </c>
      <c r="H10" s="49"/>
      <c r="I10" s="61">
        <v>45937</v>
      </c>
      <c r="J10" s="43">
        <v>1381.34</v>
      </c>
      <c r="K10" s="43">
        <v>30</v>
      </c>
      <c r="L10" s="21">
        <f>J10/K10</f>
        <v>46.044666666666664</v>
      </c>
      <c r="M10" s="48">
        <v>5</v>
      </c>
      <c r="N10" s="41">
        <f>L10*M10*75%</f>
        <v>172.66749999999999</v>
      </c>
      <c r="O10" s="21">
        <f>M10*25%*L10</f>
        <v>57.555833333333332</v>
      </c>
      <c r="P10" s="21">
        <f>N10+O10</f>
        <v>230.22333333333333</v>
      </c>
      <c r="Q10" s="21">
        <f>O10</f>
        <v>57.555833333333332</v>
      </c>
    </row>
    <row r="11" spans="1:23" ht="11.25" customHeight="1" x14ac:dyDescent="0.2">
      <c r="A11" s="14">
        <v>2350</v>
      </c>
      <c r="B11" s="50" t="s">
        <v>92</v>
      </c>
      <c r="C11" s="11"/>
      <c r="D11" s="9"/>
      <c r="E11" s="9"/>
      <c r="F11" s="9"/>
      <c r="G11" s="10"/>
      <c r="H11" s="9"/>
      <c r="I11" s="9"/>
      <c r="J11" s="8"/>
      <c r="K11" s="7"/>
      <c r="L11" s="7"/>
      <c r="M11" s="7"/>
      <c r="N11" s="12">
        <f>SUM(N10)</f>
        <v>172.66749999999999</v>
      </c>
      <c r="O11" s="7"/>
      <c r="P11" s="7"/>
      <c r="Q11" s="7"/>
    </row>
    <row r="12" spans="1:23" x14ac:dyDescent="0.2">
      <c r="A12" s="25"/>
      <c r="B12" s="26"/>
      <c r="C12" s="27"/>
      <c r="D12" s="28"/>
      <c r="E12" s="28"/>
      <c r="F12" s="28"/>
      <c r="G12" s="29"/>
      <c r="H12" s="28"/>
      <c r="I12" s="28"/>
      <c r="J12" s="30"/>
      <c r="K12" s="31"/>
      <c r="L12" s="31"/>
      <c r="M12" s="31"/>
      <c r="N12" s="30"/>
      <c r="O12" s="31"/>
      <c r="P12" s="31"/>
      <c r="Q12" s="31"/>
    </row>
    <row r="13" spans="1:23" x14ac:dyDescent="0.2">
      <c r="A13" s="32" t="s">
        <v>19</v>
      </c>
      <c r="C13" s="4"/>
      <c r="F13" s="15"/>
      <c r="J13" s="2"/>
      <c r="O13" s="2"/>
      <c r="P13" s="2"/>
      <c r="Q13" s="2"/>
    </row>
    <row r="14" spans="1:23" x14ac:dyDescent="0.2">
      <c r="A14" s="33" t="s">
        <v>17</v>
      </c>
      <c r="F14" s="42"/>
      <c r="J14" s="2"/>
      <c r="K14" s="2"/>
      <c r="L14" s="2"/>
      <c r="M14" s="2"/>
      <c r="N14" s="2"/>
      <c r="O14" s="2"/>
      <c r="P14" s="2"/>
      <c r="Q14" s="2"/>
    </row>
    <row r="15" spans="1:23" x14ac:dyDescent="0.2">
      <c r="A15" s="33" t="s">
        <v>18</v>
      </c>
      <c r="F15" s="42"/>
      <c r="J15" s="2"/>
      <c r="K15" s="2"/>
      <c r="L15" s="2"/>
      <c r="M15" s="2"/>
      <c r="N15" s="2"/>
      <c r="O15" s="2"/>
      <c r="P15" s="2"/>
      <c r="Q15" s="2"/>
    </row>
    <row r="16" spans="1:23" x14ac:dyDescent="0.2">
      <c r="A16" s="34" t="s">
        <v>24</v>
      </c>
      <c r="F16" s="42"/>
      <c r="J16" s="2"/>
      <c r="K16" s="2"/>
      <c r="L16" s="2"/>
      <c r="M16" s="2"/>
      <c r="N16" s="2"/>
      <c r="O16" s="2"/>
      <c r="P16" s="2"/>
      <c r="Q16" s="2"/>
    </row>
    <row r="17" spans="1:17" x14ac:dyDescent="0.2">
      <c r="A17" s="34"/>
      <c r="F17" s="42"/>
      <c r="J17" s="2"/>
      <c r="K17" s="2"/>
      <c r="L17" s="2"/>
      <c r="M17" s="2"/>
      <c r="N17" s="2"/>
      <c r="O17" s="2"/>
      <c r="P17" s="2"/>
      <c r="Q17" s="2"/>
    </row>
    <row r="18" spans="1:17" x14ac:dyDescent="0.2">
      <c r="A18" s="65" t="s">
        <v>20</v>
      </c>
      <c r="B18" s="65"/>
      <c r="F18" s="15"/>
    </row>
    <row r="19" spans="1:17" x14ac:dyDescent="0.2">
      <c r="A19" s="38" t="s">
        <v>21</v>
      </c>
      <c r="B19" s="39"/>
      <c r="F19" s="15"/>
    </row>
    <row r="20" spans="1:17" x14ac:dyDescent="0.2">
      <c r="A20" s="35" t="s">
        <v>22</v>
      </c>
      <c r="B20" s="22"/>
      <c r="C20" s="1"/>
      <c r="D20" s="1"/>
      <c r="E20" s="1"/>
      <c r="F20" s="37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">
      <c r="A21" s="36" t="s">
        <v>23</v>
      </c>
      <c r="B21" s="13"/>
      <c r="F21" s="15"/>
    </row>
  </sheetData>
  <mergeCells count="1">
    <mergeCell ref="A18:B18"/>
  </mergeCells>
  <pageMargins left="0.31496062992125984" right="0.31496062992125984" top="0.31496062992125984" bottom="0.31496062992125984" header="0.31496062992125984" footer="0.31496062992125984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6E4B9639151E643BFC0DFC9F51CCFD5" ma:contentTypeVersion="0" ma:contentTypeDescription="Crear nuevo documento." ma:contentTypeScope="" ma:versionID="81b60527f151f898a32c73140dab7901">
  <xsd:schema xmlns:xsd="http://www.w3.org/2001/XMLSchema" xmlns:p="http://schemas.microsoft.com/office/2006/metadata/properties" targetNamespace="http://schemas.microsoft.com/office/2006/metadata/properties" ma:root="true" ma:fieldsID="b004d877ca112f136821ba8115f64728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 ma:readOnly="true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Props1.xml><?xml version="1.0" encoding="utf-8"?>
<ds:datastoreItem xmlns:ds="http://schemas.openxmlformats.org/officeDocument/2006/customXml" ds:itemID="{D60F98FE-7828-474D-99CC-972D9C8D7FCA}">
  <ds:schemaRefs>
    <ds:schemaRef ds:uri="http://schemas.microsoft.com/office/2006/metadata/properties"/>
    <ds:schemaRef ds:uri="http://purl.org/dc/terms/"/>
    <ds:schemaRef ds:uri="http://schemas.microsoft.com/office/2006/documentManagement/types"/>
    <ds:schemaRef ds:uri="http://purl.org/dc/dcmitype/"/>
    <ds:schemaRef ds:uri="http://purl.org/dc/elements/1.1/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64E8BA39-1C2E-478B-B819-F7039D40F9E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86520D5-F1B4-44BA-BD50-EA486B02859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ENE25</vt:lpstr>
      <vt:lpstr>FEB25</vt:lpstr>
      <vt:lpstr>MAR25</vt:lpstr>
      <vt:lpstr>ABR25</vt:lpstr>
      <vt:lpstr>MAY25</vt:lpstr>
      <vt:lpstr>JUN25</vt:lpstr>
      <vt:lpstr>JUL25</vt:lpstr>
      <vt:lpstr>AGO25</vt:lpstr>
      <vt:lpstr>SEPT25</vt:lpstr>
      <vt:lpstr>OCT25</vt:lpstr>
    </vt:vector>
  </TitlesOfParts>
  <Company>asesoria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candy</dc:creator>
  <cp:lastModifiedBy>Leila</cp:lastModifiedBy>
  <cp:lastPrinted>2025-10-23T10:33:54Z</cp:lastPrinted>
  <dcterms:created xsi:type="dcterms:W3CDTF">2008-06-04T18:23:17Z</dcterms:created>
  <dcterms:modified xsi:type="dcterms:W3CDTF">2025-10-28T11:20:23Z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0x01010096E4B9639151E643BFC0DFC9F51CCFD5</vt:lpwstr>
  </property>
</Properties>
</file>