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2dee35b8b422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atos de Incapacidad Temporal" sheetId="1" r:id="Rc4eba1d126744ec1"/>
    <x:sheet name="Datos de Incapacidad Temporal 2" sheetId="2" r:id="R5728ed29d3dd4a6b"/>
    <x:sheet name="IT pago Directo" sheetId="3" r:id="R1764b2f77b964c5f"/>
    <x:sheet name="Otros datos de IT" sheetId="4" r:id="R96fcb128cba7440d"/>
    <x:sheet name="Continuación situación en IT" sheetId="5" r:id="R82114ff3a4844368"/>
    <x:sheet name="Datos Incapacidad Permanente" sheetId="6" r:id="R30f6274d88064cf5"/>
    <x:sheet name="Datos de Jubilación" sheetId="7" r:id="R0333fcb294904733"/>
    <x:sheet name="Datos de Otras Prestaciones" sheetId="8" r:id="R801597eb6d644e8c"/>
    <x:sheet name="Datos sobre nacimientos" sheetId="9" r:id="Rcf8cdcfc62944733"/>
    <x:sheet name="DETALLE_CNOE" sheetId="10" state="veryHidden" r:id="rId10"/>
  </x:sheets>
  <x:definedNames>
    <x:definedName name="Lista_CNOE">'DETALLE_CNOE'!$A$2:$A$96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dd/mm/yyyy\ hh:mm"/>
    <x:numFmt numFmtId="165" formatCode="#,###,##0"/>
    <x:numFmt numFmtId="166" formatCode="#,###,##0.00"/>
    <x:numFmt numFmtId="167" formatCode="##0.00"/>
    <x:numFmt numFmtId="168" formatCode="dd/mm/yyyy hh:mm"/>
    <x:numFmt numFmtId="169" formatCode="dd/mm/yyyy"/>
  </x:numFmts>
  <x:fonts count="6">
    <x:font>
      <x:sz val="11"/>
      <x:color theme="1"/>
      <x:name val="Calibri"/>
    </x:font>
    <x:font>
      <x:b/>
      <x:sz val="48"/>
      <x:color theme="1"/>
      <x:name val="Calibri"/>
    </x:font>
    <x:font>
      <x:b/>
      <x:sz val="20"/>
      <x:color rgb="FF222222"/>
      <x:name val="Segoe UI"/>
    </x:font>
    <x:font>
      <x:b/>
      <x:sz val="9"/>
      <x:color rgb="FFFFFFFF"/>
      <x:name val="Segoe UI"/>
    </x:font>
    <x:font>
      <x:b/>
      <x:sz val="8"/>
      <x:color rgb="FF4A1746"/>
      <x:name val="Segoe UI"/>
    </x:font>
    <x:font>
      <x:sz val="8"/>
      <x:color rgb="FF202124"/>
      <x:name val="Segoe UI"/>
    </x:font>
  </x:fonts>
  <x:fills count="9">
    <x:fill>
      <x:patternFill patternType="none"/>
    </x:fill>
    <x:fill>
      <x:patternFill patternType="gray125"/>
    </x:fill>
    <x:fill>
      <x:patternFill patternType="solid">
        <x:fgColor theme="4" tint="0.59999"/>
      </x:patternFill>
    </x:fill>
    <x:fill>
      <x:patternFill patternType="solid">
        <x:fgColor rgb="FFB4C6E7"/>
      </x:patternFill>
    </x:fill>
    <x:fill>
      <x:patternFill patternType="solid">
        <x:fgColor rgb="FFB4C6E7" tint="0.59999"/>
      </x:patternFill>
    </x:fill>
    <x:fill>
      <x:patternFill patternType="solid">
        <x:fgColor rgb="FFB4C6E7" tint="0.59999"/>
      </x:patternFill>
    </x:fill>
    <x:fill>
      <x:patternFill patternType="solid">
        <x:fgColor rgb="FFFFFFFF"/>
      </x:patternFill>
    </x:fill>
    <x:fill>
      <x:patternFill patternType="solid">
        <x:fgColor rgb="FF8B2A7F"/>
      </x:patternFill>
    </x:fill>
    <x:fill>
      <x:patternFill patternType="solid">
        <x:fgColor rgb="FFE9D8F2"/>
      </x:patternFill>
    </x:fill>
  </x:fills>
  <x:borders count="24"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indexed="64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/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indexed="64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auto="1"/>
      </x:right>
      <x:top style="medium">
        <x:color indexed="64"/>
      </x:top>
      <x:bottom style="medium">
        <x:color indexed="64"/>
      </x:bottom>
    </x:border>
    <x:border>
      <x:left style="medium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right style="medium">
        <x:color auto="1"/>
      </x:right>
      <x:top style="medium">
        <x:color indexed="64"/>
      </x:top>
    </x:border>
    <x:border>
      <x:right style="medium">
        <x:color auto="1"/>
      </x:right>
      <x:top style="medium">
        <x:color indexed="64"/>
      </x:top>
      <x:bottom style="medium">
        <x:color indexed="64"/>
      </x:bottom>
    </x:border>
  </x:borders>
  <x:cellStyleXfs count="1">
    <x:xf numFmtId="0" fontId="0" fillId="0" borderId="10"/>
  </x:cellStyleXfs>
  <x:cellXfs count="205"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2" borderId="1" xfId="0" applyAlignment="1">
      <x:alignment horizontal="center" vertical="center" wrapText="1"/>
    </x:xf>
    <x:xf numFmtId="0" fontId="0" fillId="2" borderId="1" xfId="0" applyAlignment="1">
      <x:alignment horizontal="center"/>
    </x:xf>
    <x:xf numFmtId="0" fontId="0" fillId="5" borderId="1" xfId="0" applyAlignment="1">
      <x:alignment horizontal="center" vertical="center" wrapText="1"/>
    </x:xf>
    <x:xf numFmtId="0" fontId="0" fillId="3" borderId="6" xfId="0" applyAlignment="1">
      <x:alignment horizontal="center" vertical="center" wrapText="1"/>
    </x:xf>
    <x:xf numFmtId="49" fontId="0" fillId="0" borderId="6" xfId="0"/>
    <x:xf numFmtId="164" fontId="0" fillId="0" borderId="6" xfId="0" applyAlignment="1">
      <x:alignment horizontal="center"/>
    </x:xf>
    <x:xf numFmtId="14" fontId="0" fillId="0" borderId="6" xfId="0" applyAlignment="1">
      <x:alignment horizontal="center"/>
    </x:xf>
    <x:xf numFmtId="165" fontId="0" fillId="0" borderId="6" xfId="0"/>
    <x:xf numFmtId="0" fontId="0" fillId="0" borderId="6" xfId="0"/>
    <x:xf numFmtId="166" fontId="0" fillId="0" borderId="6" xfId="0"/>
    <x:xf numFmtId="167" fontId="0" fillId="0" borderId="6" xfId="0"/>
    <x:xf numFmtId="165" fontId="0" fillId="0" borderId="6" xfId="0" applyAlignment="1">
      <x:alignment horizontal="right"/>
    </x:xf>
    <x:xf numFmtId="0" fontId="0" fillId="2" borderId="1" xfId="0" applyAlignment="1">
      <x:alignment horizontal="center"/>
    </x:xf>
    <x:xf numFmtId="0" fontId="1" fillId="0" borderId="0" xfId="0" applyAlignment="1">
      <x:alignment horizontal="center" vertical="center"/>
    </x:xf>
    <x:xf numFmtId="0" fontId="0" fillId="4" borderId="7" xfId="0" applyAlignment="1">
      <x:alignment horizontal="center"/>
    </x:xf>
    <x:xf numFmtId="0" fontId="0" fillId="4" borderId="8" xfId="0" applyAlignment="1">
      <x:alignment horizontal="center"/>
    </x:xf>
    <x:xf numFmtId="0" fontId="0" fillId="4" borderId="9" xfId="0" applyAlignment="1">
      <x:alignment horizontal="center"/>
    </x:xf>
    <x:xf numFmtId="0" fontId="0" fillId="3" borderId="6" xfId="0"/>
    <x:xf numFmtId="0" fontId="0" fillId="2" borderId="2" xfId="0" applyAlignment="1">
      <x:alignment horizontal="center"/>
    </x:xf>
    <x:xf numFmtId="0" fontId="0" fillId="2" borderId="3" xfId="0" applyAlignment="1">
      <x:alignment horizontal="center"/>
    </x:xf>
    <x:xf numFmtId="0" fontId="0" fillId="2" borderId="4" xfId="0" applyAlignment="1">
      <x:alignment horizontal="center"/>
    </x:xf>
    <x:xf numFmtId="0" fontId="1" fillId="0" borderId="5" xfId="0" applyAlignment="1">
      <x:alignment horizontal="center" vertical="center"/>
    </x:xf>
    <x:xf numFmtId="0" fontId="0" fillId="5" borderId="1" xfId="0" applyAlignment="1">
      <x:alignment horizontal="center"/>
    </x:xf>
    <x:xf numFmtId="0" fontId="0" fillId="5" borderId="7" xfId="0" applyAlignment="1">
      <x:alignment horizontal="center"/>
    </x:xf>
    <x:xf numFmtId="0" fontId="0" fillId="5" borderId="8" xfId="0" applyAlignment="1">
      <x:alignment horizontal="center"/>
    </x:xf>
    <x:xf numFmtId="0" fontId="0" fillId="5" borderId="9" xfId="0" applyAlignment="1">
      <x:alignment horizontal="center"/>
    </x:xf>
    <x:xf numFmtId="0" fontId="0" fillId="0" borderId="10" xfId="0"/>
    <x:xf numFmtId="0" fontId="0" fillId="0" borderId="10" xfId="0" applyAlignment="1">
      <x:alignment horizontal="center" vertical="center" wrapText="1"/>
    </x:xf>
    <x:xf numFmtId="0" fontId="0" fillId="2" borderId="11" xfId="0" applyAlignment="1">
      <x:alignment horizontal="center" vertical="center" wrapText="1"/>
    </x:xf>
    <x:xf numFmtId="0" fontId="0" fillId="2" borderId="11" xfId="0" applyAlignment="1">
      <x:alignment horizontal="center"/>
    </x:xf>
    <x:xf numFmtId="0" fontId="0" fillId="4" borderId="11" xfId="0" applyAlignment="1">
      <x:alignment horizontal="center" vertical="center" wrapText="1"/>
    </x:xf>
    <x:xf numFmtId="0" fontId="0" fillId="3" borderId="12" xfId="0" applyAlignment="1">
      <x:alignment horizontal="center" vertical="center" wrapText="1"/>
    </x:xf>
    <x:xf numFmtId="49" fontId="0" fillId="0" borderId="12" xfId="0"/>
    <x:xf numFmtId="164" fontId="0" fillId="0" borderId="12" xfId="0" applyAlignment="1">
      <x:alignment horizontal="center"/>
    </x:xf>
    <x:xf numFmtId="14" fontId="0" fillId="0" borderId="12" xfId="0" applyAlignment="1">
      <x:alignment horizontal="center"/>
    </x:xf>
    <x:xf numFmtId="165" fontId="0" fillId="0" borderId="12" xfId="0"/>
    <x:xf numFmtId="0" fontId="0" fillId="0" borderId="12" xfId="0"/>
    <x:xf numFmtId="166" fontId="0" fillId="0" borderId="12" xfId="0"/>
    <x:xf numFmtId="167" fontId="0" fillId="0" borderId="12" xfId="0"/>
    <x:xf numFmtId="165" fontId="0" fillId="0" borderId="12" xfId="0" applyAlignment="1">
      <x:alignment horizontal="right"/>
    </x:xf>
    <x:xf numFmtId="0" fontId="1" fillId="0" borderId="10" xfId="0" applyAlignment="1">
      <x:alignment horizontal="center" vertical="center"/>
    </x:xf>
    <x:xf numFmtId="0" fontId="0" fillId="4" borderId="13" xfId="0" applyAlignment="1">
      <x:alignment horizontal="center"/>
    </x:xf>
    <x:xf numFmtId="0" fontId="0" fillId="4" borderId="14" xfId="0" applyAlignment="1">
      <x:alignment horizontal="center"/>
    </x:xf>
    <x:xf numFmtId="0" fontId="0" fillId="4" borderId="15" xfId="0" applyAlignment="1">
      <x:alignment horizontal="center"/>
    </x:xf>
    <x:xf numFmtId="0" fontId="0" fillId="3" borderId="12" xfId="0"/>
    <x:xf numFmtId="0" fontId="0" fillId="2" borderId="16" xfId="0" applyAlignment="1">
      <x:alignment horizontal="center"/>
    </x:xf>
    <x:xf numFmtId="0" fontId="0" fillId="2" borderId="17" xfId="0" applyAlignment="1">
      <x:alignment horizontal="center"/>
    </x:xf>
    <x:xf numFmtId="0" fontId="0" fillId="2" borderId="18" xfId="0" applyAlignment="1">
      <x:alignment horizontal="center"/>
    </x:xf>
    <x:xf numFmtId="0" fontId="1" fillId="0" borderId="19" xfId="0" applyAlignment="1">
      <x:alignment horizontal="center" vertical="center"/>
    </x:xf>
    <x:xf numFmtId="0" fontId="0" fillId="4" borderId="11" xfId="0" applyAlignment="1">
      <x:alignment horizontal="center"/>
    </x:xf>
    <x:xf numFmtId="168" fontId="0" fillId="0" borderId="6" xfId="0" applyAlignment="1">
      <x:alignment horizontal="center"/>
    </x:xf>
    <x:xf numFmtId="168" fontId="0" fillId="0" borderId="12" xfId="0" applyAlignment="1">
      <x:alignment horizontal="center"/>
    </x:xf>
    <x:xf numFmtId="169" fontId="0" fillId="0" borderId="6" xfId="0" applyAlignment="1">
      <x:alignment horizontal="center"/>
    </x:xf>
    <x:xf numFmtId="169" fontId="0" fillId="0" borderId="12" xfId="0" applyAlignment="1">
      <x:alignment horizontal="center"/>
    </x:xf>
    <x:xf numFmtId="2" fontId="0" fillId="0" borderId="6" xfId="0"/>
    <x:xf numFmtId="2" fontId="0" fillId="0" borderId="12" xfId="0"/>
    <x:xf numFmtId="168" fontId="0" fillId="0" borderId="0" xfId="0"/>
    <x:xf numFmtId="168" fontId="0" fillId="0" borderId="10" xfId="0"/>
    <x:xf numFmtId="169" fontId="0" fillId="0" borderId="0" xfId="0"/>
    <x:xf numFmtId="169" fontId="0" fillId="0" borderId="10" xfId="0"/>
    <x:xf numFmtId="2" fontId="0" fillId="0" borderId="0" xfId="0"/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2" borderId="1" xfId="0" applyAlignment="1">
      <x:alignment horizontal="center" vertical="center" wrapText="1"/>
    </x:xf>
    <x:xf numFmtId="0" fontId="0" fillId="2" borderId="1" xfId="0" applyAlignment="1">
      <x:alignment horizontal="center"/>
    </x:xf>
    <x:xf numFmtId="0" fontId="0" fillId="4" borderId="1" xfId="0" applyAlignment="1">
      <x:alignment horizontal="center" vertical="center" wrapText="1"/>
    </x:xf>
    <x:xf numFmtId="0" fontId="0" fillId="3" borderId="6" xfId="0" applyAlignment="1">
      <x:alignment horizontal="center" vertical="center" wrapText="1"/>
    </x:xf>
    <x:xf numFmtId="49" fontId="0" fillId="0" borderId="6" xfId="0"/>
    <x:xf numFmtId="164" fontId="0" fillId="0" borderId="6" xfId="0" applyAlignment="1">
      <x:alignment horizontal="center"/>
    </x:xf>
    <x:xf numFmtId="14" fontId="0" fillId="0" borderId="6" xfId="0" applyAlignment="1">
      <x:alignment horizontal="center"/>
    </x:xf>
    <x:xf numFmtId="165" fontId="0" fillId="0" borderId="6" xfId="0"/>
    <x:xf numFmtId="0" fontId="0" fillId="0" borderId="6" xfId="0"/>
    <x:xf numFmtId="166" fontId="0" fillId="0" borderId="6" xfId="0"/>
    <x:xf numFmtId="167" fontId="0" fillId="0" borderId="6" xfId="0"/>
    <x:xf numFmtId="165" fontId="0" fillId="0" borderId="6" xfId="0" applyAlignment="1">
      <x:alignment horizontal="right"/>
    </x:xf>
    <x:xf numFmtId="0" fontId="1" fillId="0" borderId="0" xfId="0" applyAlignment="1">
      <x:alignment horizontal="center" vertical="center"/>
    </x:xf>
    <x:xf numFmtId="0" fontId="0" fillId="4" borderId="7" xfId="0" applyAlignment="1">
      <x:alignment horizontal="center"/>
    </x:xf>
    <x:xf numFmtId="0" fontId="0" fillId="4" borderId="8" xfId="0" applyAlignment="1">
      <x:alignment horizontal="center"/>
    </x:xf>
    <x:xf numFmtId="0" fontId="0" fillId="4" borderId="9" xfId="0" applyAlignment="1">
      <x:alignment horizontal="center"/>
    </x:xf>
    <x:xf numFmtId="0" fontId="0" fillId="3" borderId="6" xfId="0"/>
    <x:xf numFmtId="0" fontId="0" fillId="2" borderId="2" xfId="0" applyAlignment="1">
      <x:alignment horizontal="center"/>
    </x:xf>
    <x:xf numFmtId="0" fontId="0" fillId="2" borderId="3" xfId="0" applyAlignment="1">
      <x:alignment horizontal="center"/>
    </x:xf>
    <x:xf numFmtId="0" fontId="0" fillId="2" borderId="4" xfId="0" applyAlignment="1">
      <x:alignment horizontal="center"/>
    </x:xf>
    <x:xf numFmtId="0" fontId="1" fillId="0" borderId="5" xfId="0" applyAlignment="1">
      <x:alignment horizontal="center" vertical="center"/>
    </x:xf>
    <x:xf numFmtId="0" fontId="0" fillId="4" borderId="1" xfId="0" applyAlignment="1">
      <x:alignment horizontal="center"/>
    </x:xf>
    <x:xf numFmtId="0" fontId="0" fillId="0" borderId="18" xfId="0"/>
    <x:xf numFmtId="0" fontId="0" fillId="0" borderId="17" xfId="0"/>
    <x:xf numFmtId="0" fontId="0" fillId="0" borderId="23" xfId="0"/>
    <x:xf numFmtId="168" fontId="0" fillId="0" borderId="6" xfId="0" applyAlignment="1">
      <x:alignment horizontal="center"/>
    </x:xf>
    <x:xf numFmtId="169" fontId="0" fillId="0" borderId="6" xfId="0" applyAlignment="1">
      <x:alignment horizontal="center"/>
    </x:xf>
    <x:xf numFmtId="1" fontId="0" fillId="0" borderId="6" xfId="0"/>
    <x:xf numFmtId="168" fontId="0" fillId="0" borderId="12" xfId="0" applyAlignment="1">
      <x:alignment horizontal="center"/>
    </x:xf>
    <x:xf numFmtId="169" fontId="0" fillId="0" borderId="12" xfId="0" applyAlignment="1">
      <x:alignment horizontal="center"/>
    </x:xf>
    <x:xf numFmtId="1" fontId="0" fillId="0" borderId="12" xfId="0"/>
    <x:xf numFmtId="2" fontId="0" fillId="0" borderId="6" xfId="0"/>
    <x:xf numFmtId="2" fontId="0" fillId="0" borderId="12" xfId="0"/>
    <x:xf numFmtId="168" fontId="0" fillId="0" borderId="0" xfId="0"/>
    <x:xf numFmtId="169" fontId="0" fillId="0" borderId="0" xfId="0"/>
    <x:xf numFmtId="2" fontId="0" fillId="0" borderId="0" xfId="0"/>
    <x:xf numFmtId="168" fontId="0" fillId="0" borderId="10" xfId="0"/>
    <x:xf numFmtId="169" fontId="0" fillId="0" borderId="10" xfId="0"/>
    <x:xf numFmtId="2" fontId="0" fillId="0" borderId="10" xfId="0"/>
    <x:xf numFmtId="0" fontId="0" fillId="0" borderId="19" xfId="0"/>
    <x:xf numFmtId="0" fontId="0" fillId="5" borderId="11" xfId="0" applyAlignment="1">
      <x:alignment horizontal="center"/>
    </x:xf>
    <x:xf numFmtId="0" fontId="0" fillId="5" borderId="13" xfId="0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3" borderId="6" xfId="0" applyNumberFormat="1" applyFont="1" applyFill="1" applyBorder="1" applyAlignment="1">
      <x:alignment horizontal="center" vertical="center" wrapText="1"/>
    </x:xf>
    <x:xf numFmtId="49" fontId="0" fillId="0" borderId="6" xfId="0" applyNumberFormat="1" applyFont="1" applyFill="1" applyBorder="1"/>
    <x:xf numFmtId="164" fontId="0" fillId="0" borderId="6" xfId="0" applyNumberFormat="1" applyFont="1" applyFill="1" applyBorder="1" applyAlignment="1">
      <x:alignment horizontal="center"/>
    </x:xf>
    <x:xf numFmtId="14" fontId="0" fillId="0" borderId="6" xfId="0" applyNumberFormat="1" applyFont="1" applyFill="1" applyBorder="1" applyAlignment="1">
      <x:alignment horizontal="center"/>
    </x:xf>
    <x:xf numFmtId="165" fontId="0" fillId="0" borderId="6" xfId="0" applyNumberFormat="1" applyFont="1" applyFill="1" applyBorder="1"/>
    <x:xf numFmtId="0" fontId="0" fillId="0" borderId="6" xfId="0" applyNumberFormat="1" applyFont="1" applyFill="1" applyBorder="1"/>
    <x:xf numFmtId="166" fontId="0" fillId="0" borderId="6" xfId="0" applyNumberFormat="1" applyFont="1" applyFill="1" applyBorder="1"/>
    <x:xf numFmtId="167" fontId="0" fillId="0" borderId="6" xfId="0" applyNumberFormat="1" applyFont="1" applyFill="1" applyBorder="1"/>
    <x:xf numFmtId="165" fontId="0" fillId="0" borderId="6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/>
    <x:xf numFmtId="0" fontId="0" fillId="2" borderId="2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 applyAlignment="1">
      <x:alignment horizontal="center"/>
    </x:xf>
    <x:xf numFmtId="0" fontId="0" fillId="2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/>
    </x:xf>
    <x:xf numFmtId="168" fontId="0" fillId="0" borderId="6" xfId="0" applyNumberFormat="1" applyFont="1" applyFill="1" applyBorder="1" applyAlignment="1">
      <x:alignment horizontal="center"/>
    </x:xf>
    <x:xf numFmtId="169" fontId="0" fillId="0" borderId="6" xfId="0" applyNumberFormat="1" applyFont="1" applyFill="1" applyBorder="1" applyAlignment="1">
      <x:alignment horizontal="center"/>
    </x:xf>
    <x:xf numFmtId="2" fontId="0" fillId="0" borderId="6" xfId="0" applyNumberFormat="1" applyFont="1" applyFill="1" applyBorder="1"/>
    <x:xf numFmtId="168" fontId="0" fillId="0" borderId="0" xfId="0" applyNumberFormat="1" applyFont="1" applyFill="1" applyBorder="1"/>
    <x:xf numFmtId="169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3" xfId="0" applyNumberFormat="1" applyFont="1" applyFill="1" applyBorder="1"/>
    <x:xf numFmtId="0" fontId="0" fillId="0" borderId="23" xfId="0" applyNumberFormat="1" applyFont="1" applyFill="1" applyBorder="1"/>
    <x:xf numFmtId="1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7" borderId="4" xfId="0" applyNumberFormat="1" applyFont="1" applyFill="1" applyBorder="1"/>
    <x:xf numFmtId="0" fontId="0" fillId="7" borderId="3" xfId="0" applyNumberFormat="1" applyFont="1" applyFill="1" applyBorder="1"/>
    <x:xf numFmtId="0" fontId="0" fillId="7" borderId="7" xfId="0" applyNumberFormat="1" applyFont="1" applyFill="1" applyBorder="1" applyAlignment="1">
      <x:alignment horizontal="center"/>
    </x:xf>
    <x:xf numFmtId="0" fontId="0" fillId="7" borderId="23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/>
    <x:xf numFmtId="0" fontId="3" fillId="7" borderId="3" xfId="0" applyNumberFormat="1" applyFont="1" applyFill="1" applyBorder="1"/>
    <x:xf numFmtId="0" fontId="3" fillId="7" borderId="7" xfId="0" applyNumberFormat="1" applyFont="1" applyFill="1" applyBorder="1" applyAlignment="1">
      <x:alignment horizontal="center"/>
    </x:xf>
    <x:xf numFmtId="0" fontId="3" fillId="7" borderId="23" xfId="0" applyNumberFormat="1" applyFont="1" applyFill="1" applyBorder="1"/>
    <x:xf numFmtId="0" fontId="3" fillId="7" borderId="1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2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23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23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4" fillId="8" borderId="6" xfId="0" applyNumberFormat="1" applyFont="1" applyFill="1" applyBorder="1" applyAlignment="1">
      <x:alignment horizontal="center" vertical="center" wrapText="1"/>
    </x:xf>
    <x:xf numFmtId="49" fontId="5" fillId="0" borderId="6" xfId="0" applyNumberFormat="1" applyFont="1" applyFill="1" applyBorder="1"/>
    <x:xf numFmtId="168" fontId="5" fillId="0" borderId="6" xfId="0" applyNumberFormat="1" applyFont="1" applyFill="1" applyBorder="1" applyAlignment="1">
      <x:alignment horizontal="center"/>
    </x:xf>
    <x:xf numFmtId="169" fontId="5" fillId="0" borderId="6" xfId="0" applyNumberFormat="1" applyFont="1" applyFill="1" applyBorder="1" applyAlignment="1">
      <x:alignment horizontal="center"/>
    </x:xf>
    <x:xf numFmtId="1" fontId="5" fillId="0" borderId="6" xfId="0" applyNumberFormat="1" applyFont="1" applyFill="1" applyBorder="1"/>
    <x:xf numFmtId="0" fontId="5" fillId="0" borderId="6" xfId="0" applyNumberFormat="1" applyFont="1" applyFill="1" applyBorder="1"/>
    <x:xf numFmtId="165" fontId="5" fillId="0" borderId="6" xfId="0" applyNumberFormat="1" applyFont="1" applyFill="1" applyBorder="1"/>
    <x:xf numFmtId="0" fontId="5" fillId="0" borderId="0" xfId="0" applyNumberFormat="1" applyFont="1" applyFill="1" applyBorder="1"/>
    <x:xf numFmtId="49" fontId="5" fillId="0" borderId="6" xfId="0" applyNumberFormat="1" applyFont="1" applyFill="1" applyBorder="1" applyAlignment="1">
      <x:alignment vertical="center"/>
    </x:xf>
    <x:xf numFmtId="168" fontId="5" fillId="0" borderId="6" xfId="0" applyNumberFormat="1" applyFont="1" applyFill="1" applyBorder="1" applyAlignment="1">
      <x:alignment horizontal="center" vertical="center"/>
    </x:xf>
    <x:xf numFmtId="169" fontId="5" fillId="0" borderId="6" xfId="0" applyNumberFormat="1" applyFont="1" applyFill="1" applyBorder="1" applyAlignment="1">
      <x:alignment horizontal="center" vertical="center"/>
    </x:xf>
    <x:xf numFmtId="1" fontId="5" fillId="0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165" fontId="5" fillId="0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" fontId="5" fillId="0" borderId="6" xfId="0" applyNumberFormat="1" applyFont="1" applyFill="1" applyBorder="1"/>
    <x:xf numFmtId="2" fontId="5" fillId="0" borderId="6" xfId="0" applyNumberFormat="1" applyFont="1" applyFill="1" applyBorder="1" applyAlignment="1">
      <x:alignment vertical="center"/>
    </x:xf>
    <x:xf numFmtId="168" fontId="5" fillId="0" borderId="0" xfId="0" applyNumberFormat="1" applyFont="1" applyFill="1" applyBorder="1"/>
    <x:xf numFmtId="169" fontId="5" fillId="0" borderId="0" xfId="0" applyNumberFormat="1" applyFont="1" applyFill="1" applyBorder="1"/>
    <x:xf numFmtId="2" fontId="5" fillId="0" borderId="0" xfId="0" applyNumberFormat="1" applyFont="1" applyFill="1" applyBorder="1"/>
    <x:xf numFmtId="168" fontId="5" fillId="0" borderId="0" xfId="0" applyNumberFormat="1" applyFont="1" applyFill="1" applyBorder="1" applyAlignment="1">
      <x:alignment vertical="center"/>
    </x:xf>
    <x:xf numFmtId="169" fontId="5" fillId="0" borderId="0" xfId="0" applyNumberFormat="1" applyFont="1" applyFill="1" applyBorder="1" applyAlignment="1">
      <x:alignment vertical="center"/>
    </x:xf>
    <x:xf numFmtId="2" fontId="5" fillId="0" borderId="0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0" fillId="6" borderId="5" xfId="0" applyNumberFormat="1" applyFont="1" applyFill="1" applyBorder="1"/>
    <x:xf numFmtId="0" fontId="2" fillId="6" borderId="5" xfId="0" applyNumberFormat="1" applyFont="1" applyFill="1" applyBorder="1" applyAlignment="1">
      <x:alignment horizontal="center" vertical="center"/>
    </x:xf>
    <x:xf numFmtId="0" fontId="2" fillId="6" borderId="5" xfId="0" applyNumberFormat="1" applyFont="1" applyFill="1" applyBorder="1"/>
    <x:xf numFmtId="0" fontId="2" fillId="6" borderId="5" xfId="0" applyNumberFormat="1" applyFont="1" applyFill="1" applyBorder="1" applyAlignment="1">
      <x:alignment horizontal="center"/>
    </x:xf>
    <x:xf numFmtId="167" fontId="5" fillId="0" borderId="6" xfId="0" applyNumberFormat="1" applyFont="1" applyFill="1" applyBorder="1"/>
    <x:xf numFmtId="165" fontId="5" fillId="0" borderId="6" xfId="0" applyNumberFormat="1" applyFont="1" applyFill="1" applyBorder="1" applyAlignment="1">
      <x:alignment horizontal="right"/>
    </x:xf>
    <x:xf numFmtId="167" fontId="5" fillId="0" borderId="6" xfId="0" applyNumberFormat="1" applyFont="1" applyFill="1" applyBorder="1" applyAlignment="1">
      <x:alignment vertical="center"/>
    </x:xf>
    <x:xf numFmtId="165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7a2ed6717334363" /><Relationship Type="http://schemas.openxmlformats.org/officeDocument/2006/relationships/theme" Target="/xl/theme/theme1.xml" Id="Rb2ee351d745244f1" /><Relationship Type="http://schemas.openxmlformats.org/officeDocument/2006/relationships/sharedStrings" Target="/xl/sharedStrings.xml" Id="Rfdbe1d469cd549ff" /><Relationship Type="http://schemas.openxmlformats.org/officeDocument/2006/relationships/worksheet" Target="/xl/worksheets/sheet1.xml" Id="Rc4eba1d126744ec1" /><Relationship Type="http://schemas.openxmlformats.org/officeDocument/2006/relationships/worksheet" Target="/xl/worksheets/sheet2.xml" Id="R5728ed29d3dd4a6b" /><Relationship Type="http://schemas.openxmlformats.org/officeDocument/2006/relationships/worksheet" Target="/xl/worksheets/sheet3.xml" Id="R1764b2f77b964c5f" /><Relationship Type="http://schemas.openxmlformats.org/officeDocument/2006/relationships/worksheet" Target="/xl/worksheets/sheet4.xml" Id="R96fcb128cba7440d" /><Relationship Type="http://schemas.openxmlformats.org/officeDocument/2006/relationships/worksheet" Target="/xl/worksheets/sheet5.xml" Id="R82114ff3a4844368" /><Relationship Type="http://schemas.openxmlformats.org/officeDocument/2006/relationships/worksheet" Target="/xl/worksheets/sheet6.xml" Id="R30f6274d88064cf5" /><Relationship Type="http://schemas.openxmlformats.org/officeDocument/2006/relationships/worksheet" Target="/xl/worksheets/sheet7.xml" Id="R0333fcb294904733" /><Relationship Type="http://schemas.openxmlformats.org/officeDocument/2006/relationships/worksheet" Target="/xl/worksheets/sheet8.xml" Id="R801597eb6d644e8c" /><Relationship Type="http://schemas.openxmlformats.org/officeDocument/2006/relationships/worksheet" Target="/xl/worksheets/sheet9.xml" Id="Rcf8cdcfc62944733" /><Relationship Id="rId10" Type="http://schemas.openxmlformats.org/officeDocument/2006/relationships/worksheet" Target="worksheets/sheet10.xml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f59bf3a60ac4e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3f0f50257dd2469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17b09e3528e460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8a1853d6a8204c6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2e9be5430d98470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402c9ca05b4416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770d32ac2e234e4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1ac06d1c3a974428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44e65f6e217f4c09" /></Relationships>
</file>

<file path=xl/drawings/drawing1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a9c6bf3e-1eba-4c49-8865-30a2bce362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9bf3a60ac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b95a990c-5a5f-4a43-a6ed-cbaebc375b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0f50257dd246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96b09617-8a93-455a-8fa9-c5cb2b153f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b09e3528e46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938488b7-3152-4273-aea6-b61418e86c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853d6a8204c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28f8f175-4f4c-4bb6-90ab-4cc5c8d8de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be5430d98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831796fc-c25d-4376-9f47-a65505acdb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02c9ca05b4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53ee964c-0714-4fa2-b7e6-a34cdebd55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d32ac2e234e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64bbbd99-d991-4c92-84be-bf56e5e50d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06d1c3a9744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1" name="82b07487-d5ef-4380-b8e7-ee7c904e58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e65f6e217f4c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3690ffeb1742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43c67f1189e4d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0afda01895549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37e4ac1187f3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59887448ee84b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17314542c40f4a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1ed65b4557864f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8729aba2d813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bc50b06a98374fff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7" bestFit="1" customWidth="1" style="63"/>
    <x:col min="5" max="5" width="57" bestFit="1" customWidth="1" style="63"/>
    <x:col min="6" max="6" width="14" bestFit="1" customWidth="1" style="63"/>
    <x:col min="7" max="7" width="15" bestFit="1" customWidth="1" style="63"/>
    <x:col min="8" max="8" width="38" bestFit="1" customWidth="1" style="63"/>
    <x:col min="9" max="9" width="18" bestFit="1" customWidth="1" style="63"/>
    <x:col min="10" max="10" width="18" bestFit="1" customWidth="1" style="63"/>
    <x:col min="11" max="11" width="15" bestFit="1" customWidth="1" style="63"/>
    <x:col min="12" max="12" width="24" bestFit="1" customWidth="1" style="63"/>
    <x:col min="13" max="13" width="40" bestFit="1" customWidth="1" style="63"/>
    <x:col min="14" max="14" width="22" bestFit="1" customWidth="1" style="63"/>
    <x:col min="15" max="15" width="18" bestFit="1" customWidth="1" style="63"/>
    <x:col min="16" max="16" width="18" bestFit="1" customWidth="1" style="63"/>
    <x:col min="17" max="17" width="17" bestFit="1" customWidth="1" style="63"/>
    <x:col min="18" max="18" width="18" bestFit="1" customWidth="1" style="63"/>
    <x:col min="19" max="19" width="30" bestFit="1" customWidth="1" style="63"/>
    <x:col min="20" max="20" width="24" bestFit="1" customWidth="1" style="63"/>
    <x:col min="21" max="21" width="17" bestFit="1" customWidth="1" style="63"/>
    <x:col min="22" max="22" width="19" bestFit="1" customWidth="1" style="63"/>
    <x:col min="23" max="23" width="18" bestFit="1" customWidth="1" style="63"/>
    <x:col min="24" max="24" width="50" bestFit="1" customWidth="1" style="63"/>
    <x:col min="25" max="25" width="14" bestFit="1" customWidth="1" style="63"/>
    <x:col min="26" max="26" width="50" bestFit="1" customWidth="1" style="63"/>
    <x:col min="27" max="27" width="23" bestFit="1" customWidth="1" style="63"/>
    <x:col min="28" max="28" width="23" bestFit="1" customWidth="1" style="63"/>
    <x:col min="29" max="29" width="19" bestFit="1" customWidth="1" style="63"/>
    <x:col min="30" max="30" width="30" bestFit="1" customWidth="1" style="63"/>
    <x:col min="31" max="31" width="50" bestFit="1" customWidth="1" style="63"/>
    <x:col min="32" max="32" width="31" bestFit="1" customWidth="1" style="63"/>
    <x:col min="33" max="33" width="15" bestFit="1" customWidth="1" style="63"/>
    <x:col min="34" max="34" width="8" bestFit="1" customWidth="1" style="63"/>
    <x:col min="35" max="35" width="8" bestFit="1" customWidth="1" style="63"/>
    <x:col min="36" max="36" width="19" bestFit="1" customWidth="1" style="63"/>
    <x:col min="37" max="37" width="10" bestFit="1" customWidth="1" style="63"/>
    <x:col min="38" max="38" width="16" bestFit="1" customWidth="1" style="63"/>
    <x:col min="39" max="39" width="13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  <x:c r="U1" s="144"/>
      <x:c r="V1" s="144"/>
      <x:c r="W1" s="144"/>
      <x:c r="X1" s="144"/>
      <x:c r="Y1" s="144"/>
      <x:c r="Z1" s="144"/>
      <x:c r="AA1" s="144"/>
      <x:c r="AB1" s="144"/>
      <x:c r="AC1" s="144"/>
      <x:c r="AD1" s="144"/>
      <x:c r="AE1" s="144"/>
      <x:c r="AF1" s="144"/>
      <x:c r="AG1" s="144"/>
      <x:c r="AH1" s="144"/>
      <x:c r="AI1" s="144"/>
      <x:c r="AJ1" s="144"/>
      <x:c r="AK1" s="144"/>
      <x:c r="AL1" s="144"/>
      <x:c r="AM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8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  <x:c r="Y2" s="167"/>
      <x:c r="Z2" s="167"/>
      <x:c r="AA2" s="167"/>
      <x:c r="AB2" s="167"/>
      <x:c r="AC2" s="167"/>
      <x:c r="AD2" s="167"/>
      <x:c r="AE2" s="167"/>
      <x:c r="AF2" s="166"/>
      <x:c r="AG2" s="168" t="str">
        <x:v>Datos Economicos FIE 2</x:v>
      </x:c>
      <x:c r="AH2" s="167"/>
      <x:c r="AI2" s="167"/>
      <x:c r="AJ2" s="167"/>
      <x:c r="AK2" s="167"/>
      <x:c r="AL2" s="167"/>
      <x:c r="AM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baja IT</x:v>
      </x:c>
      <x:c r="L3" s="172" t="str">
        <x:v>Contingencia</x:v>
      </x:c>
      <x:c r="M3" s="172" t="str">
        <x:v>Entidad responsable</x:v>
      </x:c>
      <x:c r="N3" s="172" t="str">
        <x:v>Indicador de recaída</x:v>
      </x:c>
      <x:c r="O3" s="172" t="str">
        <x:v>Fecha proceso inicial</x:v>
      </x:c>
      <x:c r="P3" s="172" t="str">
        <x:v>Fecha proceso anterior</x:v>
      </x:c>
      <x:c r="Q3" s="172" t="str">
        <x:v>Días acumulados</x:v>
      </x:c>
      <x:c r="R3" s="172" t="str">
        <x:v>Fecha proceso IT inexistente</x:v>
      </x:c>
      <x:c r="S3" s="172" t="str">
        <x:v>Causa IT proceso inexistente</x:v>
      </x:c>
      <x:c r="T3" s="172" t="str">
        <x:v>Indicador Carencia</x:v>
      </x:c>
      <x:c r="U3" s="172" t="str">
        <x:v>Tipo de proceso</x:v>
      </x:c>
      <x:c r="V3" s="172" t="str">
        <x:v>Duración estimada</x:v>
      </x:c>
      <x:c r="W3" s="172" t="str">
        <x:v>Fecha fin Pago Delegado</x:v>
      </x:c>
      <x:c r="X3" s="172" t="str">
        <x:v>Causa Fin Pago Delegado</x:v>
      </x:c>
      <x:c r="Y3" s="172" t="str">
        <x:v>Fecha fin IT</x:v>
      </x:c>
      <x:c r="Z3" s="172" t="str">
        <x:v>Causa fin IT</x:v>
      </x:c>
      <x:c r="AA3" s="172" t="str">
        <x:v>Parte de baja anulado</x:v>
      </x:c>
      <x:c r="AB3" s="172" t="str">
        <x:v>Parte de alta anulado</x:v>
      </x:c>
      <x:c r="AC3" s="172" t="str">
        <x:v>Modalidad de pago</x:v>
      </x:c>
      <x:c r="AD3" s="172" t="str">
        <x:v>Situaciones Especiales de IT</x:v>
      </x:c>
      <x:c r="AE3" s="172" t="str">
        <x:v>Procesos con peculiaridades en pago y cotización</x:v>
      </x:c>
      <x:c r="AF3" s="172" t="str">
        <x:v>Indicador de IT internacional</x:v>
      </x:c>
      <x:c r="AG3" s="172" t="str">
        <x:v>TIPO CONTRATO</x:v>
      </x:c>
      <x:c r="AH3" s="172" t="str">
        <x:v>BASE</x:v>
      </x:c>
      <x:c r="AI3" s="172" t="str">
        <x:v>DIA</x:v>
      </x:c>
      <x:c r="AJ3" s="172" t="str">
        <x:v>PUESTO DE TRABAJO</x:v>
      </x:c>
      <x:c r="AK3" s="172" t="str">
        <x:v>CNOE</x:v>
      </x:c>
      <x:c r="AL3" s="172" t="str">
        <x:v>DETALLE CNOE</x:v>
      </x:c>
      <x:c r="AM3" s="172" t="str">
        <x:v>BAJA Y ALTA</x:v>
      </x:c>
    </x:row>
    <x:row r="4" s="63" customFormat="1">
      <x:c r="A4" s="181" t="str">
        <x:v>2163</x:v>
      </x:c>
      <x:c r="B4" s="181" t="str">
        <x:v>00316077</x:v>
      </x:c>
      <x:c r="C4" s="183" t="n">
        <x:v>46213.24652777778101</x:v>
      </x:c>
      <x:c r="D4" s="181" t="str">
        <x:v>011135005063573</x:v>
      </x:c>
      <x:c r="E4" s="181" t="str">
        <x:v>GROSA S.L.</x:v>
      </x:c>
      <x:c r="F4" s="181" t="str">
        <x:v>350051717411</x:v>
      </x:c>
      <x:c r="G4" s="181" t="str">
        <x:v>000052858843J</x:v>
      </x:c>
      <x:c r="H4" s="181" t="str">
        <x:v>LOPEZ GUERRERO, ANTONIO FRANCIS</x:v>
      </x:c>
      <x:c r="I4" s="183" t="n">
        <x:v>43691</x:v>
      </x:c>
      <x:c r="J4" s="183"/>
      <x:c r="K4" s="183" t="n">
        <x:v>46206</x:v>
      </x:c>
      <x:c r="L4" s="181" t="str">
        <x:v>1=Enfermedad común</x:v>
      </x:c>
      <x:c r="M4" s="181" t="str">
        <x:v>010=I.N.S.S.</x:v>
      </x:c>
      <x:c r="N4" s="181" t="str">
        <x:v>N=No</x:v>
      </x:c>
      <x:c r="O4" s="183"/>
      <x:c r="P4" s="183"/>
      <x:c r="Q4" s="185" t="n">
        <x:v>0</x:v>
      </x:c>
      <x:c r="R4" s="183"/>
      <x:c r="S4" s="181"/>
      <x:c r="T4" s="181" t="str">
        <x:v>S=Se acredita carencia</x:v>
      </x:c>
      <x:c r="U4" s="181" t="str">
        <x:v>3=Medio</x:v>
      </x:c>
      <x:c r="V4" s="181" t="n">
        <x:v>36</x:v>
      </x:c>
      <x:c r="W4" s="183"/>
      <x:c r="X4" s="181"/>
      <x:c r="Y4" s="183"/>
      <x:c r="Z4" s="181"/>
      <x:c r="AA4" s="181"/>
      <x:c r="AB4" s="181"/>
      <x:c r="AC4" s="181"/>
      <x:c r="AD4" s="181"/>
      <x:c r="AE4" s="181" t="str">
        <x:v>00</x:v>
      </x:c>
      <x:c r="AF4" t="str" s="181">
        <x:v>0</x:v>
      </x:c>
      <x:c r="AG4" s="181"/>
      <x:c r="AH4" s="181"/>
      <x:c r="AI4" s="181"/>
      <x:c r="AJ4" s="181"/>
      <x:c r="AK4" s="181">
        <x:f>IFERROR(VLOOKUP(AJ4,DETALLE_CNOE!$A:$C,3,FALSE),"")</x:f>
      </x:c>
      <x:c r="AL4" s="181">
        <x:f>IFERROR(VLOOKUP(AJ4,DETALLE_CNOE!$A:$C,2,FALSE),"")</x:f>
      </x:c>
      <x:c r="AM4" s="181"/>
    </x:row>
    <x:row r="5">
      <x:c r="A5" s="181" t="str">
        <x:v>1681</x:v>
      </x:c>
      <x:c r="B5" s="181" t="str">
        <x:v>00316077</x:v>
      </x:c>
      <x:c r="C5" s="183" t="n">
        <x:v>46213.24652777778101</x:v>
      </x:c>
      <x:c r="D5" s="181" t="str">
        <x:v>011135115989409</x:v>
      </x:c>
      <x:c r="E5" s="181" t="str">
        <x:v>TRANSPORTES Y GRUAS CARBALLO,SL</x:v>
      </x:c>
      <x:c r="F5" s="181" t="str">
        <x:v>351022156922</x:v>
      </x:c>
      <x:c r="G5" s="181" t="str">
        <x:v>000054081409Z</x:v>
      </x:c>
      <x:c r="H5" s="181" t="str">
        <x:v>SUAREZ SANTANA, DIONISIO ECHEDE</x:v>
      </x:c>
      <x:c r="I5" s="183" t="n">
        <x:v>45873</x:v>
      </x:c>
      <x:c r="J5" s="183"/>
      <x:c r="K5" s="183" t="n">
        <x:v>46128</x:v>
      </x:c>
      <x:c r="L5" s="181" t="str">
        <x:v>1=Enfermedad común</x:v>
      </x:c>
      <x:c r="M5" s="181" t="str">
        <x:v>151=A.S.E.P.E.Y.O.</x:v>
      </x:c>
      <x:c r="N5" s="181" t="str">
        <x:v>N=No</x:v>
      </x:c>
      <x:c r="O5" s="183"/>
      <x:c r="P5" s="183"/>
      <x:c r="Q5" s="185" t="n">
        <x:v>0</x:v>
      </x:c>
      <x:c r="R5" s="183"/>
      <x:c r="S5" s="181"/>
      <x:c r="T5" s="181" t="str">
        <x:v>S=Se acredita carencia</x:v>
      </x:c>
      <x:c r="U5" s="181" t="str">
        <x:v>4=Largo</x:v>
      </x:c>
      <x:c r="V5" s="181" t="n">
        <x:v>106</x:v>
      </x:c>
      <x:c r="W5" s="183"/>
      <x:c r="X5" s="181"/>
      <x:c r="Y5" s="183"/>
      <x:c r="Z5" s="181"/>
      <x:c r="AA5" s="181"/>
      <x:c r="AB5" s="181"/>
      <x:c r="AC5" s="181"/>
      <x:c r="AD5" s="181"/>
      <x:c r="AE5" s="181" t="str">
        <x:v>00</x:v>
      </x:c>
      <x:c r="AF5" s="181" t="str">
        <x:v>0</x:v>
      </x:c>
      <x:c r="AG5" s="181"/>
      <x:c r="AH5" s="181"/>
      <x:c r="AI5" s="181"/>
      <x:c r="AJ5" s="181"/>
      <x:c r="AK5" s="181">
        <x:f>IFERROR(VLOOKUP(AJ5,DETALLE_CNOE!$A:$C,3,FALSE),"")</x:f>
      </x:c>
      <x:c r="AL5" s="181">
        <x:f>IFERROR(VLOOKUP(AJ5,DETALLE_CNOE!$A:$C,2,FALSE),"")</x:f>
      </x:c>
      <x:c r="AM5" s="181"/>
    </x:row>
    <x:row r="6">
      <x:c r="A6" s="181" t="str">
        <x:v>2290</x:v>
      </x:c>
      <x:c r="B6" s="181" t="str">
        <x:v>00316077</x:v>
      </x:c>
      <x:c r="C6" s="183" t="n">
        <x:v>46213.24652777778101</x:v>
      </x:c>
      <x:c r="D6" s="181" t="str">
        <x:v>011135121800214</x:v>
      </x:c>
      <x:c r="E6" s="181" t="str">
        <x:v>CANARY GREEN CORNER, S.L.U.</x:v>
      </x:c>
      <x:c r="F6" s="181" t="str">
        <x:v>350059932196</x:v>
      </x:c>
      <x:c r="G6" s="181" t="str">
        <x:v>000052839257T</x:v>
      </x:c>
      <x:c r="H6" s="181" t="str">
        <x:v>CORDERO GONZALEZ, JOSE TOMAS</x:v>
      </x:c>
      <x:c r="I6" s="183" t="n">
        <x:v>44252</x:v>
      </x:c>
      <x:c r="J6" s="183"/>
      <x:c r="K6" s="183" t="n">
        <x:v>46177</x:v>
      </x:c>
      <x:c r="L6" s="181" t="str">
        <x:v>1=Enfermedad común</x:v>
      </x:c>
      <x:c r="M6" s="181" t="str">
        <x:v>151=A.S.E.P.E.Y.O.</x:v>
      </x:c>
      <x:c r="N6" s="181" t="str">
        <x:v>N=No</x:v>
      </x:c>
      <x:c r="O6" s="183"/>
      <x:c r="P6" s="183"/>
      <x:c r="Q6" s="185" t="n">
        <x:v>0</x:v>
      </x:c>
      <x:c r="R6" s="183"/>
      <x:c r="S6" s="181"/>
      <x:c r="T6" s="181" t="str">
        <x:v>S=Se acredita carencia</x:v>
      </x:c>
      <x:c r="U6" s="181" t="str">
        <x:v>3=Medio</x:v>
      </x:c>
      <x:c r="V6" s="181" t="n">
        <x:v>50</x:v>
      </x:c>
      <x:c r="W6" s="183"/>
      <x:c r="X6" s="181"/>
      <x:c r="Y6" s="183"/>
      <x:c r="Z6" s="181"/>
      <x:c r="AA6" s="181"/>
      <x:c r="AB6" s="181"/>
      <x:c r="AC6" s="181"/>
      <x:c r="AD6" s="181"/>
      <x:c r="AE6" s="181" t="str">
        <x:v>00</x:v>
      </x:c>
      <x:c r="AF6" s="181" t="str">
        <x:v>0</x:v>
      </x:c>
      <x:c r="AG6" s="181"/>
      <x:c r="AH6" s="181"/>
      <x:c r="AI6" s="181"/>
      <x:c r="AJ6" s="181"/>
      <x:c r="AK6" s="181">
        <x:f>IFERROR(VLOOKUP(AJ6,DETALLE_CNOE!$A:$C,3,FALSE),"")</x:f>
      </x:c>
      <x:c r="AL6" s="181">
        <x:f>IFERROR(VLOOKUP(AJ6,DETALLE_CNOE!$A:$C,2,FALSE),"")</x:f>
      </x:c>
      <x:c r="AM6" s="181"/>
    </x:row>
    <x:row r="7">
      <x:c r="A7" s="181" t="str">
        <x:v>1476</x:v>
      </x:c>
      <x:c r="B7" s="181" t="str">
        <x:v>00316077</x:v>
      </x:c>
      <x:c r="C7" s="183" t="n">
        <x:v>46213.24652777778101</x:v>
      </x:c>
      <x:c r="D7" s="181" t="str">
        <x:v>011138100817633</x:v>
      </x:c>
      <x:c r="E7" s="181" t="str">
        <x:v>ALUMINIOS CARPAL S.L.</x:v>
      </x:c>
      <x:c r="F7" s="181" t="str">
        <x:v>381006096300</x:v>
      </x:c>
      <x:c r="G7" s="181" t="str">
        <x:v>000078705669Z</x:v>
      </x:c>
      <x:c r="H7" s="181" t="str">
        <x:v>MENDEZ ALAMO, ESTEBAN DAVID</x:v>
      </x:c>
      <x:c r="I7" s="183" t="n">
        <x:v>45923</x:v>
      </x:c>
      <x:c r="J7" s="183"/>
      <x:c r="K7" s="183" t="n">
        <x:v>45966</x:v>
      </x:c>
      <x:c r="L7" s="181" t="str">
        <x:v>1=Enfermedad común</x:v>
      </x:c>
      <x:c r="M7" s="181" t="str">
        <x:v>151=A.S.E.P.E.Y.O.</x:v>
      </x:c>
      <x:c r="N7" s="181" t="str">
        <x:v>N=No</x:v>
      </x:c>
      <x:c r="O7" s="183"/>
      <x:c r="P7" s="183"/>
      <x:c r="Q7" s="185" t="n">
        <x:v>0</x:v>
      </x:c>
      <x:c r="R7" s="183"/>
      <x:c r="S7" s="181"/>
      <x:c r="T7" s="181" t="str">
        <x:v>S=Se acredita carencia</x:v>
      </x:c>
      <x:c r="U7" s="181" t="str">
        <x:v>4=Largo</x:v>
      </x:c>
      <x:c r="V7" s="181" t="n">
        <x:v>267</x:v>
      </x:c>
      <x:c r="W7" s="183"/>
      <x:c r="X7" s="181"/>
      <x:c r="Y7" s="183"/>
      <x:c r="Z7" s="181"/>
      <x:c r="AA7" s="181"/>
      <x:c r="AB7" s="181"/>
      <x:c r="AC7" s="181"/>
      <x:c r="AD7" s="181"/>
      <x:c r="AE7" s="181" t="str">
        <x:v>00</x:v>
      </x:c>
      <x:c r="AF7" s="181" t="str">
        <x:v>0</x:v>
      </x:c>
      <x:c r="AG7" s="181"/>
      <x:c r="AH7" s="181"/>
      <x:c r="AI7" s="181"/>
      <x:c r="AJ7" s="181"/>
      <x:c r="AK7" s="181">
        <x:f>IFERROR(VLOOKUP(AJ7,DETALLE_CNOE!$A:$C,3,FALSE),"")</x:f>
      </x:c>
      <x:c r="AL7" s="181">
        <x:f>IFERROR(VLOOKUP(AJ7,DETALLE_CNOE!$A:$C,2,FALSE),"")</x:f>
      </x:c>
      <x:c r="AM7" s="181"/>
    </x:row>
    <x:row r="8">
      <x:c r="A8" s="181" t="str">
        <x:v>1378</x:v>
      </x:c>
      <x:c r="B8" s="181" t="str">
        <x:v>00316077</x:v>
      </x:c>
      <x:c r="C8" s="183" t="n">
        <x:v>46213.24652777778101</x:v>
      </x:c>
      <x:c r="D8" s="181" t="str">
        <x:v>011138102537361</x:v>
      </x:c>
      <x:c r="E8" s="181" t="str">
        <x:v>CARGRI, S.L.</x:v>
      </x:c>
      <x:c r="F8" s="181" t="str">
        <x:v>381033206685</x:v>
      </x:c>
      <x:c r="G8" s="181" t="str">
        <x:v>000042419345P</x:v>
      </x:c>
      <x:c r="H8" s="181" t="str">
        <x:v>VARGAS SANTANA, MANUEL ARTURO</x:v>
      </x:c>
      <x:c r="I8" s="183" t="n">
        <x:v>45003</x:v>
      </x:c>
      <x:c r="J8" s="183"/>
      <x:c r="K8" s="183" t="n">
        <x:v>46206</x:v>
      </x:c>
      <x:c r="L8" s="181" t="str">
        <x:v>1=Enfermedad común</x:v>
      </x:c>
      <x:c r="M8" s="181" t="str">
        <x:v>275=FRATERNIDAD-MUPRESPA</x:v>
      </x:c>
      <x:c r="N8" s="181" t="str">
        <x:v>N=No</x:v>
      </x:c>
      <x:c r="O8" s="183"/>
      <x:c r="P8" s="183"/>
      <x:c r="Q8" s="185" t="n">
        <x:v>0</x:v>
      </x:c>
      <x:c r="R8" s="183"/>
      <x:c r="S8" s="181"/>
      <x:c r="T8" s="181" t="str">
        <x:v>S=Se acredita carencia</x:v>
      </x:c>
      <x:c r="U8" s="181" t="str">
        <x:v>2=Corto</x:v>
      </x:c>
      <x:c r="V8" s="181" t="n">
        <x:v>12</x:v>
      </x:c>
      <x:c r="W8" s="183" t="n">
        <x:v>46212</x:v>
      </x:c>
      <x:c r="X8" s="181" t="str">
        <x:v>06=Mejoría que permite realizar trabajo habitual</x:v>
      </x:c>
      <x:c r="Y8" s="183" t="n">
        <x:v>46212</x:v>
      </x:c>
      <x:c r="Z8" s="181" t="str">
        <x:v>06=Mejoría que permite realizar trabajo habitual</x:v>
      </x:c>
      <x:c r="AA8" s="181"/>
      <x:c r="AB8" s="181"/>
      <x:c r="AC8" s="181"/>
      <x:c r="AD8" s="181"/>
      <x:c r="AE8" s="181" t="str">
        <x:v>00</x:v>
      </x:c>
      <x:c r="AF8" s="181" t="str">
        <x:v>0</x:v>
      </x:c>
      <x:c r="AG8" s="181"/>
      <x:c r="AH8" s="181"/>
      <x:c r="AI8" s="181"/>
      <x:c r="AJ8" s="181"/>
      <x:c r="AK8" s="181">
        <x:f>IFERROR(VLOOKUP(AJ8,DETALLE_CNOE!$A:$C,3,FALSE),"")</x:f>
      </x:c>
      <x:c r="AL8" s="181">
        <x:f>IFERROR(VLOOKUP(AJ8,DETALLE_CNOE!$A:$C,2,FALSE),"")</x:f>
      </x:c>
      <x:c r="AM8" s="181"/>
    </x:row>
    <x:row r="9">
      <x:c r="A9" s="181" t="str">
        <x:v>0347</x:v>
      </x:c>
      <x:c r="B9" s="181" t="str">
        <x:v>00316077</x:v>
      </x:c>
      <x:c r="C9" s="183" t="n">
        <x:v>46213.24652777778101</x:v>
      </x:c>
      <x:c r="D9" s="181" t="str">
        <x:v>011138104325700</x:v>
      </x:c>
      <x:c r="E9" s="181" t="str">
        <x:v>COMESA CANARIAS,S.L.U.</x:v>
      </x:c>
      <x:c r="F9" s="181" t="str">
        <x:v>381009516760</x:v>
      </x:c>
      <x:c r="G9" s="181" t="str">
        <x:v>000078618986H</x:v>
      </x:c>
      <x:c r="H9" s="181" t="str">
        <x:v>YANES PACHECO, JESUS DANIEL</x:v>
      </x:c>
      <x:c r="I9" s="183" t="n">
        <x:v>45497</x:v>
      </x:c>
      <x:c r="J9" s="183"/>
      <x:c r="K9" s="183" t="n">
        <x:v>46204</x:v>
      </x:c>
      <x:c r="L9" s="181" t="str">
        <x:v>1=Enfermedad común</x:v>
      </x:c>
      <x:c r="M9" s="181" t="str">
        <x:v>183=MUTUA BALEAR</x:v>
      </x:c>
      <x:c r="N9" s="181" t="str">
        <x:v>N=No</x:v>
      </x:c>
      <x:c r="O9" s="183"/>
      <x:c r="P9" s="183"/>
      <x:c r="Q9" s="185" t="n">
        <x:v>0</x:v>
      </x:c>
      <x:c r="R9" s="183"/>
      <x:c r="S9" s="181"/>
      <x:c r="T9" s="181" t="str">
        <x:v>S=Se acredita carencia</x:v>
      </x:c>
      <x:c r="U9" s="181" t="str">
        <x:v>2=Corto</x:v>
      </x:c>
      <x:c r="V9" s="181" t="n">
        <x:v>29</x:v>
      </x:c>
      <x:c r="W9" s="183" t="n">
        <x:v>46211</x:v>
      </x:c>
      <x:c r="X9" s="181" t="str">
        <x:v>06=Mejoría que permite realizar trabajo habitual</x:v>
      </x:c>
      <x:c r="Y9" s="183" t="n">
        <x:v>46211</x:v>
      </x:c>
      <x:c r="Z9" s="181" t="str">
        <x:v>06=Mejoría que permite realizar trabajo habitual</x:v>
      </x:c>
      <x:c r="AA9" s="181"/>
      <x:c r="AB9" s="181"/>
      <x:c r="AC9" s="181"/>
      <x:c r="AD9" s="181"/>
      <x:c r="AE9" s="181" t="str">
        <x:v>00</x:v>
      </x:c>
      <x:c r="AF9" s="181" t="str">
        <x:v>0</x:v>
      </x:c>
      <x:c r="AG9" s="181"/>
      <x:c r="AH9" s="181"/>
      <x:c r="AI9" s="181"/>
      <x:c r="AJ9" s="181"/>
      <x:c r="AK9" s="181">
        <x:f>IFERROR(VLOOKUP(AJ9,DETALLE_CNOE!$A:$C,3,FALSE),"")</x:f>
      </x:c>
      <x:c r="AL9" s="181">
        <x:f>IFERROR(VLOOKUP(AJ9,DETALLE_CNOE!$A:$C,2,FALSE),"")</x:f>
      </x:c>
      <x:c r="AM9" s="181"/>
    </x:row>
    <x:row r="10">
      <x:c r="A10" s="181" t="str">
        <x:v>1010</x:v>
      </x:c>
      <x:c r="B10" s="181" t="str">
        <x:v>00316077</x:v>
      </x:c>
      <x:c r="C10" s="183" t="n">
        <x:v>46213.24652777778101</x:v>
      </x:c>
      <x:c r="D10" s="181" t="str">
        <x:v>011138107526595</x:v>
      </x:c>
      <x:c r="E10" s="181" t="str">
        <x:v>HERNANDEZ           ALONSO              ESTEBAN DOMINGO</x:v>
      </x:c>
      <x:c r="F10" s="181" t="str">
        <x:v>381014777695</x:v>
      </x:c>
      <x:c r="G10" s="181" t="str">
        <x:v>000078568960V</x:v>
      </x:c>
      <x:c r="H10" s="181" t="str">
        <x:v>HERNANDEZ TRUJILLO, JOSE IVAN</x:v>
      </x:c>
      <x:c r="I10" s="183" t="n">
        <x:v>45495</x:v>
      </x:c>
      <x:c r="J10" s="183"/>
      <x:c r="K10" s="183" t="n">
        <x:v>46098</x:v>
      </x:c>
      <x:c r="L10" s="181" t="str">
        <x:v>1=Enfermedad común</x:v>
      </x:c>
      <x:c r="M10" s="181" t="str">
        <x:v>010=I.N.S.S.</x:v>
      </x:c>
      <x:c r="N10" s="181" t="str">
        <x:v>N=No</x:v>
      </x:c>
      <x:c r="O10" s="183"/>
      <x:c r="P10" s="183"/>
      <x:c r="Q10" s="185" t="n">
        <x:v>0</x:v>
      </x:c>
      <x:c r="R10" s="183"/>
      <x:c r="S10" s="181"/>
      <x:c r="T10" s="181" t="str">
        <x:v>S=Se acredita carencia</x:v>
      </x:c>
      <x:c r="U10" s="181" t="str">
        <x:v>4=Largo</x:v>
      </x:c>
      <x:c r="V10" s="181" t="n">
        <x:v>150</x:v>
      </x:c>
      <x:c r="W10" s="183"/>
      <x:c r="X10" s="181"/>
      <x:c r="Y10" s="183"/>
      <x:c r="Z10" s="181"/>
      <x:c r="AA10" s="181"/>
      <x:c r="AB10" s="181"/>
      <x:c r="AC10" s="181"/>
      <x:c r="AD10" s="181"/>
      <x:c r="AE10" s="181" t="str">
        <x:v>00</x:v>
      </x:c>
      <x:c r="AF10" s="181" t="str">
        <x:v>0</x:v>
      </x:c>
      <x:c r="AG10" s="181"/>
      <x:c r="AH10" s="181"/>
      <x:c r="AI10" s="181"/>
      <x:c r="AJ10" s="181"/>
      <x:c r="AK10" s="181">
        <x:f>IFERROR(VLOOKUP(AJ10,DETALLE_CNOE!$A:$C,3,FALSE),"")</x:f>
      </x:c>
      <x:c r="AL10" s="181">
        <x:f>IFERROR(VLOOKUP(AJ10,DETALLE_CNOE!$A:$C,2,FALSE),"")</x:f>
      </x:c>
      <x:c r="AM10" s="181"/>
    </x:row>
    <x:row r="11">
      <x:c r="A11" s="181" t="str">
        <x:v>1764</x:v>
      </x:c>
      <x:c r="B11" s="181" t="str">
        <x:v>00316077</x:v>
      </x:c>
      <x:c r="C11" s="183" t="n">
        <x:v>46213.24652777778101</x:v>
      </x:c>
      <x:c r="D11" s="181" t="str">
        <x:v>011138112389632</x:v>
      </x:c>
      <x:c r="E11" s="181" t="str">
        <x:v>CONSTRUCCIONES GONZALEZ HERRERA SL</x:v>
      </x:c>
      <x:c r="F11" s="181" t="str">
        <x:v>381052392073</x:v>
      </x:c>
      <x:c r="G11" s="181" t="str">
        <x:v>000078723354N</x:v>
      </x:c>
      <x:c r="H11" s="181" t="str">
        <x:v>MESA NEGRIN, JOSUHA</x:v>
      </x:c>
      <x:c r="I11" s="183" t="n">
        <x:v>46181</x:v>
      </x:c>
      <x:c r="J11" s="183" t="n">
        <x:v>46212</x:v>
      </x:c>
      <x:c r="K11" s="183" t="n">
        <x:v>46211</x:v>
      </x:c>
      <x:c r="L11" s="181" t="str">
        <x:v>1=Enfermedad común</x:v>
      </x:c>
      <x:c r="M11" s="181" t="str">
        <x:v>777=I.N.S.S.</x:v>
      </x:c>
      <x:c r="N11" s="181" t="str">
        <x:v>N=No</x:v>
      </x:c>
      <x:c r="O11" s="183"/>
      <x:c r="P11" s="183"/>
      <x:c r="Q11" s="185" t="n">
        <x:v>0</x:v>
      </x:c>
      <x:c r="R11" s="183"/>
      <x:c r="S11" s="181"/>
      <x:c r="T11" s="181" t="str">
        <x:v>S=Se acredita carencia</x:v>
      </x:c>
      <x:c r="U11" s="181" t="str">
        <x:v>1=Muy corto</x:v>
      </x:c>
      <x:c r="V11" s="181" t="n">
        <x:v>1</x:v>
      </x:c>
      <x:c r="W11" s="183" t="n">
        <x:v>46211</x:v>
      </x:c>
      <x:c r="X11" s="181" t="str">
        <x:v>06=Mejoría que permite realizar trabajo habitual</x:v>
      </x:c>
      <x:c r="Y11" s="183" t="n">
        <x:v>46211</x:v>
      </x:c>
      <x:c r="Z11" s="181" t="str">
        <x:v>06=Mejoría que permite realizar trabajo habitual</x:v>
      </x:c>
      <x:c r="AA11" s="181"/>
      <x:c r="AB11" s="181"/>
      <x:c r="AC11" s="181"/>
      <x:c r="AD11" s="181"/>
      <x:c r="AE11" s="181" t="str">
        <x:v>00</x:v>
      </x:c>
      <x:c r="AF11" s="181" t="str">
        <x:v>0</x:v>
      </x:c>
      <x:c r="AG11" s="181"/>
      <x:c r="AH11" s="181"/>
      <x:c r="AI11" s="181"/>
      <x:c r="AJ11" s="181"/>
      <x:c r="AK11" s="181">
        <x:f>IFERROR(VLOOKUP(AJ11,DETALLE_CNOE!$A:$C,3,FALSE),"")</x:f>
      </x:c>
      <x:c r="AL11" s="181">
        <x:f>IFERROR(VLOOKUP(AJ11,DETALLE_CNOE!$A:$C,2,FALSE),"")</x:f>
      </x:c>
      <x:c r="AM11" s="181"/>
    </x:row>
    <x:row r="12">
      <x:c r="A12" s="181" t="str">
        <x:v>0699</x:v>
      </x:c>
      <x:c r="B12" s="181" t="str">
        <x:v>00316077</x:v>
      </x:c>
      <x:c r="C12" s="183" t="n">
        <x:v>46213.24652777778101</x:v>
      </x:c>
      <x:c r="D12" s="181" t="str">
        <x:v>011138113510687</x:v>
      </x:c>
      <x:c r="E12" s="181" t="str">
        <x:v>IZQUIERDO           IZQUIERDO           MANUEL JESUS</x:v>
      </x:c>
      <x:c r="F12" s="181" t="str">
        <x:v>381028306569</x:v>
      </x:c>
      <x:c r="G12" s="181" t="str">
        <x:v>000078637285D</x:v>
      </x:c>
      <x:c r="H12" s="181" t="str">
        <x:v>GONZALEZ BARROSO, CARLOS ANTONIO</x:v>
      </x:c>
      <x:c r="I12" s="183" t="n">
        <x:v>46104</x:v>
      </x:c>
      <x:c r="J12" s="183"/>
      <x:c r="K12" s="183" t="n">
        <x:v>46160</x:v>
      </x:c>
      <x:c r="L12" s="181" t="str">
        <x:v>3=Accidente de Trabajo</x:v>
      </x:c>
      <x:c r="M12" s="181" t="str">
        <x:v>010=I.N.S.S.</x:v>
      </x:c>
      <x:c r="N12" s="181" t="str">
        <x:v>N=No</x:v>
      </x:c>
      <x:c r="O12" s="183"/>
      <x:c r="P12" s="183"/>
      <x:c r="Q12" s="185" t="n">
        <x:v>0</x:v>
      </x:c>
      <x:c r="R12" s="183"/>
      <x:c r="S12" s="181"/>
      <x:c r="T12" s="181" t="str">
        <x:v>S=Se acredita carencia</x:v>
      </x:c>
      <x:c r="U12" s="181" t="str">
        <x:v>4=Largo</x:v>
      </x:c>
      <x:c r="V12" s="181" t="n">
        <x:v>61</x:v>
      </x:c>
      <x:c r="W12" s="183"/>
      <x:c r="X12" s="181"/>
      <x:c r="Y12" s="183"/>
      <x:c r="Z12" s="181"/>
      <x:c r="AA12" s="181"/>
      <x:c r="AB12" s="181"/>
      <x:c r="AC12" s="181"/>
      <x:c r="AD12" s="181"/>
      <x:c r="AE12" s="181" t="str">
        <x:v>00</x:v>
      </x:c>
      <x:c r="AF12" s="181" t="str">
        <x:v>0</x:v>
      </x:c>
      <x:c r="AG12" s="181"/>
      <x:c r="AH12" s="181"/>
      <x:c r="AI12" s="181"/>
      <x:c r="AJ12" s="181"/>
      <x:c r="AK12" s="181">
        <x:f>IFERROR(VLOOKUP(AJ12,DETALLE_CNOE!$A:$C,3,FALSE),"")</x:f>
      </x:c>
      <x:c r="AL12" s="181">
        <x:f>IFERROR(VLOOKUP(AJ12,DETALLE_CNOE!$A:$C,2,FALSE),"")</x:f>
      </x:c>
      <x:c r="AM12" s="181"/>
    </x:row>
    <x:row r="13">
      <x:c r="A13" s="181" t="str">
        <x:v>1846</x:v>
      </x:c>
      <x:c r="B13" s="181" t="str">
        <x:v>00316077</x:v>
      </x:c>
      <x:c r="C13" s="183" t="n">
        <x:v>46213.24652777778101</x:v>
      </x:c>
      <x:c r="D13" s="181" t="str">
        <x:v>011138120237336</x:v>
      </x:c>
      <x:c r="E13" s="181" t="str">
        <x:v>MARTOS              DIAZ                DANIEL</x:v>
      </x:c>
      <x:c r="F13" s="181" t="str">
        <x:v>380052663702</x:v>
      </x:c>
      <x:c r="G13" s="181" t="str">
        <x:v>000043785392Q</x:v>
      </x:c>
      <x:c r="H13" s="181" t="str">
        <x:v>MESA LLAMERA, CARMEN A</x:v>
      </x:c>
      <x:c r="I13" s="183" t="n">
        <x:v>45043</x:v>
      </x:c>
      <x:c r="J13" s="183"/>
      <x:c r="K13" s="183" t="n">
        <x:v>46142</x:v>
      </x:c>
      <x:c r="L13" s="181" t="str">
        <x:v>1=Enfermedad común</x:v>
      </x:c>
      <x:c r="M13" s="181" t="str">
        <x:v>275=FRATERNIDAD-MUPRESPA</x:v>
      </x:c>
      <x:c r="N13" s="181" t="str">
        <x:v>N=No</x:v>
      </x:c>
      <x:c r="O13" s="183"/>
      <x:c r="P13" s="183"/>
      <x:c r="Q13" s="185" t="n">
        <x:v>0</x:v>
      </x:c>
      <x:c r="R13" s="183"/>
      <x:c r="S13" s="181"/>
      <x:c r="T13" s="181" t="str">
        <x:v>S=Se acredita carencia</x:v>
      </x:c>
      <x:c r="U13" s="181" t="str">
        <x:v>4=Largo</x:v>
      </x:c>
      <x:c r="V13" s="181" t="n">
        <x:v>92</x:v>
      </x:c>
      <x:c r="W13" s="183"/>
      <x:c r="X13" s="181"/>
      <x:c r="Y13" s="183"/>
      <x:c r="Z13" s="181"/>
      <x:c r="AA13" s="181"/>
      <x:c r="AB13" s="181"/>
      <x:c r="AC13" s="181"/>
      <x:c r="AD13" s="181"/>
      <x:c r="AE13" s="181" t="str">
        <x:v>00</x:v>
      </x:c>
      <x:c r="AF13" s="181" t="str">
        <x:v>0</x:v>
      </x:c>
      <x:c r="AG13" s="181"/>
      <x:c r="AH13" s="181"/>
      <x:c r="AI13" s="181"/>
      <x:c r="AJ13" s="181"/>
      <x:c r="AK13" s="181">
        <x:f>IFERROR(VLOOKUP(AJ13,DETALLE_CNOE!$A:$C,3,FALSE),"")</x:f>
      </x:c>
      <x:c r="AL13" s="181">
        <x:f>IFERROR(VLOOKUP(AJ13,DETALLE_CNOE!$A:$C,2,FALSE),"")</x:f>
      </x:c>
      <x:c r="AM13" s="181"/>
    </x:row>
    <x:row r="14">
      <x:c r="A14" s="181" t="str">
        <x:v>2273</x:v>
      </x:c>
      <x:c r="B14" s="181" t="str">
        <x:v>00316077</x:v>
      </x:c>
      <x:c r="C14" s="183" t="n">
        <x:v>46213.24652777778101</x:v>
      </x:c>
      <x:c r="D14" s="181" t="str">
        <x:v>011138120789327</x:v>
      </x:c>
      <x:c r="E14" s="181" t="str">
        <x:v>JOBEGELA SL</x:v>
      </x:c>
      <x:c r="F14" s="181" t="str">
        <x:v>381056325324</x:v>
      </x:c>
      <x:c r="G14" s="181" t="str">
        <x:v>000043835401T</x:v>
      </x:c>
      <x:c r="H14" s="181" t="str">
        <x:v>ROSALES CARRILLO, ELIANA</x:v>
      </x:c>
      <x:c r="I14" s="183" t="n">
        <x:v>44319</x:v>
      </x:c>
      <x:c r="J14" s="183"/>
      <x:c r="K14" s="183" t="n">
        <x:v>46212</x:v>
      </x:c>
      <x:c r="L14" s="181" t="str">
        <x:v>1=Enfermedad común</x:v>
      </x:c>
      <x:c r="M14" s="181" t="str">
        <x:v>151=A.S.E.P.E.Y.O.</x:v>
      </x:c>
      <x:c r="N14" s="181" t="str">
        <x:v>N=No</x:v>
      </x:c>
      <x:c r="O14" s="183"/>
      <x:c r="P14" s="183"/>
      <x:c r="Q14" s="185" t="n">
        <x:v>0</x:v>
      </x:c>
      <x:c r="R14" s="183"/>
      <x:c r="S14" s="181"/>
      <x:c r="T14" s="181" t="str">
        <x:v>S=Se acredita carencia</x:v>
      </x:c>
      <x:c r="U14" s="181" t="str">
        <x:v>1=Muy corto</x:v>
      </x:c>
      <x:c r="V14" s="181" t="n">
        <x:v>4</x:v>
      </x:c>
      <x:c r="W14" s="183"/>
      <x:c r="X14" s="181"/>
      <x:c r="Y14" s="183"/>
      <x:c r="Z14" s="181"/>
      <x:c r="AA14" s="181"/>
      <x:c r="AB14" s="181"/>
      <x:c r="AC14" s="181"/>
      <x:c r="AD14" s="181"/>
      <x:c r="AE14" s="181" t="str">
        <x:v>00</x:v>
      </x:c>
      <x:c r="AF14" s="181" t="str">
        <x:v>0</x:v>
      </x:c>
      <x:c r="AG14" s="181"/>
      <x:c r="AH14" s="181"/>
      <x:c r="AI14" s="181"/>
      <x:c r="AJ14" s="181"/>
      <x:c r="AK14" s="181">
        <x:f>IFERROR(VLOOKUP(AJ14,DETALLE_CNOE!$A:$C,3,FALSE),"")</x:f>
      </x:c>
      <x:c r="AL14" s="181">
        <x:f>IFERROR(VLOOKUP(AJ14,DETALLE_CNOE!$A:$C,2,FALSE),"")</x:f>
      </x:c>
      <x:c r="AM14" s="181"/>
    </x:row>
    <x:row r="15">
      <x:c r="A15" s="181" t="str">
        <x:v>2593</x:v>
      </x:c>
      <x:c r="B15" s="181" t="str">
        <x:v>00316077</x:v>
      </x:c>
      <x:c r="C15" s="183" t="n">
        <x:v>46213.24652777778101</x:v>
      </x:c>
      <x:c r="D15" s="181" t="str">
        <x:v>011138123326683</x:v>
      </x:c>
      <x:c r="E15" s="181" t="str">
        <x:v>HERNANDEZ           VIZCAINO            ALAIN MAHY</x:v>
      </x:c>
      <x:c r="F15" s="181" t="str">
        <x:v>381022004502</x:v>
      </x:c>
      <x:c r="G15" s="181" t="str">
        <x:v>000042068959G</x:v>
      </x:c>
      <x:c r="H15" s="181" t="str">
        <x:v>HERNANDEZ RODRIGUEZ, MARIA CANDELARI</x:v>
      </x:c>
      <x:c r="I15" s="183" t="n">
        <x:v>45748</x:v>
      </x:c>
      <x:c r="J15" s="183"/>
      <x:c r="K15" s="183" t="n">
        <x:v>45854</x:v>
      </x:c>
      <x:c r="L15" s="181" t="str">
        <x:v>1=Enfermedad común</x:v>
      </x:c>
      <x:c r="M15" s="181" t="str">
        <x:v>272=M.A.C. MUTUA DE ACCIDENTES CANARIA</x:v>
      </x:c>
      <x:c r="N15" s="181" t="str">
        <x:v>N=No</x:v>
      </x:c>
      <x:c r="O15" s="183"/>
      <x:c r="P15" s="183"/>
      <x:c r="Q15" s="185" t="n">
        <x:v>0</x:v>
      </x:c>
      <x:c r="R15" s="183"/>
      <x:c r="S15" s="181"/>
      <x:c r="T15" s="181" t="str">
        <x:v>S=Se acredita carencia</x:v>
      </x:c>
      <x:c r="U15" s="181" t="str">
        <x:v>4=Largo</x:v>
      </x:c>
      <x:c r="V15" s="181" t="n">
        <x:v>365</x:v>
      </x:c>
      <x:c r="W15" s="183"/>
      <x:c r="X15" s="181"/>
      <x:c r="Y15" s="183"/>
      <x:c r="Z15" s="181"/>
      <x:c r="AA15" s="181"/>
      <x:c r="AB15" s="181"/>
      <x:c r="AC15" s="181"/>
      <x:c r="AD15" s="181"/>
      <x:c r="AE15" s="181" t="str">
        <x:v>00</x:v>
      </x:c>
      <x:c r="AF15" s="181" t="str">
        <x:v>0</x:v>
      </x:c>
      <x:c r="AG15" s="181"/>
      <x:c r="AH15" s="181"/>
      <x:c r="AI15" s="181"/>
      <x:c r="AJ15" s="181"/>
      <x:c r="AK15" s="181">
        <x:f>IFERROR(VLOOKUP(AJ15,DETALLE_CNOE!$A:$C,3,FALSE),"")</x:f>
      </x:c>
      <x:c r="AL15" s="181">
        <x:f>IFERROR(VLOOKUP(AJ15,DETALLE_CNOE!$A:$C,2,FALSE),"")</x:f>
      </x:c>
      <x:c r="AM15" s="181"/>
    </x:row>
    <x:row r="16">
      <x:c r="A16" s="181"/>
      <x:c r="B16" s="181" t="str">
        <x:v>00316077</x:v>
      </x:c>
      <x:c r="C16" s="183" t="n">
        <x:v>46213.24652777778101</x:v>
      </x:c>
      <x:c r="D16" s="181" t="str">
        <x:v>0521</x:v>
      </x:c>
      <x:c r="E16" s="181"/>
      <x:c r="F16" s="181" t="str">
        <x:v>460174843312</x:v>
      </x:c>
      <x:c r="G16" s="181" t="str">
        <x:v>000042836127F</x:v>
      </x:c>
      <x:c r="H16" s="181" t="str">
        <x:v>SERRA GENOVES, JOSE JAVIER</x:v>
      </x:c>
      <x:c r="I16" s="183" t="n">
        <x:v>37316</x:v>
      </x:c>
      <x:c r="J16" s="183"/>
      <x:c r="K16" s="183" t="n">
        <x:v>46191</x:v>
      </x:c>
      <x:c r="L16" s="181" t="str">
        <x:v>1=Enfermedad común</x:v>
      </x:c>
      <x:c r="M16" s="181" t="str">
        <x:v>061=F.R.E.M.A.P.</x:v>
      </x:c>
      <x:c r="N16" s="181" t="str">
        <x:v>N=No</x:v>
      </x:c>
      <x:c r="O16" s="183"/>
      <x:c r="P16" s="183"/>
      <x:c r="Q16" s="185" t="n">
        <x:v>0</x:v>
      </x:c>
      <x:c r="R16" s="183"/>
      <x:c r="S16" s="181"/>
      <x:c r="T16" s="181" t="str">
        <x:v>S=Se acredita carencia</x:v>
      </x:c>
      <x:c r="U16" s="181" t="str">
        <x:v>3=Medio</x:v>
      </x:c>
      <x:c r="V16" s="181" t="n">
        <x:v>36</x:v>
      </x:c>
      <x:c r="W16" s="183" t="n">
        <x:v>46191</x:v>
      </x:c>
      <x:c r="X16" s="181" t="str">
        <x:v>16=Pase a Pago Directo del INSS/ISM/Mutua</x:v>
      </x:c>
      <x:c r="Y16" s="183"/>
      <x:c r="Z16" s="181"/>
      <x:c r="AA16" s="181"/>
      <x:c r="AB16" s="181"/>
      <x:c r="AC16" s="181"/>
      <x:c r="AD16" s="181"/>
      <x:c r="AE16" s="181" t="str">
        <x:v>00</x:v>
      </x:c>
      <x:c r="AF16" s="181" t="str">
        <x:v>0</x:v>
      </x:c>
      <x:c r="AG16" s="181"/>
      <x:c r="AH16" s="181"/>
      <x:c r="AI16" s="181"/>
      <x:c r="AJ16" s="181"/>
      <x:c r="AK16" s="181">
        <x:f>IFERROR(VLOOKUP(AJ16,DETALLE_CNOE!$A:$C,3,FALSE),"")</x:f>
      </x:c>
      <x:c r="AL16" s="181">
        <x:f>IFERROR(VLOOKUP(AJ16,DETALLE_CNOE!$A:$C,2,FALSE),"")</x:f>
      </x:c>
      <x:c r="AM16" s="181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1"/>
      <x:c r="N17" s="181"/>
      <x:c r="O17" s="183"/>
      <x:c r="P17" s="183"/>
      <x:c r="Q17" s="185"/>
      <x:c r="R17" s="183"/>
      <x:c r="S17" s="181"/>
      <x:c r="T17" s="181"/>
      <x:c r="U17" s="181"/>
      <x:c r="V17" s="181"/>
      <x:c r="W17" s="183"/>
      <x:c r="X17" s="181"/>
      <x:c r="Y17" s="183"/>
      <x:c r="Z17" s="181"/>
      <x:c r="AA17" s="181"/>
      <x:c r="AB17" s="181"/>
      <x:c r="AC17" s="181"/>
      <x:c r="AD17" s="181"/>
      <x:c r="AE17" s="181"/>
      <x:c r="AF17" s="181"/>
      <x:c r="AG17" s="181"/>
      <x:c r="AH17" s="181"/>
      <x:c r="AI17" s="181"/>
      <x:c r="AJ17" s="181"/>
      <x:c r="AK17" s="181">
        <x:f>IFERROR(VLOOKUP(AJ17,DETALLE_CNOE!$A:$C,3,FALSE),"")</x:f>
      </x:c>
      <x:c r="AL17" s="181">
        <x:f>IFERROR(VLOOKUP(AJ17,DETALLE_CNOE!$A:$C,2,FALSE),"")</x:f>
      </x:c>
      <x:c r="AM17" s="181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1"/>
      <x:c r="N18" s="181"/>
      <x:c r="O18" s="183"/>
      <x:c r="P18" s="183"/>
      <x:c r="Q18" s="185"/>
      <x:c r="R18" s="183"/>
      <x:c r="S18" s="181"/>
      <x:c r="T18" s="181"/>
      <x:c r="U18" s="181"/>
      <x:c r="V18" s="181"/>
      <x:c r="W18" s="183"/>
      <x:c r="X18" s="181"/>
      <x:c r="Y18" s="183"/>
      <x:c r="Z18" s="181"/>
      <x:c r="AA18" s="181"/>
      <x:c r="AB18" s="181"/>
      <x:c r="AC18" s="181"/>
      <x:c r="AD18" s="181"/>
      <x:c r="AE18" s="181"/>
      <x:c r="AF18" s="181"/>
      <x:c r="AG18" s="181"/>
      <x:c r="AH18" s="181"/>
      <x:c r="AI18" s="181"/>
      <x:c r="AJ18" s="181"/>
      <x:c r="AK18" s="181">
        <x:f>IFERROR(VLOOKUP(AJ18,DETALLE_CNOE!$A:$C,3,FALSE),"")</x:f>
      </x:c>
      <x:c r="AL18" s="181">
        <x:f>IFERROR(VLOOKUP(AJ18,DETALLE_CNOE!$A:$C,2,FALSE),"")</x:f>
      </x:c>
      <x:c r="AM18" s="181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1"/>
      <x:c r="N19" s="181"/>
      <x:c r="O19" s="183"/>
      <x:c r="P19" s="183"/>
      <x:c r="Q19" s="185"/>
      <x:c r="R19" s="183"/>
      <x:c r="S19" s="181"/>
      <x:c r="T19" s="181"/>
      <x:c r="U19" s="181"/>
      <x:c r="V19" s="181"/>
      <x:c r="W19" s="183"/>
      <x:c r="X19" s="181"/>
      <x:c r="Y19" s="183"/>
      <x:c r="Z19" s="181"/>
      <x:c r="AA19" s="181"/>
      <x:c r="AB19" s="181"/>
      <x:c r="AC19" s="181"/>
      <x:c r="AD19" s="181"/>
      <x:c r="AE19" s="181"/>
      <x:c r="AF19" s="181"/>
      <x:c r="AG19" s="181"/>
      <x:c r="AH19" s="181"/>
      <x:c r="AI19" s="181"/>
      <x:c r="AJ19" s="181"/>
      <x:c r="AK19" s="181">
        <x:f>IFERROR(VLOOKUP(AJ19,DETALLE_CNOE!$A:$C,3,FALSE),"")</x:f>
      </x:c>
      <x:c r="AL19" s="181">
        <x:f>IFERROR(VLOOKUP(AJ19,DETALLE_CNOE!$A:$C,2,FALSE),"")</x:f>
      </x:c>
      <x:c r="AM19" s="181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1"/>
      <x:c r="N20" s="181"/>
      <x:c r="O20" s="183"/>
      <x:c r="P20" s="183"/>
      <x:c r="Q20" s="185"/>
      <x:c r="R20" s="183"/>
      <x:c r="S20" s="181"/>
      <x:c r="T20" s="181"/>
      <x:c r="U20" s="181"/>
      <x:c r="V20" s="181"/>
      <x:c r="W20" s="183"/>
      <x:c r="X20" s="181"/>
      <x:c r="Y20" s="183"/>
      <x:c r="Z20" s="181"/>
      <x:c r="AA20" s="181"/>
      <x:c r="AB20" s="181"/>
      <x:c r="AC20" s="181"/>
      <x:c r="AD20" s="181"/>
      <x:c r="AE20" s="181"/>
      <x:c r="AF20" s="181"/>
      <x:c r="AG20" s="181"/>
      <x:c r="AH20" s="181"/>
      <x:c r="AI20" s="181"/>
      <x:c r="AJ20" s="181"/>
      <x:c r="AK20" s="181">
        <x:f>IFERROR(VLOOKUP(AJ20,DETALLE_CNOE!$A:$C,3,FALSE),"")</x:f>
      </x:c>
      <x:c r="AL20" s="181">
        <x:f>IFERROR(VLOOKUP(AJ20,DETALLE_CNOE!$A:$C,2,FALSE),"")</x:f>
      </x:c>
      <x:c r="AM20" s="181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1"/>
      <x:c r="N21" s="181"/>
      <x:c r="O21" s="183"/>
      <x:c r="P21" s="183"/>
      <x:c r="Q21" s="185"/>
      <x:c r="R21" s="183"/>
      <x:c r="S21" s="181"/>
      <x:c r="T21" s="181"/>
      <x:c r="U21" s="181"/>
      <x:c r="V21" s="181"/>
      <x:c r="W21" s="183"/>
      <x:c r="X21" s="181"/>
      <x:c r="Y21" s="183"/>
      <x:c r="Z21" s="181"/>
      <x:c r="AA21" s="181"/>
      <x:c r="AB21" s="181"/>
      <x:c r="AC21" s="181"/>
      <x:c r="AD21" s="181"/>
      <x:c r="AE21" s="181"/>
      <x:c r="AF21" s="181"/>
      <x:c r="AG21" s="181"/>
      <x:c r="AH21" s="181"/>
      <x:c r="AI21" s="181"/>
      <x:c r="AJ21" s="181"/>
      <x:c r="AK21" s="181">
        <x:f>IFERROR(VLOOKUP(AJ21,DETALLE_CNOE!$A:$C,3,FALSE),"")</x:f>
      </x:c>
      <x:c r="AL21" s="181">
        <x:f>IFERROR(VLOOKUP(AJ21,DETALLE_CNOE!$A:$C,2,FALSE),"")</x:f>
      </x:c>
      <x:c r="AM21" s="181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1"/>
      <x:c r="N22" s="181"/>
      <x:c r="O22" s="183"/>
      <x:c r="P22" s="183"/>
      <x:c r="Q22" s="185"/>
      <x:c r="R22" s="183"/>
      <x:c r="S22" s="181"/>
      <x:c r="T22" s="181"/>
      <x:c r="U22" s="181"/>
      <x:c r="V22" s="181"/>
      <x:c r="W22" s="183"/>
      <x:c r="X22" s="181"/>
      <x:c r="Y22" s="183"/>
      <x:c r="Z22" s="181"/>
      <x:c r="AA22" s="181"/>
      <x:c r="AB22" s="181"/>
      <x:c r="AC22" s="181"/>
      <x:c r="AD22" s="181"/>
      <x:c r="AE22" s="181"/>
      <x:c r="AF22" s="181"/>
      <x:c r="AG22" s="181"/>
      <x:c r="AH22" s="181"/>
      <x:c r="AI22" s="181"/>
      <x:c r="AJ22" s="181"/>
      <x:c r="AK22" s="181">
        <x:f>IFERROR(VLOOKUP(AJ22,DETALLE_CNOE!$A:$C,3,FALSE),"")</x:f>
      </x:c>
      <x:c r="AL22" s="181">
        <x:f>IFERROR(VLOOKUP(AJ22,DETALLE_CNOE!$A:$C,2,FALSE),"")</x:f>
      </x:c>
      <x:c r="AM22" s="181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1"/>
      <x:c r="N23" s="181"/>
      <x:c r="O23" s="183"/>
      <x:c r="P23" s="183"/>
      <x:c r="Q23" s="185"/>
      <x:c r="R23" s="183"/>
      <x:c r="S23" s="181"/>
      <x:c r="T23" s="181"/>
      <x:c r="U23" s="181"/>
      <x:c r="V23" s="181"/>
      <x:c r="W23" s="183"/>
      <x:c r="X23" s="181"/>
      <x:c r="Y23" s="183"/>
      <x:c r="Z23" s="181"/>
      <x:c r="AA23" s="181"/>
      <x:c r="AB23" s="181"/>
      <x:c r="AC23" s="181"/>
      <x:c r="AD23" s="181"/>
      <x:c r="AE23" s="181"/>
      <x:c r="AF23" s="181"/>
      <x:c r="AG23" s="181"/>
      <x:c r="AH23" s="181"/>
      <x:c r="AI23" s="181"/>
      <x:c r="AJ23" s="181"/>
      <x:c r="AK23" s="181">
        <x:f>IFERROR(VLOOKUP(AJ23,DETALLE_CNOE!$A:$C,3,FALSE),"")</x:f>
      </x:c>
      <x:c r="AL23" s="181">
        <x:f>IFERROR(VLOOKUP(AJ23,DETALLE_CNOE!$A:$C,2,FALSE),"")</x:f>
      </x:c>
      <x:c r="AM23" s="181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1"/>
      <x:c r="N24" s="181"/>
      <x:c r="O24" s="183"/>
      <x:c r="P24" s="183"/>
      <x:c r="Q24" s="185"/>
      <x:c r="R24" s="183"/>
      <x:c r="S24" s="181"/>
      <x:c r="T24" s="181"/>
      <x:c r="U24" s="181"/>
      <x:c r="V24" s="181"/>
      <x:c r="W24" s="183"/>
      <x:c r="X24" s="181"/>
      <x:c r="Y24" s="183"/>
      <x:c r="Z24" s="181"/>
      <x:c r="AA24" s="181"/>
      <x:c r="AB24" s="181"/>
      <x:c r="AC24" s="181"/>
      <x:c r="AD24" s="181"/>
      <x:c r="AE24" s="181"/>
      <x:c r="AF24" s="181"/>
      <x:c r="AG24" s="181"/>
      <x:c r="AH24" s="181"/>
      <x:c r="AI24" s="181"/>
      <x:c r="AJ24" s="181"/>
      <x:c r="AK24" s="181">
        <x:f>IFERROR(VLOOKUP(AJ24,DETALLE_CNOE!$A:$C,3,FALSE),"")</x:f>
      </x:c>
      <x:c r="AL24" s="181">
        <x:f>IFERROR(VLOOKUP(AJ24,DETALLE_CNOE!$A:$C,2,FALSE),"")</x:f>
      </x:c>
      <x:c r="AM24" s="181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1"/>
      <x:c r="N25" s="181"/>
      <x:c r="O25" s="183"/>
      <x:c r="P25" s="183"/>
      <x:c r="Q25" s="185"/>
      <x:c r="R25" s="183"/>
      <x:c r="S25" s="181"/>
      <x:c r="T25" s="181"/>
      <x:c r="U25" s="181"/>
      <x:c r="V25" s="181"/>
      <x:c r="W25" s="183"/>
      <x:c r="X25" s="181"/>
      <x:c r="Y25" s="183"/>
      <x:c r="Z25" s="181"/>
      <x:c r="AA25" s="181"/>
      <x:c r="AB25" s="181"/>
      <x:c r="AC25" s="181"/>
      <x:c r="AD25" s="181"/>
      <x:c r="AE25" s="181"/>
      <x:c r="AF25" s="181"/>
      <x:c r="AG25" s="181"/>
      <x:c r="AH25" s="181"/>
      <x:c r="AI25" s="181"/>
      <x:c r="AJ25" s="181"/>
      <x:c r="AK25" s="181">
        <x:f>IFERROR(VLOOKUP(AJ25,DETALLE_CNOE!$A:$C,3,FALSE),"")</x:f>
      </x:c>
      <x:c r="AL25" s="181">
        <x:f>IFERROR(VLOOKUP(AJ25,DETALLE_CNOE!$A:$C,2,FALSE),"")</x:f>
      </x:c>
      <x:c r="AM25" s="181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1"/>
      <x:c r="N26" s="181"/>
      <x:c r="O26" s="183"/>
      <x:c r="P26" s="183"/>
      <x:c r="Q26" s="185"/>
      <x:c r="R26" s="183"/>
      <x:c r="S26" s="181"/>
      <x:c r="T26" s="181"/>
      <x:c r="U26" s="181"/>
      <x:c r="V26" s="181"/>
      <x:c r="W26" s="183"/>
      <x:c r="X26" s="181"/>
      <x:c r="Y26" s="183"/>
      <x:c r="Z26" s="181"/>
      <x:c r="AA26" s="181"/>
      <x:c r="AB26" s="181"/>
      <x:c r="AC26" s="181"/>
      <x:c r="AD26" s="181"/>
      <x:c r="AE26" s="181"/>
      <x:c r="AF26" s="181"/>
      <x:c r="AG26" s="181"/>
      <x:c r="AH26" s="181"/>
      <x:c r="AI26" s="181"/>
      <x:c r="AJ26" s="181"/>
      <x:c r="AK26" s="181">
        <x:f>IFERROR(VLOOKUP(AJ26,DETALLE_CNOE!$A:$C,3,FALSE),"")</x:f>
      </x:c>
      <x:c r="AL26" s="181">
        <x:f>IFERROR(VLOOKUP(AJ26,DETALLE_CNOE!$A:$C,2,FALSE),"")</x:f>
      </x:c>
      <x:c r="AM26" s="181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1"/>
      <x:c r="N27" s="181"/>
      <x:c r="O27" s="183"/>
      <x:c r="P27" s="183"/>
      <x:c r="Q27" s="185"/>
      <x:c r="R27" s="183"/>
      <x:c r="S27" s="181"/>
      <x:c r="T27" s="181"/>
      <x:c r="U27" s="181"/>
      <x:c r="V27" s="181"/>
      <x:c r="W27" s="183"/>
      <x:c r="X27" s="181"/>
      <x:c r="Y27" s="183"/>
      <x:c r="Z27" s="181"/>
      <x:c r="AA27" s="181"/>
      <x:c r="AB27" s="181"/>
      <x:c r="AC27" s="181"/>
      <x:c r="AD27" s="181"/>
      <x:c r="AE27" s="181"/>
      <x:c r="AF27" s="181"/>
      <x:c r="AG27" s="181"/>
      <x:c r="AH27" s="181"/>
      <x:c r="AI27" s="181"/>
      <x:c r="AJ27" s="181"/>
      <x:c r="AK27" s="181">
        <x:f>IFERROR(VLOOKUP(AJ27,DETALLE_CNOE!$A:$C,3,FALSE),"")</x:f>
      </x:c>
      <x:c r="AL27" s="181">
        <x:f>IFERROR(VLOOKUP(AJ27,DETALLE_CNOE!$A:$C,2,FALSE),"")</x:f>
      </x:c>
      <x:c r="AM27" s="181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1"/>
      <x:c r="N28" s="181"/>
      <x:c r="O28" s="183"/>
      <x:c r="P28" s="183"/>
      <x:c r="Q28" s="185"/>
      <x:c r="R28" s="183"/>
      <x:c r="S28" s="181"/>
      <x:c r="T28" s="181"/>
      <x:c r="U28" s="181"/>
      <x:c r="V28" s="181"/>
      <x:c r="W28" s="183"/>
      <x:c r="X28" s="181"/>
      <x:c r="Y28" s="183"/>
      <x:c r="Z28" s="181"/>
      <x:c r="AA28" s="181"/>
      <x:c r="AB28" s="181"/>
      <x:c r="AC28" s="181"/>
      <x:c r="AD28" s="181"/>
      <x:c r="AE28" s="181"/>
      <x:c r="AF28" s="181"/>
      <x:c r="AG28" s="181"/>
      <x:c r="AH28" s="181"/>
      <x:c r="AI28" s="181"/>
      <x:c r="AJ28" s="181"/>
      <x:c r="AK28" s="181">
        <x:f>IFERROR(VLOOKUP(AJ28,DETALLE_CNOE!$A:$C,3,FALSE),"")</x:f>
      </x:c>
      <x:c r="AL28" s="181">
        <x:f>IFERROR(VLOOKUP(AJ28,DETALLE_CNOE!$A:$C,2,FALSE),"")</x:f>
      </x:c>
      <x:c r="AM28" s="181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1"/>
      <x:c r="N29" s="181"/>
      <x:c r="O29" s="183"/>
      <x:c r="P29" s="183"/>
      <x:c r="Q29" s="185"/>
      <x:c r="R29" s="183"/>
      <x:c r="S29" s="181"/>
      <x:c r="T29" s="181"/>
      <x:c r="U29" s="181"/>
      <x:c r="V29" s="181"/>
      <x:c r="W29" s="183"/>
      <x:c r="X29" s="181"/>
      <x:c r="Y29" s="183"/>
      <x:c r="Z29" s="181"/>
      <x:c r="AA29" s="181"/>
      <x:c r="AB29" s="181"/>
      <x:c r="AC29" s="181"/>
      <x:c r="AD29" s="181"/>
      <x:c r="AE29" s="181"/>
      <x:c r="AF29" s="181"/>
      <x:c r="AG29" s="181"/>
      <x:c r="AH29" s="181"/>
      <x:c r="AI29" s="181"/>
      <x:c r="AJ29" s="181"/>
      <x:c r="AK29" s="181">
        <x:f>IFERROR(VLOOKUP(AJ29,DETALLE_CNOE!$A:$C,3,FALSE),"")</x:f>
      </x:c>
      <x:c r="AL29" s="181">
        <x:f>IFERROR(VLOOKUP(AJ29,DETALLE_CNOE!$A:$C,2,FALSE),"")</x:f>
      </x:c>
      <x:c r="AM29" s="181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1"/>
      <x:c r="N30" s="181"/>
      <x:c r="O30" s="183"/>
      <x:c r="P30" s="183"/>
      <x:c r="Q30" s="185"/>
      <x:c r="R30" s="183"/>
      <x:c r="S30" s="181"/>
      <x:c r="T30" s="181"/>
      <x:c r="U30" s="181"/>
      <x:c r="V30" s="181"/>
      <x:c r="W30" s="183"/>
      <x:c r="X30" s="181"/>
      <x:c r="Y30" s="183"/>
      <x:c r="Z30" s="181"/>
      <x:c r="AA30" s="181"/>
      <x:c r="AB30" s="181"/>
      <x:c r="AC30" s="181"/>
      <x:c r="AD30" s="181"/>
      <x:c r="AE30" s="181"/>
      <x:c r="AF30" s="181"/>
      <x:c r="AG30" s="181"/>
      <x:c r="AH30" s="181"/>
      <x:c r="AI30" s="181"/>
      <x:c r="AJ30" s="181"/>
      <x:c r="AK30" s="181">
        <x:f>IFERROR(VLOOKUP(AJ30,DETALLE_CNOE!$A:$C,3,FALSE),"")</x:f>
      </x:c>
      <x:c r="AL30" s="181">
        <x:f>IFERROR(VLOOKUP(AJ30,DETALLE_CNOE!$A:$C,2,FALSE),"")</x:f>
      </x:c>
      <x:c r="AM30" s="181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1"/>
      <x:c r="N31" s="181"/>
      <x:c r="O31" s="183"/>
      <x:c r="P31" s="183"/>
      <x:c r="Q31" s="185"/>
      <x:c r="R31" s="183"/>
      <x:c r="S31" s="181"/>
      <x:c r="T31" s="181"/>
      <x:c r="U31" s="181"/>
      <x:c r="V31" s="181"/>
      <x:c r="W31" s="183"/>
      <x:c r="X31" s="181"/>
      <x:c r="Y31" s="183"/>
      <x:c r="Z31" s="181"/>
      <x:c r="AA31" s="181"/>
      <x:c r="AB31" s="181"/>
      <x:c r="AC31" s="181"/>
      <x:c r="AD31" s="181"/>
      <x:c r="AE31" s="181"/>
      <x:c r="AF31" s="181"/>
      <x:c r="AG31" s="181"/>
      <x:c r="AH31" s="181"/>
      <x:c r="AI31" s="181"/>
      <x:c r="AJ31" s="181"/>
      <x:c r="AK31" s="181">
        <x:f>IFERROR(VLOOKUP(AJ31,DETALLE_CNOE!$A:$C,3,FALSE),"")</x:f>
      </x:c>
      <x:c r="AL31" s="181">
        <x:f>IFERROR(VLOOKUP(AJ31,DETALLE_CNOE!$A:$C,2,FALSE),"")</x:f>
      </x:c>
      <x:c r="AM31" s="181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1"/>
      <x:c r="N32" s="181"/>
      <x:c r="O32" s="183"/>
      <x:c r="P32" s="183"/>
      <x:c r="Q32" s="185"/>
      <x:c r="R32" s="183"/>
      <x:c r="S32" s="181"/>
      <x:c r="T32" s="181"/>
      <x:c r="U32" s="181"/>
      <x:c r="V32" s="181"/>
      <x:c r="W32" s="183"/>
      <x:c r="X32" s="181"/>
      <x:c r="Y32" s="183"/>
      <x:c r="Z32" s="181"/>
      <x:c r="AA32" s="181"/>
      <x:c r="AB32" s="181"/>
      <x:c r="AC32" s="181"/>
      <x:c r="AD32" s="181"/>
      <x:c r="AE32" s="181"/>
      <x:c r="AF32" s="181"/>
      <x:c r="AG32" s="181"/>
      <x:c r="AH32" s="181"/>
      <x:c r="AI32" s="181"/>
      <x:c r="AJ32" s="181"/>
      <x:c r="AK32" s="181">
        <x:f>IFERROR(VLOOKUP(AJ32,DETALLE_CNOE!$A:$C,3,FALSE),"")</x:f>
      </x:c>
      <x:c r="AL32" s="181">
        <x:f>IFERROR(VLOOKUP(AJ32,DETALLE_CNOE!$A:$C,2,FALSE),"")</x:f>
      </x:c>
      <x:c r="AM32" s="181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1"/>
      <x:c r="N33" s="181"/>
      <x:c r="O33" s="183"/>
      <x:c r="P33" s="183"/>
      <x:c r="Q33" s="185"/>
      <x:c r="R33" s="183"/>
      <x:c r="S33" s="181"/>
      <x:c r="T33" s="181"/>
      <x:c r="U33" s="181"/>
      <x:c r="V33" s="181"/>
      <x:c r="W33" s="183"/>
      <x:c r="X33" s="181"/>
      <x:c r="Y33" s="183"/>
      <x:c r="Z33" s="181"/>
      <x:c r="AA33" s="181"/>
      <x:c r="AB33" s="181"/>
      <x:c r="AC33" s="181"/>
      <x:c r="AD33" s="181"/>
      <x:c r="AE33" s="181"/>
      <x:c r="AF33" s="181"/>
      <x:c r="AG33" s="181"/>
      <x:c r="AH33" s="181"/>
      <x:c r="AI33" s="181"/>
      <x:c r="AJ33" s="181"/>
      <x:c r="AK33" s="181">
        <x:f>IFERROR(VLOOKUP(AJ33,DETALLE_CNOE!$A:$C,3,FALSE),"")</x:f>
      </x:c>
      <x:c r="AL33" s="181">
        <x:f>IFERROR(VLOOKUP(AJ33,DETALLE_CNOE!$A:$C,2,FALSE),"")</x:f>
      </x:c>
      <x:c r="AM33" s="181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1"/>
      <x:c r="N34" s="181"/>
      <x:c r="O34" s="183"/>
      <x:c r="P34" s="183"/>
      <x:c r="Q34" s="185"/>
      <x:c r="R34" s="183"/>
      <x:c r="S34" s="181"/>
      <x:c r="T34" s="181"/>
      <x:c r="U34" s="181"/>
      <x:c r="V34" s="181"/>
      <x:c r="W34" s="183"/>
      <x:c r="X34" s="181"/>
      <x:c r="Y34" s="183"/>
      <x:c r="Z34" s="181"/>
      <x:c r="AA34" s="181"/>
      <x:c r="AB34" s="181"/>
      <x:c r="AC34" s="181"/>
      <x:c r="AD34" s="181"/>
      <x:c r="AE34" s="181"/>
      <x:c r="AF34" s="181"/>
      <x:c r="AG34" s="181"/>
      <x:c r="AH34" s="181"/>
      <x:c r="AI34" s="181"/>
      <x:c r="AJ34" s="181"/>
      <x:c r="AK34" s="181">
        <x:f>IFERROR(VLOOKUP(AJ34,DETALLE_CNOE!$A:$C,3,FALSE),"")</x:f>
      </x:c>
      <x:c r="AL34" s="181">
        <x:f>IFERROR(VLOOKUP(AJ34,DETALLE_CNOE!$A:$C,2,FALSE),"")</x:f>
      </x:c>
      <x:c r="AM34" s="181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1"/>
      <x:c r="N35" s="181"/>
      <x:c r="O35" s="183"/>
      <x:c r="P35" s="183"/>
      <x:c r="Q35" s="185"/>
      <x:c r="R35" s="183"/>
      <x:c r="S35" s="181"/>
      <x:c r="T35" s="181"/>
      <x:c r="U35" s="181"/>
      <x:c r="V35" s="181"/>
      <x:c r="W35" s="183"/>
      <x:c r="X35" s="181"/>
      <x:c r="Y35" s="183"/>
      <x:c r="Z35" s="181"/>
      <x:c r="AA35" s="181"/>
      <x:c r="AB35" s="181"/>
      <x:c r="AC35" s="181"/>
      <x:c r="AD35" s="181"/>
      <x:c r="AE35" s="181"/>
      <x:c r="AF35" s="181"/>
      <x:c r="AG35" s="181"/>
      <x:c r="AH35" s="181"/>
      <x:c r="AI35" s="181"/>
      <x:c r="AJ35" s="181"/>
      <x:c r="AK35" s="181">
        <x:f>IFERROR(VLOOKUP(AJ35,DETALLE_CNOE!$A:$C,3,FALSE),"")</x:f>
      </x:c>
      <x:c r="AL35" s="181">
        <x:f>IFERROR(VLOOKUP(AJ35,DETALLE_CNOE!$A:$C,2,FALSE),"")</x:f>
      </x:c>
      <x:c r="AM35" s="181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1"/>
      <x:c r="N36" s="181"/>
      <x:c r="O36" s="183"/>
      <x:c r="P36" s="183"/>
      <x:c r="Q36" s="185"/>
      <x:c r="R36" s="183"/>
      <x:c r="S36" s="181"/>
      <x:c r="T36" s="181"/>
      <x:c r="U36" s="181"/>
      <x:c r="V36" s="181"/>
      <x:c r="W36" s="183"/>
      <x:c r="X36" s="181"/>
      <x:c r="Y36" s="183"/>
      <x:c r="Z36" s="181"/>
      <x:c r="AA36" s="181"/>
      <x:c r="AB36" s="181"/>
      <x:c r="AC36" s="181"/>
      <x:c r="AD36" s="181"/>
      <x:c r="AE36" s="181"/>
      <x:c r="AF36" s="181"/>
      <x:c r="AG36" s="181"/>
      <x:c r="AH36" s="181"/>
      <x:c r="AI36" s="181"/>
      <x:c r="AJ36" s="181"/>
      <x:c r="AK36" s="181">
        <x:f>IFERROR(VLOOKUP(AJ36,DETALLE_CNOE!$A:$C,3,FALSE),"")</x:f>
      </x:c>
      <x:c r="AL36" s="181">
        <x:f>IFERROR(VLOOKUP(AJ36,DETALLE_CNOE!$A:$C,2,FALSE),"")</x:f>
      </x:c>
      <x:c r="AM36" s="181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1"/>
      <x:c r="N37" s="181"/>
      <x:c r="O37" s="183"/>
      <x:c r="P37" s="183"/>
      <x:c r="Q37" s="185"/>
      <x:c r="R37" s="183"/>
      <x:c r="S37" s="181"/>
      <x:c r="T37" s="181"/>
      <x:c r="U37" s="181"/>
      <x:c r="V37" s="181"/>
      <x:c r="W37" s="183"/>
      <x:c r="X37" s="181"/>
      <x:c r="Y37" s="183"/>
      <x:c r="Z37" s="181"/>
      <x:c r="AA37" s="181"/>
      <x:c r="AB37" s="181"/>
      <x:c r="AC37" s="181"/>
      <x:c r="AD37" s="181"/>
      <x:c r="AE37" s="181"/>
      <x:c r="AF37" s="181"/>
      <x:c r="AG37" s="181"/>
      <x:c r="AH37" s="181"/>
      <x:c r="AI37" s="181"/>
      <x:c r="AJ37" s="181"/>
      <x:c r="AK37" s="181">
        <x:f>IFERROR(VLOOKUP(AJ37,DETALLE_CNOE!$A:$C,3,FALSE),"")</x:f>
      </x:c>
      <x:c r="AL37" s="181">
        <x:f>IFERROR(VLOOKUP(AJ37,DETALLE_CNOE!$A:$C,2,FALSE),"")</x:f>
      </x:c>
      <x:c r="AM37" s="181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1"/>
      <x:c r="N38" s="181"/>
      <x:c r="O38" s="183"/>
      <x:c r="P38" s="183"/>
      <x:c r="Q38" s="185"/>
      <x:c r="R38" s="183"/>
      <x:c r="S38" s="181"/>
      <x:c r="T38" s="181"/>
      <x:c r="U38" s="181"/>
      <x:c r="V38" s="181"/>
      <x:c r="W38" s="183"/>
      <x:c r="X38" s="181"/>
      <x:c r="Y38" s="183"/>
      <x:c r="Z38" s="181"/>
      <x:c r="AA38" s="181"/>
      <x:c r="AB38" s="181"/>
      <x:c r="AC38" s="181"/>
      <x:c r="AD38" s="181"/>
      <x:c r="AE38" s="181"/>
      <x:c r="AF38" s="181"/>
      <x:c r="AG38" s="181"/>
      <x:c r="AH38" s="181"/>
      <x:c r="AI38" s="181"/>
      <x:c r="AJ38" s="181"/>
      <x:c r="AK38" s="181">
        <x:f>IFERROR(VLOOKUP(AJ38,DETALLE_CNOE!$A:$C,3,FALSE),"")</x:f>
      </x:c>
      <x:c r="AL38" s="181">
        <x:f>IFERROR(VLOOKUP(AJ38,DETALLE_CNOE!$A:$C,2,FALSE),"")</x:f>
      </x:c>
      <x:c r="AM38" s="181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1"/>
      <x:c r="N39" s="181"/>
      <x:c r="O39" s="183"/>
      <x:c r="P39" s="183"/>
      <x:c r="Q39" s="185"/>
      <x:c r="R39" s="183"/>
      <x:c r="S39" s="181"/>
      <x:c r="T39" s="181"/>
      <x:c r="U39" s="181"/>
      <x:c r="V39" s="181"/>
      <x:c r="W39" s="183"/>
      <x:c r="X39" s="181"/>
      <x:c r="Y39" s="183"/>
      <x:c r="Z39" s="181"/>
      <x:c r="AA39" s="181"/>
      <x:c r="AB39" s="181"/>
      <x:c r="AC39" s="181"/>
      <x:c r="AD39" s="181"/>
      <x:c r="AE39" s="181"/>
      <x:c r="AF39" s="181"/>
      <x:c r="AG39" s="181"/>
      <x:c r="AH39" s="181"/>
      <x:c r="AI39" s="181"/>
      <x:c r="AJ39" s="181"/>
      <x:c r="AK39" s="181">
        <x:f>IFERROR(VLOOKUP(AJ39,DETALLE_CNOE!$A:$C,3,FALSE),"")</x:f>
      </x:c>
      <x:c r="AL39" s="181">
        <x:f>IFERROR(VLOOKUP(AJ39,DETALLE_CNOE!$A:$C,2,FALSE),"")</x:f>
      </x:c>
      <x:c r="AM39" s="181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1"/>
      <x:c r="N40" s="181"/>
      <x:c r="O40" s="183"/>
      <x:c r="P40" s="183"/>
      <x:c r="Q40" s="185"/>
      <x:c r="R40" s="183"/>
      <x:c r="S40" s="181"/>
      <x:c r="T40" s="181"/>
      <x:c r="U40" s="181"/>
      <x:c r="V40" s="181"/>
      <x:c r="W40" s="183"/>
      <x:c r="X40" s="181"/>
      <x:c r="Y40" s="183"/>
      <x:c r="Z40" s="181"/>
      <x:c r="AA40" s="181"/>
      <x:c r="AB40" s="181"/>
      <x:c r="AC40" s="181"/>
      <x:c r="AD40" s="181"/>
      <x:c r="AE40" s="181"/>
      <x:c r="AF40" s="181"/>
      <x:c r="AG40" s="181"/>
      <x:c r="AH40" s="181"/>
      <x:c r="AI40" s="181"/>
      <x:c r="AJ40" s="181"/>
      <x:c r="AK40" s="181">
        <x:f>IFERROR(VLOOKUP(AJ40,DETALLE_CNOE!$A:$C,3,FALSE),"")</x:f>
      </x:c>
      <x:c r="AL40" s="181">
        <x:f>IFERROR(VLOOKUP(AJ40,DETALLE_CNOE!$A:$C,2,FALSE),"")</x:f>
      </x:c>
      <x:c r="AM40" s="181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1"/>
      <x:c r="N41" s="181"/>
      <x:c r="O41" s="183"/>
      <x:c r="P41" s="183"/>
      <x:c r="Q41" s="185"/>
      <x:c r="R41" s="183"/>
      <x:c r="S41" s="181"/>
      <x:c r="T41" s="181"/>
      <x:c r="U41" s="181"/>
      <x:c r="V41" s="181"/>
      <x:c r="W41" s="183"/>
      <x:c r="X41" s="181"/>
      <x:c r="Y41" s="183"/>
      <x:c r="Z41" s="181"/>
      <x:c r="AA41" s="181"/>
      <x:c r="AB41" s="181"/>
      <x:c r="AC41" s="181"/>
      <x:c r="AD41" s="181"/>
      <x:c r="AE41" s="181"/>
      <x:c r="AF41" s="181"/>
      <x:c r="AG41" s="181"/>
      <x:c r="AH41" s="181"/>
      <x:c r="AI41" s="181"/>
      <x:c r="AJ41" s="181"/>
      <x:c r="AK41" s="181">
        <x:f>IFERROR(VLOOKUP(AJ41,DETALLE_CNOE!$A:$C,3,FALSE),"")</x:f>
      </x:c>
      <x:c r="AL41" s="181">
        <x:f>IFERROR(VLOOKUP(AJ41,DETALLE_CNOE!$A:$C,2,FALSE),"")</x:f>
      </x:c>
      <x:c r="AM41" s="181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1"/>
      <x:c r="N42" s="181"/>
      <x:c r="O42" s="183"/>
      <x:c r="P42" s="183"/>
      <x:c r="Q42" s="185"/>
      <x:c r="R42" s="183"/>
      <x:c r="S42" s="181"/>
      <x:c r="T42" s="181"/>
      <x:c r="U42" s="181"/>
      <x:c r="V42" s="181"/>
      <x:c r="W42" s="183"/>
      <x:c r="X42" s="181"/>
      <x:c r="Y42" s="183"/>
      <x:c r="Z42" s="181"/>
      <x:c r="AA42" s="181"/>
      <x:c r="AB42" s="181"/>
      <x:c r="AC42" s="181"/>
      <x:c r="AD42" s="181"/>
      <x:c r="AE42" s="181"/>
      <x:c r="AF42" s="181"/>
      <x:c r="AG42" s="181"/>
      <x:c r="AH42" s="181"/>
      <x:c r="AI42" s="181"/>
      <x:c r="AJ42" s="181"/>
      <x:c r="AK42" s="181">
        <x:f>IFERROR(VLOOKUP(AJ42,DETALLE_CNOE!$A:$C,3,FALSE),"")</x:f>
      </x:c>
      <x:c r="AL42" s="181">
        <x:f>IFERROR(VLOOKUP(AJ42,DETALLE_CNOE!$A:$C,2,FALSE),"")</x:f>
      </x:c>
      <x:c r="AM42" s="181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1"/>
      <x:c r="N43" s="181"/>
      <x:c r="O43" s="183"/>
      <x:c r="P43" s="183"/>
      <x:c r="Q43" s="185"/>
      <x:c r="R43" s="183"/>
      <x:c r="S43" s="181"/>
      <x:c r="T43" s="181"/>
      <x:c r="U43" s="181"/>
      <x:c r="V43" s="181"/>
      <x:c r="W43" s="183"/>
      <x:c r="X43" s="181"/>
      <x:c r="Y43" s="183"/>
      <x:c r="Z43" s="181"/>
      <x:c r="AA43" s="181"/>
      <x:c r="AB43" s="181"/>
      <x:c r="AC43" s="181"/>
      <x:c r="AD43" s="181"/>
      <x:c r="AE43" s="181"/>
      <x:c r="AF43" s="181"/>
      <x:c r="AG43" s="181"/>
      <x:c r="AH43" s="181"/>
      <x:c r="AI43" s="181"/>
      <x:c r="AJ43" s="181"/>
      <x:c r="AK43" s="181">
        <x:f>IFERROR(VLOOKUP(AJ43,DETALLE_CNOE!$A:$C,3,FALSE),"")</x:f>
      </x:c>
      <x:c r="AL43" s="181">
        <x:f>IFERROR(VLOOKUP(AJ43,DETALLE_CNOE!$A:$C,2,FALSE),"")</x:f>
      </x:c>
      <x:c r="AM43" s="181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1"/>
      <x:c r="N44" s="181"/>
      <x:c r="O44" s="183"/>
      <x:c r="P44" s="183"/>
      <x:c r="Q44" s="185"/>
      <x:c r="R44" s="183"/>
      <x:c r="S44" s="181"/>
      <x:c r="T44" s="181"/>
      <x:c r="U44" s="181"/>
      <x:c r="V44" s="181"/>
      <x:c r="W44" s="183"/>
      <x:c r="X44" s="181"/>
      <x:c r="Y44" s="183"/>
      <x:c r="Z44" s="181"/>
      <x:c r="AA44" s="181"/>
      <x:c r="AB44" s="181"/>
      <x:c r="AC44" s="181"/>
      <x:c r="AD44" s="181"/>
      <x:c r="AE44" s="181"/>
      <x:c r="AF44" s="181"/>
      <x:c r="AG44" s="181"/>
      <x:c r="AH44" s="181"/>
      <x:c r="AI44" s="181"/>
      <x:c r="AJ44" s="181"/>
      <x:c r="AK44" s="181">
        <x:f>IFERROR(VLOOKUP(AJ44,DETALLE_CNOE!$A:$C,3,FALSE),"")</x:f>
      </x:c>
      <x:c r="AL44" s="181">
        <x:f>IFERROR(VLOOKUP(AJ44,DETALLE_CNOE!$A:$C,2,FALSE),"")</x:f>
      </x:c>
      <x:c r="AM44" s="181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1"/>
      <x:c r="N45" s="181"/>
      <x:c r="O45" s="183"/>
      <x:c r="P45" s="183"/>
      <x:c r="Q45" s="185"/>
      <x:c r="R45" s="183"/>
      <x:c r="S45" s="181"/>
      <x:c r="T45" s="181"/>
      <x:c r="U45" s="181"/>
      <x:c r="V45" s="181"/>
      <x:c r="W45" s="183"/>
      <x:c r="X45" s="181"/>
      <x:c r="Y45" s="183"/>
      <x:c r="Z45" s="181"/>
      <x:c r="AA45" s="181"/>
      <x:c r="AB45" s="181"/>
      <x:c r="AC45" s="181"/>
      <x:c r="AD45" s="181"/>
      <x:c r="AE45" s="181"/>
      <x:c r="AF45" s="181"/>
      <x:c r="AG45" s="181"/>
      <x:c r="AH45" s="181"/>
      <x:c r="AI45" s="181"/>
      <x:c r="AJ45" s="181"/>
      <x:c r="AK45" s="181">
        <x:f>IFERROR(VLOOKUP(AJ45,DETALLE_CNOE!$A:$C,3,FALSE),"")</x:f>
      </x:c>
      <x:c r="AL45" s="181">
        <x:f>IFERROR(VLOOKUP(AJ45,DETALLE_CNOE!$A:$C,2,FALSE),"")</x:f>
      </x:c>
      <x:c r="AM45" s="181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1"/>
      <x:c r="N46" s="181"/>
      <x:c r="O46" s="183"/>
      <x:c r="P46" s="183"/>
      <x:c r="Q46" s="185"/>
      <x:c r="R46" s="183"/>
      <x:c r="S46" s="181"/>
      <x:c r="T46" s="181"/>
      <x:c r="U46" s="181"/>
      <x:c r="V46" s="181"/>
      <x:c r="W46" s="183"/>
      <x:c r="X46" s="181"/>
      <x:c r="Y46" s="183"/>
      <x:c r="Z46" s="181"/>
      <x:c r="AA46" s="181"/>
      <x:c r="AB46" s="181"/>
      <x:c r="AC46" s="181"/>
      <x:c r="AD46" s="181"/>
      <x:c r="AE46" s="181"/>
      <x:c r="AF46" s="181"/>
      <x:c r="AG46" s="181"/>
      <x:c r="AH46" s="181"/>
      <x:c r="AI46" s="181"/>
      <x:c r="AJ46" s="181"/>
      <x:c r="AK46" s="181">
        <x:f>IFERROR(VLOOKUP(AJ46,DETALLE_CNOE!$A:$C,3,FALSE),"")</x:f>
      </x:c>
      <x:c r="AL46" s="181">
        <x:f>IFERROR(VLOOKUP(AJ46,DETALLE_CNOE!$A:$C,2,FALSE),"")</x:f>
      </x:c>
      <x:c r="AM46" s="181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1"/>
      <x:c r="N47" s="181"/>
      <x:c r="O47" s="183"/>
      <x:c r="P47" s="183"/>
      <x:c r="Q47" s="185"/>
      <x:c r="R47" s="183"/>
      <x:c r="S47" s="181"/>
      <x:c r="T47" s="181"/>
      <x:c r="U47" s="181"/>
      <x:c r="V47" s="181"/>
      <x:c r="W47" s="183"/>
      <x:c r="X47" s="181"/>
      <x:c r="Y47" s="183"/>
      <x:c r="Z47" s="181"/>
      <x:c r="AA47" s="181"/>
      <x:c r="AB47" s="181"/>
      <x:c r="AC47" s="181"/>
      <x:c r="AD47" s="181"/>
      <x:c r="AE47" s="181"/>
      <x:c r="AF47" s="181"/>
      <x:c r="AG47" s="181"/>
      <x:c r="AH47" s="181"/>
      <x:c r="AI47" s="181"/>
      <x:c r="AJ47" s="181"/>
      <x:c r="AK47" s="181">
        <x:f>IFERROR(VLOOKUP(AJ47,DETALLE_CNOE!$A:$C,3,FALSE),"")</x:f>
      </x:c>
      <x:c r="AL47" s="181">
        <x:f>IFERROR(VLOOKUP(AJ47,DETALLE_CNOE!$A:$C,2,FALSE),"")</x:f>
      </x:c>
      <x:c r="AM47" s="181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1"/>
      <x:c r="N48" s="181"/>
      <x:c r="O48" s="183"/>
      <x:c r="P48" s="183"/>
      <x:c r="Q48" s="185"/>
      <x:c r="R48" s="183"/>
      <x:c r="S48" s="181"/>
      <x:c r="T48" s="181"/>
      <x:c r="U48" s="181"/>
      <x:c r="V48" s="181"/>
      <x:c r="W48" s="183"/>
      <x:c r="X48" s="181"/>
      <x:c r="Y48" s="183"/>
      <x:c r="Z48" s="181"/>
      <x:c r="AA48" s="181"/>
      <x:c r="AB48" s="181"/>
      <x:c r="AC48" s="181"/>
      <x:c r="AD48" s="181"/>
      <x:c r="AE48" s="181"/>
      <x:c r="AF48" s="181"/>
      <x:c r="AG48" s="181"/>
      <x:c r="AH48" s="181"/>
      <x:c r="AI48" s="181"/>
      <x:c r="AJ48" s="181"/>
      <x:c r="AK48" s="181">
        <x:f>IFERROR(VLOOKUP(AJ48,DETALLE_CNOE!$A:$C,3,FALSE),"")</x:f>
      </x:c>
      <x:c r="AL48" s="181">
        <x:f>IFERROR(VLOOKUP(AJ48,DETALLE_CNOE!$A:$C,2,FALSE),"")</x:f>
      </x:c>
      <x:c r="AM48" s="181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1"/>
      <x:c r="N49" s="181"/>
      <x:c r="O49" s="183"/>
      <x:c r="P49" s="183"/>
      <x:c r="Q49" s="185"/>
      <x:c r="R49" s="183"/>
      <x:c r="S49" s="181"/>
      <x:c r="T49" s="181"/>
      <x:c r="U49" s="181"/>
      <x:c r="V49" s="181"/>
      <x:c r="W49" s="183"/>
      <x:c r="X49" s="181"/>
      <x:c r="Y49" s="183"/>
      <x:c r="Z49" s="181"/>
      <x:c r="AA49" s="181"/>
      <x:c r="AB49" s="181"/>
      <x:c r="AC49" s="181"/>
      <x:c r="AD49" s="181"/>
      <x:c r="AE49" s="181"/>
      <x:c r="AF49" s="181"/>
      <x:c r="AG49" s="181"/>
      <x:c r="AH49" s="181"/>
      <x:c r="AI49" s="181"/>
      <x:c r="AJ49" s="181"/>
      <x:c r="AK49" s="181">
        <x:f>IFERROR(VLOOKUP(AJ49,DETALLE_CNOE!$A:$C,3,FALSE),"")</x:f>
      </x:c>
      <x:c r="AL49" s="181">
        <x:f>IFERROR(VLOOKUP(AJ49,DETALLE_CNOE!$A:$C,2,FALSE),"")</x:f>
      </x:c>
      <x:c r="AM49" s="181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1"/>
      <x:c r="N50" s="181"/>
      <x:c r="O50" s="183"/>
      <x:c r="P50" s="183"/>
      <x:c r="Q50" s="185"/>
      <x:c r="R50" s="183"/>
      <x:c r="S50" s="181"/>
      <x:c r="T50" s="181"/>
      <x:c r="U50" s="181"/>
      <x:c r="V50" s="181"/>
      <x:c r="W50" s="183"/>
      <x:c r="X50" s="181"/>
      <x:c r="Y50" s="183"/>
      <x:c r="Z50" s="181"/>
      <x:c r="AA50" s="181"/>
      <x:c r="AB50" s="181"/>
      <x:c r="AC50" s="181"/>
      <x:c r="AD50" s="181"/>
      <x:c r="AE50" s="181"/>
      <x:c r="AF50" s="181"/>
      <x:c r="AG50" s="181"/>
      <x:c r="AH50" s="181"/>
      <x:c r="AI50" s="181"/>
      <x:c r="AJ50" s="181"/>
      <x:c r="AK50" s="181">
        <x:f>IFERROR(VLOOKUP(AJ50,DETALLE_CNOE!$A:$C,3,FALSE),"")</x:f>
      </x:c>
      <x:c r="AL50" s="181">
        <x:f>IFERROR(VLOOKUP(AJ50,DETALLE_CNOE!$A:$C,2,FALSE),"")</x:f>
      </x:c>
      <x:c r="AM50" s="181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1"/>
      <x:c r="N51" s="181"/>
      <x:c r="O51" s="183"/>
      <x:c r="P51" s="183"/>
      <x:c r="Q51" s="185"/>
      <x:c r="R51" s="183"/>
      <x:c r="S51" s="181"/>
      <x:c r="T51" s="181"/>
      <x:c r="U51" s="181"/>
      <x:c r="V51" s="181"/>
      <x:c r="W51" s="183"/>
      <x:c r="X51" s="181"/>
      <x:c r="Y51" s="183"/>
      <x:c r="Z51" s="181"/>
      <x:c r="AA51" s="181"/>
      <x:c r="AB51" s="181"/>
      <x:c r="AC51" s="181"/>
      <x:c r="AD51" s="181"/>
      <x:c r="AE51" s="181"/>
      <x:c r="AF51" s="181"/>
      <x:c r="AG51" s="181"/>
      <x:c r="AH51" s="181"/>
      <x:c r="AI51" s="181"/>
      <x:c r="AJ51" s="181"/>
      <x:c r="AK51" s="181">
        <x:f>IFERROR(VLOOKUP(AJ51,DETALLE_CNOE!$A:$C,3,FALSE),"")</x:f>
      </x:c>
      <x:c r="AL51" s="181">
        <x:f>IFERROR(VLOOKUP(AJ51,DETALLE_CNOE!$A:$C,2,FALSE),"")</x:f>
      </x:c>
      <x:c r="AM51" s="181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1"/>
      <x:c r="N52" s="181"/>
      <x:c r="O52" s="183"/>
      <x:c r="P52" s="183"/>
      <x:c r="Q52" s="185"/>
      <x:c r="R52" s="183"/>
      <x:c r="S52" s="181"/>
      <x:c r="T52" s="181"/>
      <x:c r="U52" s="181"/>
      <x:c r="V52" s="181"/>
      <x:c r="W52" s="183"/>
      <x:c r="X52" s="181"/>
      <x:c r="Y52" s="183"/>
      <x:c r="Z52" s="181"/>
      <x:c r="AA52" s="181"/>
      <x:c r="AB52" s="181"/>
      <x:c r="AC52" s="181"/>
      <x:c r="AD52" s="181"/>
      <x:c r="AE52" s="181"/>
      <x:c r="AF52" s="181"/>
      <x:c r="AG52" s="181"/>
      <x:c r="AH52" s="181"/>
      <x:c r="AI52" s="181"/>
      <x:c r="AJ52" s="181"/>
      <x:c r="AK52" s="181">
        <x:f>IFERROR(VLOOKUP(AJ52,DETALLE_CNOE!$A:$C,3,FALSE),"")</x:f>
      </x:c>
      <x:c r="AL52" s="181">
        <x:f>IFERROR(VLOOKUP(AJ52,DETALLE_CNOE!$A:$C,2,FALSE),"")</x:f>
      </x:c>
      <x:c r="AM52" s="181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1"/>
      <x:c r="N53" s="181"/>
      <x:c r="O53" s="183"/>
      <x:c r="P53" s="183"/>
      <x:c r="Q53" s="185"/>
      <x:c r="R53" s="183"/>
      <x:c r="S53" s="181"/>
      <x:c r="T53" s="181"/>
      <x:c r="U53" s="181"/>
      <x:c r="V53" s="181"/>
      <x:c r="W53" s="183"/>
      <x:c r="X53" s="181"/>
      <x:c r="Y53" s="183"/>
      <x:c r="Z53" s="181"/>
      <x:c r="AA53" s="181"/>
      <x:c r="AB53" s="181"/>
      <x:c r="AC53" s="181"/>
      <x:c r="AD53" s="181"/>
      <x:c r="AE53" s="181"/>
      <x:c r="AF53" s="181"/>
      <x:c r="AG53" s="181"/>
      <x:c r="AH53" s="181"/>
      <x:c r="AI53" s="181"/>
      <x:c r="AJ53" s="181"/>
      <x:c r="AK53" s="181">
        <x:f>IFERROR(VLOOKUP(AJ53,DETALLE_CNOE!$A:$C,3,FALSE),"")</x:f>
      </x:c>
      <x:c r="AL53" s="181">
        <x:f>IFERROR(VLOOKUP(AJ53,DETALLE_CNOE!$A:$C,2,FALSE),"")</x:f>
      </x:c>
      <x:c r="AM53" s="181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1"/>
      <x:c r="N54" s="181"/>
      <x:c r="O54" s="183"/>
      <x:c r="P54" s="183"/>
      <x:c r="Q54" s="185"/>
      <x:c r="R54" s="183"/>
      <x:c r="S54" s="181"/>
      <x:c r="T54" s="181"/>
      <x:c r="U54" s="181"/>
      <x:c r="V54" s="181"/>
      <x:c r="W54" s="183"/>
      <x:c r="X54" s="181"/>
      <x:c r="Y54" s="183"/>
      <x:c r="Z54" s="181"/>
      <x:c r="AA54" s="181"/>
      <x:c r="AB54" s="181"/>
      <x:c r="AC54" s="181"/>
      <x:c r="AD54" s="181"/>
      <x:c r="AE54" s="181"/>
      <x:c r="AF54" s="181"/>
      <x:c r="AG54" s="181"/>
      <x:c r="AH54" s="181"/>
      <x:c r="AI54" s="181"/>
      <x:c r="AJ54" s="181"/>
      <x:c r="AK54" s="181">
        <x:f>IFERROR(VLOOKUP(AJ54,DETALLE_CNOE!$A:$C,3,FALSE),"")</x:f>
      </x:c>
      <x:c r="AL54" s="181">
        <x:f>IFERROR(VLOOKUP(AJ54,DETALLE_CNOE!$A:$C,2,FALSE),"")</x:f>
      </x:c>
      <x:c r="AM54" s="181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1"/>
      <x:c r="N55" s="181"/>
      <x:c r="O55" s="183"/>
      <x:c r="P55" s="183"/>
      <x:c r="Q55" s="185"/>
      <x:c r="R55" s="183"/>
      <x:c r="S55" s="181"/>
      <x:c r="T55" s="181"/>
      <x:c r="U55" s="181"/>
      <x:c r="V55" s="181"/>
      <x:c r="W55" s="183"/>
      <x:c r="X55" s="181"/>
      <x:c r="Y55" s="183"/>
      <x:c r="Z55" s="181"/>
      <x:c r="AA55" s="181"/>
      <x:c r="AB55" s="181"/>
      <x:c r="AC55" s="181"/>
      <x:c r="AD55" s="181"/>
      <x:c r="AE55" s="181"/>
      <x:c r="AF55" s="181"/>
      <x:c r="AG55" s="181"/>
      <x:c r="AH55" s="181"/>
      <x:c r="AI55" s="181"/>
      <x:c r="AJ55" s="181"/>
      <x:c r="AK55" s="181">
        <x:f>IFERROR(VLOOKUP(AJ55,DETALLE_CNOE!$A:$C,3,FALSE),"")</x:f>
      </x:c>
      <x:c r="AL55" s="181">
        <x:f>IFERROR(VLOOKUP(AJ55,DETALLE_CNOE!$A:$C,2,FALSE),"")</x:f>
      </x:c>
      <x:c r="AM55" s="181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1"/>
      <x:c r="N56" s="181"/>
      <x:c r="O56" s="183"/>
      <x:c r="P56" s="183"/>
      <x:c r="Q56" s="185"/>
      <x:c r="R56" s="183"/>
      <x:c r="S56" s="181"/>
      <x:c r="T56" s="181"/>
      <x:c r="U56" s="181"/>
      <x:c r="V56" s="181"/>
      <x:c r="W56" s="183"/>
      <x:c r="X56" s="181"/>
      <x:c r="Y56" s="183"/>
      <x:c r="Z56" s="181"/>
      <x:c r="AA56" s="181"/>
      <x:c r="AB56" s="181"/>
      <x:c r="AC56" s="181"/>
      <x:c r="AD56" s="181"/>
      <x:c r="AE56" s="181"/>
      <x:c r="AF56" s="181"/>
      <x:c r="AG56" s="181"/>
      <x:c r="AH56" s="181"/>
      <x:c r="AI56" s="181"/>
      <x:c r="AJ56" s="181"/>
      <x:c r="AK56" s="181">
        <x:f>IFERROR(VLOOKUP(AJ56,DETALLE_CNOE!$A:$C,3,FALSE),"")</x:f>
      </x:c>
      <x:c r="AL56" s="181">
        <x:f>IFERROR(VLOOKUP(AJ56,DETALLE_CNOE!$A:$C,2,FALSE),"")</x:f>
      </x:c>
      <x:c r="AM56" s="181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1"/>
      <x:c r="N57" s="181"/>
      <x:c r="O57" s="183"/>
      <x:c r="P57" s="183"/>
      <x:c r="Q57" s="185"/>
      <x:c r="R57" s="183"/>
      <x:c r="S57" s="181"/>
      <x:c r="T57" s="181"/>
      <x:c r="U57" s="181"/>
      <x:c r="V57" s="181"/>
      <x:c r="W57" s="183"/>
      <x:c r="X57" s="181"/>
      <x:c r="Y57" s="183"/>
      <x:c r="Z57" s="181"/>
      <x:c r="AA57" s="181"/>
      <x:c r="AB57" s="181"/>
      <x:c r="AC57" s="181"/>
      <x:c r="AD57" s="181"/>
      <x:c r="AE57" s="181"/>
      <x:c r="AF57" s="181"/>
      <x:c r="AG57" s="181"/>
      <x:c r="AH57" s="181"/>
      <x:c r="AI57" s="181"/>
      <x:c r="AJ57" s="181"/>
      <x:c r="AK57" s="181">
        <x:f>IFERROR(VLOOKUP(AJ57,DETALLE_CNOE!$A:$C,3,FALSE),"")</x:f>
      </x:c>
      <x:c r="AL57" s="181">
        <x:f>IFERROR(VLOOKUP(AJ57,DETALLE_CNOE!$A:$C,2,FALSE),"")</x:f>
      </x:c>
      <x:c r="AM57" s="181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1"/>
      <x:c r="N58" s="181"/>
      <x:c r="O58" s="183"/>
      <x:c r="P58" s="183"/>
      <x:c r="Q58" s="185"/>
      <x:c r="R58" s="183"/>
      <x:c r="S58" s="181"/>
      <x:c r="T58" s="181"/>
      <x:c r="U58" s="181"/>
      <x:c r="V58" s="181"/>
      <x:c r="W58" s="183"/>
      <x:c r="X58" s="181"/>
      <x:c r="Y58" s="183"/>
      <x:c r="Z58" s="181"/>
      <x:c r="AA58" s="181"/>
      <x:c r="AB58" s="181"/>
      <x:c r="AC58" s="181"/>
      <x:c r="AD58" s="181"/>
      <x:c r="AE58" s="181"/>
      <x:c r="AF58" s="181"/>
      <x:c r="AG58" s="181"/>
      <x:c r="AH58" s="181"/>
      <x:c r="AI58" s="181"/>
      <x:c r="AJ58" s="181"/>
      <x:c r="AK58" s="181">
        <x:f>IFERROR(VLOOKUP(AJ58,DETALLE_CNOE!$A:$C,3,FALSE),"")</x:f>
      </x:c>
      <x:c r="AL58" s="181">
        <x:f>IFERROR(VLOOKUP(AJ58,DETALLE_CNOE!$A:$C,2,FALSE),"")</x:f>
      </x:c>
      <x:c r="AM58" s="181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1"/>
      <x:c r="N59" s="181"/>
      <x:c r="O59" s="183"/>
      <x:c r="P59" s="183"/>
      <x:c r="Q59" s="185"/>
      <x:c r="R59" s="183"/>
      <x:c r="S59" s="181"/>
      <x:c r="T59" s="181"/>
      <x:c r="U59" s="181"/>
      <x:c r="V59" s="181"/>
      <x:c r="W59" s="183"/>
      <x:c r="X59" s="181"/>
      <x:c r="Y59" s="183"/>
      <x:c r="Z59" s="181"/>
      <x:c r="AA59" s="181"/>
      <x:c r="AB59" s="181"/>
      <x:c r="AC59" s="181"/>
      <x:c r="AD59" s="181"/>
      <x:c r="AE59" s="181"/>
      <x:c r="AF59" s="181"/>
      <x:c r="AG59" s="181"/>
      <x:c r="AH59" s="181"/>
      <x:c r="AI59" s="181"/>
      <x:c r="AJ59" s="181"/>
      <x:c r="AK59" s="181">
        <x:f>IFERROR(VLOOKUP(AJ59,DETALLE_CNOE!$A:$C,3,FALSE),"")</x:f>
      </x:c>
      <x:c r="AL59" s="181">
        <x:f>IFERROR(VLOOKUP(AJ59,DETALLE_CNOE!$A:$C,2,FALSE),"")</x:f>
      </x:c>
      <x:c r="AM59" s="181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1"/>
      <x:c r="N60" s="181"/>
      <x:c r="O60" s="183"/>
      <x:c r="P60" s="183"/>
      <x:c r="Q60" s="185"/>
      <x:c r="R60" s="183"/>
      <x:c r="S60" s="181"/>
      <x:c r="T60" s="181"/>
      <x:c r="U60" s="181"/>
      <x:c r="V60" s="181"/>
      <x:c r="W60" s="183"/>
      <x:c r="X60" s="181"/>
      <x:c r="Y60" s="183"/>
      <x:c r="Z60" s="181"/>
      <x:c r="AA60" s="181"/>
      <x:c r="AB60" s="181"/>
      <x:c r="AC60" s="181"/>
      <x:c r="AD60" s="181"/>
      <x:c r="AE60" s="181"/>
      <x:c r="AF60" s="181"/>
      <x:c r="AG60" s="181"/>
      <x:c r="AH60" s="181"/>
      <x:c r="AI60" s="181"/>
      <x:c r="AJ60" s="181"/>
      <x:c r="AK60" s="181">
        <x:f>IFERROR(VLOOKUP(AJ60,DETALLE_CNOE!$A:$C,3,FALSE),"")</x:f>
      </x:c>
      <x:c r="AL60" s="181">
        <x:f>IFERROR(VLOOKUP(AJ60,DETALLE_CNOE!$A:$C,2,FALSE),"")</x:f>
      </x:c>
      <x:c r="AM60" s="181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1"/>
      <x:c r="N61" s="181"/>
      <x:c r="O61" s="183"/>
      <x:c r="P61" s="183"/>
      <x:c r="Q61" s="185"/>
      <x:c r="R61" s="183"/>
      <x:c r="S61" s="181"/>
      <x:c r="T61" s="181"/>
      <x:c r="U61" s="181"/>
      <x:c r="V61" s="181"/>
      <x:c r="W61" s="183"/>
      <x:c r="X61" s="181"/>
      <x:c r="Y61" s="183"/>
      <x:c r="Z61" s="181"/>
      <x:c r="AA61" s="181"/>
      <x:c r="AB61" s="181"/>
      <x:c r="AC61" s="181"/>
      <x:c r="AD61" s="181"/>
      <x:c r="AE61" s="181"/>
      <x:c r="AF61" s="181"/>
      <x:c r="AG61" s="181"/>
      <x:c r="AH61" s="181"/>
      <x:c r="AI61" s="181"/>
      <x:c r="AJ61" s="181"/>
      <x:c r="AK61" s="181">
        <x:f>IFERROR(VLOOKUP(AJ61,DETALLE_CNOE!$A:$C,3,FALSE),"")</x:f>
      </x:c>
      <x:c r="AL61" s="181">
        <x:f>IFERROR(VLOOKUP(AJ61,DETALLE_CNOE!$A:$C,2,FALSE),"")</x:f>
      </x:c>
      <x:c r="AM61" s="181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1"/>
      <x:c r="N62" s="181"/>
      <x:c r="O62" s="183"/>
      <x:c r="P62" s="183"/>
      <x:c r="Q62" s="185"/>
      <x:c r="R62" s="183"/>
      <x:c r="S62" s="181"/>
      <x:c r="T62" s="181"/>
      <x:c r="U62" s="181"/>
      <x:c r="V62" s="181"/>
      <x:c r="W62" s="183"/>
      <x:c r="X62" s="181"/>
      <x:c r="Y62" s="183"/>
      <x:c r="Z62" s="181"/>
      <x:c r="AA62" s="181"/>
      <x:c r="AB62" s="181"/>
      <x:c r="AC62" s="181"/>
      <x:c r="AD62" s="181"/>
      <x:c r="AE62" s="181"/>
      <x:c r="AF62" s="181"/>
      <x:c r="AG62" s="181"/>
      <x:c r="AH62" s="181"/>
      <x:c r="AI62" s="181"/>
      <x:c r="AJ62" s="181"/>
      <x:c r="AK62" s="181">
        <x:f>IFERROR(VLOOKUP(AJ62,DETALLE_CNOE!$A:$C,3,FALSE),"")</x:f>
      </x:c>
      <x:c r="AL62" s="181">
        <x:f>IFERROR(VLOOKUP(AJ62,DETALLE_CNOE!$A:$C,2,FALSE),"")</x:f>
      </x:c>
      <x:c r="AM62" s="181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1"/>
      <x:c r="N63" s="181"/>
      <x:c r="O63" s="183"/>
      <x:c r="P63" s="183"/>
      <x:c r="Q63" s="185"/>
      <x:c r="R63" s="183"/>
      <x:c r="S63" s="181"/>
      <x:c r="T63" s="181"/>
      <x:c r="U63" s="181"/>
      <x:c r="V63" s="181"/>
      <x:c r="W63" s="183"/>
      <x:c r="X63" s="181"/>
      <x:c r="Y63" s="183"/>
      <x:c r="Z63" s="181"/>
      <x:c r="AA63" s="181"/>
      <x:c r="AB63" s="181"/>
      <x:c r="AC63" s="181"/>
      <x:c r="AD63" s="181"/>
      <x:c r="AE63" s="181"/>
      <x:c r="AF63" s="181"/>
      <x:c r="AG63" s="181"/>
      <x:c r="AH63" s="181"/>
      <x:c r="AI63" s="181"/>
      <x:c r="AJ63" s="181"/>
      <x:c r="AK63" s="181">
        <x:f>IFERROR(VLOOKUP(AJ63,DETALLE_CNOE!$A:$C,3,FALSE),"")</x:f>
      </x:c>
      <x:c r="AL63" s="181">
        <x:f>IFERROR(VLOOKUP(AJ63,DETALLE_CNOE!$A:$C,2,FALSE),"")</x:f>
      </x:c>
      <x:c r="AM63" s="181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1"/>
      <x:c r="N64" s="181"/>
      <x:c r="O64" s="183"/>
      <x:c r="P64" s="183"/>
      <x:c r="Q64" s="185"/>
      <x:c r="R64" s="183"/>
      <x:c r="S64" s="181"/>
      <x:c r="T64" s="181"/>
      <x:c r="U64" s="181"/>
      <x:c r="V64" s="181"/>
      <x:c r="W64" s="183"/>
      <x:c r="X64" s="181"/>
      <x:c r="Y64" s="183"/>
      <x:c r="Z64" s="181"/>
      <x:c r="AA64" s="181"/>
      <x:c r="AB64" s="181"/>
      <x:c r="AC64" s="181"/>
      <x:c r="AD64" s="181"/>
      <x:c r="AE64" s="181"/>
      <x:c r="AF64" s="181"/>
      <x:c r="AG64" s="181"/>
      <x:c r="AH64" s="181"/>
      <x:c r="AI64" s="181"/>
      <x:c r="AJ64" s="181"/>
      <x:c r="AK64" s="181">
        <x:f>IFERROR(VLOOKUP(AJ64,DETALLE_CNOE!$A:$C,3,FALSE),"")</x:f>
      </x:c>
      <x:c r="AL64" s="181">
        <x:f>IFERROR(VLOOKUP(AJ64,DETALLE_CNOE!$A:$C,2,FALSE),"")</x:f>
      </x:c>
      <x:c r="AM64" s="181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1"/>
      <x:c r="N65" s="181"/>
      <x:c r="O65" s="183"/>
      <x:c r="P65" s="183"/>
      <x:c r="Q65" s="185"/>
      <x:c r="R65" s="183"/>
      <x:c r="S65" s="181"/>
      <x:c r="T65" s="181"/>
      <x:c r="U65" s="181"/>
      <x:c r="V65" s="181"/>
      <x:c r="W65" s="183"/>
      <x:c r="X65" s="181"/>
      <x:c r="Y65" s="183"/>
      <x:c r="Z65" s="181"/>
      <x:c r="AA65" s="181"/>
      <x:c r="AB65" s="181"/>
      <x:c r="AC65" s="181"/>
      <x:c r="AD65" s="181"/>
      <x:c r="AE65" s="181"/>
      <x:c r="AF65" s="181"/>
      <x:c r="AG65" s="181"/>
      <x:c r="AH65" s="181"/>
      <x:c r="AI65" s="181"/>
      <x:c r="AJ65" s="181"/>
      <x:c r="AK65" s="181">
        <x:f>IFERROR(VLOOKUP(AJ65,DETALLE_CNOE!$A:$C,3,FALSE),"")</x:f>
      </x:c>
      <x:c r="AL65" s="181">
        <x:f>IFERROR(VLOOKUP(AJ65,DETALLE_CNOE!$A:$C,2,FALSE),"")</x:f>
      </x:c>
      <x:c r="AM65" s="181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1"/>
      <x:c r="N66" s="181"/>
      <x:c r="O66" s="183"/>
      <x:c r="P66" s="183"/>
      <x:c r="Q66" s="185"/>
      <x:c r="R66" s="183"/>
      <x:c r="S66" s="181"/>
      <x:c r="T66" s="181"/>
      <x:c r="U66" s="181"/>
      <x:c r="V66" s="181"/>
      <x:c r="W66" s="183"/>
      <x:c r="X66" s="181"/>
      <x:c r="Y66" s="183"/>
      <x:c r="Z66" s="181"/>
      <x:c r="AA66" s="181"/>
      <x:c r="AB66" s="181"/>
      <x:c r="AC66" s="181"/>
      <x:c r="AD66" s="181"/>
      <x:c r="AE66" s="181"/>
      <x:c r="AF66" s="181"/>
      <x:c r="AG66" s="181"/>
      <x:c r="AH66" s="181"/>
      <x:c r="AI66" s="181"/>
      <x:c r="AJ66" s="181"/>
      <x:c r="AK66" s="181">
        <x:f>IFERROR(VLOOKUP(AJ66,DETALLE_CNOE!$A:$C,3,FALSE),"")</x:f>
      </x:c>
      <x:c r="AL66" s="181">
        <x:f>IFERROR(VLOOKUP(AJ66,DETALLE_CNOE!$A:$C,2,FALSE),"")</x:f>
      </x:c>
      <x:c r="AM66" s="181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1"/>
      <x:c r="N67" s="181"/>
      <x:c r="O67" s="183"/>
      <x:c r="P67" s="183"/>
      <x:c r="Q67" s="185"/>
      <x:c r="R67" s="183"/>
      <x:c r="S67" s="181"/>
      <x:c r="T67" s="181"/>
      <x:c r="U67" s="181"/>
      <x:c r="V67" s="181"/>
      <x:c r="W67" s="183"/>
      <x:c r="X67" s="181"/>
      <x:c r="Y67" s="183"/>
      <x:c r="Z67" s="181"/>
      <x:c r="AA67" s="181"/>
      <x:c r="AB67" s="181"/>
      <x:c r="AC67" s="181"/>
      <x:c r="AD67" s="181"/>
      <x:c r="AE67" s="181"/>
      <x:c r="AF67" s="181"/>
      <x:c r="AG67" s="181"/>
      <x:c r="AH67" s="181"/>
      <x:c r="AI67" s="181"/>
      <x:c r="AJ67" s="181"/>
      <x:c r="AK67" s="181">
        <x:f>IFERROR(VLOOKUP(AJ67,DETALLE_CNOE!$A:$C,3,FALSE),"")</x:f>
      </x:c>
      <x:c r="AL67" s="181">
        <x:f>IFERROR(VLOOKUP(AJ67,DETALLE_CNOE!$A:$C,2,FALSE),"")</x:f>
      </x:c>
      <x:c r="AM67" s="181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1"/>
      <x:c r="N68" s="181"/>
      <x:c r="O68" s="183"/>
      <x:c r="P68" s="183"/>
      <x:c r="Q68" s="185"/>
      <x:c r="R68" s="183"/>
      <x:c r="S68" s="181"/>
      <x:c r="T68" s="181"/>
      <x:c r="U68" s="181"/>
      <x:c r="V68" s="181"/>
      <x:c r="W68" s="183"/>
      <x:c r="X68" s="181"/>
      <x:c r="Y68" s="183"/>
      <x:c r="Z68" s="181"/>
      <x:c r="AA68" s="181"/>
      <x:c r="AB68" s="181"/>
      <x:c r="AC68" s="181"/>
      <x:c r="AD68" s="181"/>
      <x:c r="AE68" s="181"/>
      <x:c r="AF68" s="181"/>
      <x:c r="AG68" s="181"/>
      <x:c r="AH68" s="181"/>
      <x:c r="AI68" s="181"/>
      <x:c r="AJ68" s="181"/>
      <x:c r="AK68" s="181">
        <x:f>IFERROR(VLOOKUP(AJ68,DETALLE_CNOE!$A:$C,3,FALSE),"")</x:f>
      </x:c>
      <x:c r="AL68" s="181">
        <x:f>IFERROR(VLOOKUP(AJ68,DETALLE_CNOE!$A:$C,2,FALSE),"")</x:f>
      </x:c>
      <x:c r="AM68" s="181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1"/>
      <x:c r="N69" s="181"/>
      <x:c r="O69" s="183"/>
      <x:c r="P69" s="183"/>
      <x:c r="Q69" s="185"/>
      <x:c r="R69" s="183"/>
      <x:c r="S69" s="181"/>
      <x:c r="T69" s="181"/>
      <x:c r="U69" s="181"/>
      <x:c r="V69" s="181"/>
      <x:c r="W69" s="183"/>
      <x:c r="X69" s="181"/>
      <x:c r="Y69" s="183"/>
      <x:c r="Z69" s="181"/>
      <x:c r="AA69" s="181"/>
      <x:c r="AB69" s="181"/>
      <x:c r="AC69" s="181"/>
      <x:c r="AD69" s="181"/>
      <x:c r="AE69" s="181"/>
      <x:c r="AF69" s="181"/>
      <x:c r="AG69" s="181"/>
      <x:c r="AH69" s="181"/>
      <x:c r="AI69" s="181"/>
      <x:c r="AJ69" s="181"/>
      <x:c r="AK69" s="181">
        <x:f>IFERROR(VLOOKUP(AJ69,DETALLE_CNOE!$A:$C,3,FALSE),"")</x:f>
      </x:c>
      <x:c r="AL69" s="181">
        <x:f>IFERROR(VLOOKUP(AJ69,DETALLE_CNOE!$A:$C,2,FALSE),"")</x:f>
      </x:c>
      <x:c r="AM69" s="181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1"/>
      <x:c r="N70" s="181"/>
      <x:c r="O70" s="183"/>
      <x:c r="P70" s="183"/>
      <x:c r="Q70" s="185"/>
      <x:c r="R70" s="183"/>
      <x:c r="S70" s="181"/>
      <x:c r="T70" s="181"/>
      <x:c r="U70" s="181"/>
      <x:c r="V70" s="181"/>
      <x:c r="W70" s="183"/>
      <x:c r="X70" s="181"/>
      <x:c r="Y70" s="183"/>
      <x:c r="Z70" s="181"/>
      <x:c r="AA70" s="181"/>
      <x:c r="AB70" s="181"/>
      <x:c r="AC70" s="181"/>
      <x:c r="AD70" s="181"/>
      <x:c r="AE70" s="181"/>
      <x:c r="AF70" s="181"/>
      <x:c r="AG70" s="181"/>
      <x:c r="AH70" s="181"/>
      <x:c r="AI70" s="181"/>
      <x:c r="AJ70" s="181"/>
      <x:c r="AK70" s="181">
        <x:f>IFERROR(VLOOKUP(AJ70,DETALLE_CNOE!$A:$C,3,FALSE),"")</x:f>
      </x:c>
      <x:c r="AL70" s="181">
        <x:f>IFERROR(VLOOKUP(AJ70,DETALLE_CNOE!$A:$C,2,FALSE),"")</x:f>
      </x:c>
      <x:c r="AM70" s="181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1"/>
      <x:c r="N71" s="181"/>
      <x:c r="O71" s="183"/>
      <x:c r="P71" s="183"/>
      <x:c r="Q71" s="185"/>
      <x:c r="R71" s="183"/>
      <x:c r="S71" s="181"/>
      <x:c r="T71" s="181"/>
      <x:c r="U71" s="181"/>
      <x:c r="V71" s="181"/>
      <x:c r="W71" s="183"/>
      <x:c r="X71" s="181"/>
      <x:c r="Y71" s="183"/>
      <x:c r="Z71" s="181"/>
      <x:c r="AA71" s="181"/>
      <x:c r="AB71" s="181"/>
      <x:c r="AC71" s="181"/>
      <x:c r="AD71" s="181"/>
      <x:c r="AE71" s="181"/>
      <x:c r="AF71" s="181"/>
      <x:c r="AG71" s="181"/>
      <x:c r="AH71" s="181"/>
      <x:c r="AI71" s="181"/>
      <x:c r="AJ71" s="181"/>
      <x:c r="AK71" s="181">
        <x:f>IFERROR(VLOOKUP(AJ71,DETALLE_CNOE!$A:$C,3,FALSE),"")</x:f>
      </x:c>
      <x:c r="AL71" s="181">
        <x:f>IFERROR(VLOOKUP(AJ71,DETALLE_CNOE!$A:$C,2,FALSE),"")</x:f>
      </x:c>
      <x:c r="AM71" s="181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1"/>
      <x:c r="N72" s="181"/>
      <x:c r="O72" s="183"/>
      <x:c r="P72" s="183"/>
      <x:c r="Q72" s="185"/>
      <x:c r="R72" s="183"/>
      <x:c r="S72" s="181"/>
      <x:c r="T72" s="181"/>
      <x:c r="U72" s="181"/>
      <x:c r="V72" s="181"/>
      <x:c r="W72" s="183"/>
      <x:c r="X72" s="181"/>
      <x:c r="Y72" s="183"/>
      <x:c r="Z72" s="181"/>
      <x:c r="AA72" s="181"/>
      <x:c r="AB72" s="181"/>
      <x:c r="AC72" s="181"/>
      <x:c r="AD72" s="181"/>
      <x:c r="AE72" s="181"/>
      <x:c r="AF72" s="181"/>
      <x:c r="AG72" s="181"/>
      <x:c r="AH72" s="181"/>
      <x:c r="AI72" s="181"/>
      <x:c r="AJ72" s="181"/>
      <x:c r="AK72" s="181">
        <x:f>IFERROR(VLOOKUP(AJ72,DETALLE_CNOE!$A:$C,3,FALSE),"")</x:f>
      </x:c>
      <x:c r="AL72" s="181">
        <x:f>IFERROR(VLOOKUP(AJ72,DETALLE_CNOE!$A:$C,2,FALSE),"")</x:f>
      </x:c>
      <x:c r="AM72" s="181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1"/>
      <x:c r="N73" s="181"/>
      <x:c r="O73" s="183"/>
      <x:c r="P73" s="183"/>
      <x:c r="Q73" s="185"/>
      <x:c r="R73" s="183"/>
      <x:c r="S73" s="181"/>
      <x:c r="T73" s="181"/>
      <x:c r="U73" s="181"/>
      <x:c r="V73" s="181"/>
      <x:c r="W73" s="183"/>
      <x:c r="X73" s="181"/>
      <x:c r="Y73" s="183"/>
      <x:c r="Z73" s="181"/>
      <x:c r="AA73" s="181"/>
      <x:c r="AB73" s="181"/>
      <x:c r="AC73" s="181"/>
      <x:c r="AD73" s="181"/>
      <x:c r="AE73" s="181"/>
      <x:c r="AF73" s="181"/>
      <x:c r="AG73" s="181"/>
      <x:c r="AH73" s="181"/>
      <x:c r="AI73" s="181"/>
      <x:c r="AJ73" s="181"/>
      <x:c r="AK73" s="181">
        <x:f>IFERROR(VLOOKUP(AJ73,DETALLE_CNOE!$A:$C,3,FALSE),"")</x:f>
      </x:c>
      <x:c r="AL73" s="181">
        <x:f>IFERROR(VLOOKUP(AJ73,DETALLE_CNOE!$A:$C,2,FALSE),"")</x:f>
      </x:c>
      <x:c r="AM73" s="181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1"/>
      <x:c r="N74" s="181"/>
      <x:c r="O74" s="183"/>
      <x:c r="P74" s="183"/>
      <x:c r="Q74" s="185"/>
      <x:c r="R74" s="183"/>
      <x:c r="S74" s="181"/>
      <x:c r="T74" s="181"/>
      <x:c r="U74" s="181"/>
      <x:c r="V74" s="181"/>
      <x:c r="W74" s="183"/>
      <x:c r="X74" s="181"/>
      <x:c r="Y74" s="183"/>
      <x:c r="Z74" s="181"/>
      <x:c r="AA74" s="181"/>
      <x:c r="AB74" s="181"/>
      <x:c r="AC74" s="181"/>
      <x:c r="AD74" s="181"/>
      <x:c r="AE74" s="181"/>
      <x:c r="AF74" s="181"/>
      <x:c r="AG74" s="181"/>
      <x:c r="AH74" s="181"/>
      <x:c r="AI74" s="181"/>
      <x:c r="AJ74" s="181"/>
      <x:c r="AK74" s="181">
        <x:f>IFERROR(VLOOKUP(AJ74,DETALLE_CNOE!$A:$C,3,FALSE),"")</x:f>
      </x:c>
      <x:c r="AL74" s="181">
        <x:f>IFERROR(VLOOKUP(AJ74,DETALLE_CNOE!$A:$C,2,FALSE),"")</x:f>
      </x:c>
      <x:c r="AM74" s="181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1"/>
      <x:c r="N75" s="181"/>
      <x:c r="O75" s="183"/>
      <x:c r="P75" s="183"/>
      <x:c r="Q75" s="185"/>
      <x:c r="R75" s="183"/>
      <x:c r="S75" s="181"/>
      <x:c r="T75" s="181"/>
      <x:c r="U75" s="181"/>
      <x:c r="V75" s="181"/>
      <x:c r="W75" s="183"/>
      <x:c r="X75" s="181"/>
      <x:c r="Y75" s="183"/>
      <x:c r="Z75" s="181"/>
      <x:c r="AA75" s="181"/>
      <x:c r="AB75" s="181"/>
      <x:c r="AC75" s="181"/>
      <x:c r="AD75" s="181"/>
      <x:c r="AE75" s="181"/>
      <x:c r="AF75" s="181"/>
      <x:c r="AG75" s="181"/>
      <x:c r="AH75" s="181"/>
      <x:c r="AI75" s="181"/>
      <x:c r="AJ75" s="181"/>
      <x:c r="AK75" s="181">
        <x:f>IFERROR(VLOOKUP(AJ75,DETALLE_CNOE!$A:$C,3,FALSE),"")</x:f>
      </x:c>
      <x:c r="AL75" s="181">
        <x:f>IFERROR(VLOOKUP(AJ75,DETALLE_CNOE!$A:$C,2,FALSE),"")</x:f>
      </x:c>
      <x:c r="AM75" s="181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1"/>
      <x:c r="N76" s="181"/>
      <x:c r="O76" s="183"/>
      <x:c r="P76" s="183"/>
      <x:c r="Q76" s="185"/>
      <x:c r="R76" s="183"/>
      <x:c r="S76" s="181"/>
      <x:c r="T76" s="181"/>
      <x:c r="U76" s="181"/>
      <x:c r="V76" s="181"/>
      <x:c r="W76" s="183"/>
      <x:c r="X76" s="181"/>
      <x:c r="Y76" s="183"/>
      <x:c r="Z76" s="181"/>
      <x:c r="AA76" s="181"/>
      <x:c r="AB76" s="181"/>
      <x:c r="AC76" s="181"/>
      <x:c r="AD76" s="181"/>
      <x:c r="AE76" s="181"/>
      <x:c r="AF76" s="181"/>
      <x:c r="AG76" s="181"/>
      <x:c r="AH76" s="181"/>
      <x:c r="AI76" s="181"/>
      <x:c r="AJ76" s="181"/>
      <x:c r="AK76" s="181">
        <x:f>IFERROR(VLOOKUP(AJ76,DETALLE_CNOE!$A:$C,3,FALSE),"")</x:f>
      </x:c>
      <x:c r="AL76" s="181">
        <x:f>IFERROR(VLOOKUP(AJ76,DETALLE_CNOE!$A:$C,2,FALSE),"")</x:f>
      </x:c>
      <x:c r="AM76" s="181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1"/>
      <x:c r="N77" s="181"/>
      <x:c r="O77" s="183"/>
      <x:c r="P77" s="183"/>
      <x:c r="Q77" s="185"/>
      <x:c r="R77" s="183"/>
      <x:c r="S77" s="181"/>
      <x:c r="T77" s="181"/>
      <x:c r="U77" s="181"/>
      <x:c r="V77" s="181"/>
      <x:c r="W77" s="183"/>
      <x:c r="X77" s="181"/>
      <x:c r="Y77" s="183"/>
      <x:c r="Z77" s="181"/>
      <x:c r="AA77" s="181"/>
      <x:c r="AB77" s="181"/>
      <x:c r="AC77" s="181"/>
      <x:c r="AD77" s="181"/>
      <x:c r="AE77" s="181"/>
      <x:c r="AF77" s="181"/>
      <x:c r="AG77" s="181"/>
      <x:c r="AH77" s="181"/>
      <x:c r="AI77" s="181"/>
      <x:c r="AJ77" s="181"/>
      <x:c r="AK77" s="181">
        <x:f>IFERROR(VLOOKUP(AJ77,DETALLE_CNOE!$A:$C,3,FALSE),"")</x:f>
      </x:c>
      <x:c r="AL77" s="181">
        <x:f>IFERROR(VLOOKUP(AJ77,DETALLE_CNOE!$A:$C,2,FALSE),"")</x:f>
      </x:c>
      <x:c r="AM77" s="181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1"/>
      <x:c r="N78" s="181"/>
      <x:c r="O78" s="183"/>
      <x:c r="P78" s="183"/>
      <x:c r="Q78" s="185"/>
      <x:c r="R78" s="183"/>
      <x:c r="S78" s="181"/>
      <x:c r="T78" s="181"/>
      <x:c r="U78" s="181"/>
      <x:c r="V78" s="181"/>
      <x:c r="W78" s="183"/>
      <x:c r="X78" s="181"/>
      <x:c r="Y78" s="183"/>
      <x:c r="Z78" s="181"/>
      <x:c r="AA78" s="181"/>
      <x:c r="AB78" s="181"/>
      <x:c r="AC78" s="181"/>
      <x:c r="AD78" s="181"/>
      <x:c r="AE78" s="181"/>
      <x:c r="AF78" s="181"/>
      <x:c r="AG78" s="181"/>
      <x:c r="AH78" s="181"/>
      <x:c r="AI78" s="181"/>
      <x:c r="AJ78" s="181"/>
      <x:c r="AK78" s="181">
        <x:f>IFERROR(VLOOKUP(AJ78,DETALLE_CNOE!$A:$C,3,FALSE),"")</x:f>
      </x:c>
      <x:c r="AL78" s="181">
        <x:f>IFERROR(VLOOKUP(AJ78,DETALLE_CNOE!$A:$C,2,FALSE),"")</x:f>
      </x:c>
      <x:c r="AM78" s="181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1"/>
      <x:c r="N79" s="181"/>
      <x:c r="O79" s="183"/>
      <x:c r="P79" s="183"/>
      <x:c r="Q79" s="185"/>
      <x:c r="R79" s="183"/>
      <x:c r="S79" s="181"/>
      <x:c r="T79" s="181"/>
      <x:c r="U79" s="181"/>
      <x:c r="V79" s="181"/>
      <x:c r="W79" s="183"/>
      <x:c r="X79" s="181"/>
      <x:c r="Y79" s="183"/>
      <x:c r="Z79" s="181"/>
      <x:c r="AA79" s="181"/>
      <x:c r="AB79" s="181"/>
      <x:c r="AC79" s="181"/>
      <x:c r="AD79" s="181"/>
      <x:c r="AE79" s="181"/>
      <x:c r="AF79" s="181"/>
      <x:c r="AG79" s="181"/>
      <x:c r="AH79" s="181"/>
      <x:c r="AI79" s="181"/>
      <x:c r="AJ79" s="181"/>
      <x:c r="AK79" s="181">
        <x:f>IFERROR(VLOOKUP(AJ79,DETALLE_CNOE!$A:$C,3,FALSE),"")</x:f>
      </x:c>
      <x:c r="AL79" s="181">
        <x:f>IFERROR(VLOOKUP(AJ79,DETALLE_CNOE!$A:$C,2,FALSE),"")</x:f>
      </x:c>
      <x:c r="AM79" s="181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1"/>
      <x:c r="N80" s="181"/>
      <x:c r="O80" s="183"/>
      <x:c r="P80" s="183"/>
      <x:c r="Q80" s="185"/>
      <x:c r="R80" s="183"/>
      <x:c r="S80" s="181"/>
      <x:c r="T80" s="181"/>
      <x:c r="U80" s="181"/>
      <x:c r="V80" s="181"/>
      <x:c r="W80" s="183"/>
      <x:c r="X80" s="181"/>
      <x:c r="Y80" s="183"/>
      <x:c r="Z80" s="181"/>
      <x:c r="AA80" s="181"/>
      <x:c r="AB80" s="181"/>
      <x:c r="AC80" s="181"/>
      <x:c r="AD80" s="181"/>
      <x:c r="AE80" s="181"/>
      <x:c r="AF80" s="181"/>
      <x:c r="AG80" s="181"/>
      <x:c r="AH80" s="181"/>
      <x:c r="AI80" s="181"/>
      <x:c r="AJ80" s="181"/>
      <x:c r="AK80" s="181">
        <x:f>IFERROR(VLOOKUP(AJ80,DETALLE_CNOE!$A:$C,3,FALSE),"")</x:f>
      </x:c>
      <x:c r="AL80" s="181">
        <x:f>IFERROR(VLOOKUP(AJ80,DETALLE_CNOE!$A:$C,2,FALSE),"")</x:f>
      </x:c>
      <x:c r="AM80" s="181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1"/>
      <x:c r="N81" s="181"/>
      <x:c r="O81" s="183"/>
      <x:c r="P81" s="183"/>
      <x:c r="Q81" s="185"/>
      <x:c r="R81" s="183"/>
      <x:c r="S81" s="181"/>
      <x:c r="T81" s="181"/>
      <x:c r="U81" s="181"/>
      <x:c r="V81" s="181"/>
      <x:c r="W81" s="183"/>
      <x:c r="X81" s="181"/>
      <x:c r="Y81" s="183"/>
      <x:c r="Z81" s="181"/>
      <x:c r="AA81" s="181"/>
      <x:c r="AB81" s="181"/>
      <x:c r="AC81" s="181"/>
      <x:c r="AD81" s="181"/>
      <x:c r="AE81" s="181"/>
      <x:c r="AF81" s="181"/>
      <x:c r="AG81" s="181"/>
      <x:c r="AH81" s="181"/>
      <x:c r="AI81" s="181"/>
      <x:c r="AJ81" s="181"/>
      <x:c r="AK81" s="181">
        <x:f>IFERROR(VLOOKUP(AJ81,DETALLE_CNOE!$A:$C,3,FALSE),"")</x:f>
      </x:c>
      <x:c r="AL81" s="181">
        <x:f>IFERROR(VLOOKUP(AJ81,DETALLE_CNOE!$A:$C,2,FALSE),"")</x:f>
      </x:c>
      <x:c r="AM81" s="181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1"/>
      <x:c r="N82" s="181"/>
      <x:c r="O82" s="183"/>
      <x:c r="P82" s="183"/>
      <x:c r="Q82" s="185"/>
      <x:c r="R82" s="183"/>
      <x:c r="S82" s="181"/>
      <x:c r="T82" s="181"/>
      <x:c r="U82" s="181"/>
      <x:c r="V82" s="181"/>
      <x:c r="W82" s="183"/>
      <x:c r="X82" s="181"/>
      <x:c r="Y82" s="183"/>
      <x:c r="Z82" s="181"/>
      <x:c r="AA82" s="181"/>
      <x:c r="AB82" s="181"/>
      <x:c r="AC82" s="181"/>
      <x:c r="AD82" s="181"/>
      <x:c r="AE82" s="181"/>
      <x:c r="AF82" s="181"/>
      <x:c r="AG82" s="181"/>
      <x:c r="AH82" s="181"/>
      <x:c r="AI82" s="181"/>
      <x:c r="AJ82" s="181"/>
      <x:c r="AK82" s="181">
        <x:f>IFERROR(VLOOKUP(AJ82,DETALLE_CNOE!$A:$C,3,FALSE),"")</x:f>
      </x:c>
      <x:c r="AL82" s="181">
        <x:f>IFERROR(VLOOKUP(AJ82,DETALLE_CNOE!$A:$C,2,FALSE),"")</x:f>
      </x:c>
      <x:c r="AM82" s="181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1"/>
      <x:c r="N83" s="181"/>
      <x:c r="O83" s="183"/>
      <x:c r="P83" s="183"/>
      <x:c r="Q83" s="185"/>
      <x:c r="R83" s="183"/>
      <x:c r="S83" s="181"/>
      <x:c r="T83" s="181"/>
      <x:c r="U83" s="181"/>
      <x:c r="V83" s="181"/>
      <x:c r="W83" s="183"/>
      <x:c r="X83" s="181"/>
      <x:c r="Y83" s="183"/>
      <x:c r="Z83" s="181"/>
      <x:c r="AA83" s="181"/>
      <x:c r="AB83" s="181"/>
      <x:c r="AC83" s="181"/>
      <x:c r="AD83" s="181"/>
      <x:c r="AE83" s="181"/>
      <x:c r="AF83" s="181"/>
      <x:c r="AG83" s="181"/>
      <x:c r="AH83" s="181"/>
      <x:c r="AI83" s="181"/>
      <x:c r="AJ83" s="181"/>
      <x:c r="AK83" s="181">
        <x:f>IFERROR(VLOOKUP(AJ83,DETALLE_CNOE!$A:$C,3,FALSE),"")</x:f>
      </x:c>
      <x:c r="AL83" s="181">
        <x:f>IFERROR(VLOOKUP(AJ83,DETALLE_CNOE!$A:$C,2,FALSE),"")</x:f>
      </x:c>
      <x:c r="AM83" s="181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1"/>
      <x:c r="N84" s="181"/>
      <x:c r="O84" s="183"/>
      <x:c r="P84" s="183"/>
      <x:c r="Q84" s="185"/>
      <x:c r="R84" s="183"/>
      <x:c r="S84" s="181"/>
      <x:c r="T84" s="181"/>
      <x:c r="U84" s="181"/>
      <x:c r="V84" s="181"/>
      <x:c r="W84" s="183"/>
      <x:c r="X84" s="181"/>
      <x:c r="Y84" s="183"/>
      <x:c r="Z84" s="181"/>
      <x:c r="AA84" s="181"/>
      <x:c r="AB84" s="181"/>
      <x:c r="AC84" s="181"/>
      <x:c r="AD84" s="181"/>
      <x:c r="AE84" s="181"/>
      <x:c r="AF84" s="181"/>
      <x:c r="AG84" s="181"/>
      <x:c r="AH84" s="181"/>
      <x:c r="AI84" s="181"/>
      <x:c r="AJ84" s="181"/>
      <x:c r="AK84" s="181">
        <x:f>IFERROR(VLOOKUP(AJ84,DETALLE_CNOE!$A:$C,3,FALSE),"")</x:f>
      </x:c>
      <x:c r="AL84" s="181">
        <x:f>IFERROR(VLOOKUP(AJ84,DETALLE_CNOE!$A:$C,2,FALSE),"")</x:f>
      </x:c>
      <x:c r="AM84" s="181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1"/>
      <x:c r="N85" s="181"/>
      <x:c r="O85" s="183"/>
      <x:c r="P85" s="183"/>
      <x:c r="Q85" s="185"/>
      <x:c r="R85" s="183"/>
      <x:c r="S85" s="181"/>
      <x:c r="T85" s="181"/>
      <x:c r="U85" s="181"/>
      <x:c r="V85" s="181"/>
      <x:c r="W85" s="183"/>
      <x:c r="X85" s="181"/>
      <x:c r="Y85" s="183"/>
      <x:c r="Z85" s="181"/>
      <x:c r="AA85" s="181"/>
      <x:c r="AB85" s="181"/>
      <x:c r="AC85" s="181"/>
      <x:c r="AD85" s="181"/>
      <x:c r="AE85" s="181"/>
      <x:c r="AF85" s="181"/>
      <x:c r="AG85" s="181"/>
      <x:c r="AH85" s="181"/>
      <x:c r="AI85" s="181"/>
      <x:c r="AJ85" s="181"/>
      <x:c r="AK85" s="181">
        <x:f>IFERROR(VLOOKUP(AJ85,DETALLE_CNOE!$A:$C,3,FALSE),"")</x:f>
      </x:c>
      <x:c r="AL85" s="181">
        <x:f>IFERROR(VLOOKUP(AJ85,DETALLE_CNOE!$A:$C,2,FALSE),"")</x:f>
      </x:c>
      <x:c r="AM85" s="181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1"/>
      <x:c r="N86" s="181"/>
      <x:c r="O86" s="183"/>
      <x:c r="P86" s="183"/>
      <x:c r="Q86" s="185"/>
      <x:c r="R86" s="183"/>
      <x:c r="S86" s="181"/>
      <x:c r="T86" s="181"/>
      <x:c r="U86" s="181"/>
      <x:c r="V86" s="181"/>
      <x:c r="W86" s="183"/>
      <x:c r="X86" s="181"/>
      <x:c r="Y86" s="183"/>
      <x:c r="Z86" s="181"/>
      <x:c r="AA86" s="181"/>
      <x:c r="AB86" s="181"/>
      <x:c r="AC86" s="181"/>
      <x:c r="AD86" s="181"/>
      <x:c r="AE86" s="181"/>
      <x:c r="AF86" s="181"/>
      <x:c r="AG86" s="181"/>
      <x:c r="AH86" s="181"/>
      <x:c r="AI86" s="181"/>
      <x:c r="AJ86" s="181"/>
      <x:c r="AK86" s="181">
        <x:f>IFERROR(VLOOKUP(AJ86,DETALLE_CNOE!$A:$C,3,FALSE),"")</x:f>
      </x:c>
      <x:c r="AL86" s="181">
        <x:f>IFERROR(VLOOKUP(AJ86,DETALLE_CNOE!$A:$C,2,FALSE),"")</x:f>
      </x:c>
      <x:c r="AM86" s="181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1"/>
      <x:c r="N87" s="181"/>
      <x:c r="O87" s="183"/>
      <x:c r="P87" s="183"/>
      <x:c r="Q87" s="185"/>
      <x:c r="R87" s="183"/>
      <x:c r="S87" s="181"/>
      <x:c r="T87" s="181"/>
      <x:c r="U87" s="181"/>
      <x:c r="V87" s="181"/>
      <x:c r="W87" s="183"/>
      <x:c r="X87" s="181"/>
      <x:c r="Y87" s="183"/>
      <x:c r="Z87" s="181"/>
      <x:c r="AA87" s="181"/>
      <x:c r="AB87" s="181"/>
      <x:c r="AC87" s="181"/>
      <x:c r="AD87" s="181"/>
      <x:c r="AE87" s="181"/>
      <x:c r="AF87" s="181"/>
      <x:c r="AG87" s="181"/>
      <x:c r="AH87" s="181"/>
      <x:c r="AI87" s="181"/>
      <x:c r="AJ87" s="181"/>
      <x:c r="AK87" s="181">
        <x:f>IFERROR(VLOOKUP(AJ87,DETALLE_CNOE!$A:$C,3,FALSE),"")</x:f>
      </x:c>
      <x:c r="AL87" s="181">
        <x:f>IFERROR(VLOOKUP(AJ87,DETALLE_CNOE!$A:$C,2,FALSE),"")</x:f>
      </x:c>
      <x:c r="AM87" s="181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1"/>
      <x:c r="N88" s="181"/>
      <x:c r="O88" s="183"/>
      <x:c r="P88" s="183"/>
      <x:c r="Q88" s="185"/>
      <x:c r="R88" s="183"/>
      <x:c r="S88" s="181"/>
      <x:c r="T88" s="181"/>
      <x:c r="U88" s="181"/>
      <x:c r="V88" s="181"/>
      <x:c r="W88" s="183"/>
      <x:c r="X88" s="181"/>
      <x:c r="Y88" s="183"/>
      <x:c r="Z88" s="181"/>
      <x:c r="AA88" s="181"/>
      <x:c r="AB88" s="181"/>
      <x:c r="AC88" s="181"/>
      <x:c r="AD88" s="181"/>
      <x:c r="AE88" s="181"/>
      <x:c r="AF88" s="181"/>
      <x:c r="AG88" s="181"/>
      <x:c r="AH88" s="181"/>
      <x:c r="AI88" s="181"/>
      <x:c r="AJ88" s="181"/>
      <x:c r="AK88" s="181">
        <x:f>IFERROR(VLOOKUP(AJ88,DETALLE_CNOE!$A:$C,3,FALSE),"")</x:f>
      </x:c>
      <x:c r="AL88" s="181">
        <x:f>IFERROR(VLOOKUP(AJ88,DETALLE_CNOE!$A:$C,2,FALSE),"")</x:f>
      </x:c>
      <x:c r="AM88" s="181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1"/>
      <x:c r="N89" s="181"/>
      <x:c r="O89" s="183"/>
      <x:c r="P89" s="183"/>
      <x:c r="Q89" s="185"/>
      <x:c r="R89" s="183"/>
      <x:c r="S89" s="181"/>
      <x:c r="T89" s="181"/>
      <x:c r="U89" s="181"/>
      <x:c r="V89" s="181"/>
      <x:c r="W89" s="183"/>
      <x:c r="X89" s="181"/>
      <x:c r="Y89" s="183"/>
      <x:c r="Z89" s="181"/>
      <x:c r="AA89" s="181"/>
      <x:c r="AB89" s="181"/>
      <x:c r="AC89" s="181"/>
      <x:c r="AD89" s="181"/>
      <x:c r="AE89" s="181"/>
      <x:c r="AF89" s="181"/>
      <x:c r="AG89" s="181"/>
      <x:c r="AH89" s="181"/>
      <x:c r="AI89" s="181"/>
      <x:c r="AJ89" s="181"/>
      <x:c r="AK89" s="181">
        <x:f>IFERROR(VLOOKUP(AJ89,DETALLE_CNOE!$A:$C,3,FALSE),"")</x:f>
      </x:c>
      <x:c r="AL89" s="181">
        <x:f>IFERROR(VLOOKUP(AJ89,DETALLE_CNOE!$A:$C,2,FALSE),"")</x:f>
      </x:c>
      <x:c r="AM89" s="181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1"/>
      <x:c r="N90" s="181"/>
      <x:c r="O90" s="183"/>
      <x:c r="P90" s="183"/>
      <x:c r="Q90" s="185"/>
      <x:c r="R90" s="183"/>
      <x:c r="S90" s="181"/>
      <x:c r="T90" s="181"/>
      <x:c r="U90" s="181"/>
      <x:c r="V90" s="181"/>
      <x:c r="W90" s="183"/>
      <x:c r="X90" s="181"/>
      <x:c r="Y90" s="183"/>
      <x:c r="Z90" s="181"/>
      <x:c r="AA90" s="181"/>
      <x:c r="AB90" s="181"/>
      <x:c r="AC90" s="181"/>
      <x:c r="AD90" s="181"/>
      <x:c r="AE90" s="181"/>
      <x:c r="AF90" s="181"/>
      <x:c r="AG90" s="181"/>
      <x:c r="AH90" s="181"/>
      <x:c r="AI90" s="181"/>
      <x:c r="AJ90" s="181"/>
      <x:c r="AK90" s="181">
        <x:f>IFERROR(VLOOKUP(AJ90,DETALLE_CNOE!$A:$C,3,FALSE),"")</x:f>
      </x:c>
      <x:c r="AL90" s="181">
        <x:f>IFERROR(VLOOKUP(AJ90,DETALLE_CNOE!$A:$C,2,FALSE),"")</x:f>
      </x:c>
      <x:c r="AM90" s="181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1"/>
      <x:c r="N91" s="181"/>
      <x:c r="O91" s="183"/>
      <x:c r="P91" s="183"/>
      <x:c r="Q91" s="185"/>
      <x:c r="R91" s="183"/>
      <x:c r="S91" s="181"/>
      <x:c r="T91" s="181"/>
      <x:c r="U91" s="181"/>
      <x:c r="V91" s="181"/>
      <x:c r="W91" s="183"/>
      <x:c r="X91" s="181"/>
      <x:c r="Y91" s="183"/>
      <x:c r="Z91" s="181"/>
      <x:c r="AA91" s="181"/>
      <x:c r="AB91" s="181"/>
      <x:c r="AC91" s="181"/>
      <x:c r="AD91" s="181"/>
      <x:c r="AE91" s="181"/>
      <x:c r="AF91" s="181"/>
      <x:c r="AG91" s="181"/>
      <x:c r="AH91" s="181"/>
      <x:c r="AI91" s="181"/>
      <x:c r="AJ91" s="181"/>
      <x:c r="AK91" s="181">
        <x:f>IFERROR(VLOOKUP(AJ91,DETALLE_CNOE!$A:$C,3,FALSE),"")</x:f>
      </x:c>
      <x:c r="AL91" s="181">
        <x:f>IFERROR(VLOOKUP(AJ91,DETALLE_CNOE!$A:$C,2,FALSE),"")</x:f>
      </x:c>
      <x:c r="AM91" s="181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1"/>
      <x:c r="N92" s="181"/>
      <x:c r="O92" s="183"/>
      <x:c r="P92" s="183"/>
      <x:c r="Q92" s="185"/>
      <x:c r="R92" s="183"/>
      <x:c r="S92" s="181"/>
      <x:c r="T92" s="181"/>
      <x:c r="U92" s="181"/>
      <x:c r="V92" s="181"/>
      <x:c r="W92" s="183"/>
      <x:c r="X92" s="181"/>
      <x:c r="Y92" s="183"/>
      <x:c r="Z92" s="181"/>
      <x:c r="AA92" s="181"/>
      <x:c r="AB92" s="181"/>
      <x:c r="AC92" s="181"/>
      <x:c r="AD92" s="181"/>
      <x:c r="AE92" s="181"/>
      <x:c r="AF92" s="181"/>
      <x:c r="AG92" s="181"/>
      <x:c r="AH92" s="181"/>
      <x:c r="AI92" s="181"/>
      <x:c r="AJ92" s="181"/>
      <x:c r="AK92" s="181">
        <x:f>IFERROR(VLOOKUP(AJ92,DETALLE_CNOE!$A:$C,3,FALSE),"")</x:f>
      </x:c>
      <x:c r="AL92" s="181">
        <x:f>IFERROR(VLOOKUP(AJ92,DETALLE_CNOE!$A:$C,2,FALSE),"")</x:f>
      </x:c>
      <x:c r="AM92" s="181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1"/>
      <x:c r="N93" s="181"/>
      <x:c r="O93" s="183"/>
      <x:c r="P93" s="183"/>
      <x:c r="Q93" s="185"/>
      <x:c r="R93" s="183"/>
      <x:c r="S93" s="181"/>
      <x:c r="T93" s="181"/>
      <x:c r="U93" s="181"/>
      <x:c r="V93" s="181"/>
      <x:c r="W93" s="183"/>
      <x:c r="X93" s="181"/>
      <x:c r="Y93" s="183"/>
      <x:c r="Z93" s="181"/>
      <x:c r="AA93" s="181"/>
      <x:c r="AB93" s="181"/>
      <x:c r="AC93" s="181"/>
      <x:c r="AD93" s="181"/>
      <x:c r="AE93" s="181"/>
      <x:c r="AF93" s="181"/>
      <x:c r="AG93" s="181"/>
      <x:c r="AH93" s="181"/>
      <x:c r="AI93" s="181"/>
      <x:c r="AJ93" s="181"/>
      <x:c r="AK93" s="181">
        <x:f>IFERROR(VLOOKUP(AJ93,DETALLE_CNOE!$A:$C,3,FALSE),"")</x:f>
      </x:c>
      <x:c r="AL93" s="181">
        <x:f>IFERROR(VLOOKUP(AJ93,DETALLE_CNOE!$A:$C,2,FALSE),"")</x:f>
      </x:c>
      <x:c r="AM93" s="181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1"/>
      <x:c r="N94" s="181"/>
      <x:c r="O94" s="183"/>
      <x:c r="P94" s="183"/>
      <x:c r="Q94" s="185"/>
      <x:c r="R94" s="183"/>
      <x:c r="S94" s="181"/>
      <x:c r="T94" s="181"/>
      <x:c r="U94" s="181"/>
      <x:c r="V94" s="181"/>
      <x:c r="W94" s="183"/>
      <x:c r="X94" s="181"/>
      <x:c r="Y94" s="183"/>
      <x:c r="Z94" s="181"/>
      <x:c r="AA94" s="181"/>
      <x:c r="AB94" s="181"/>
      <x:c r="AC94" s="181"/>
      <x:c r="AD94" s="181"/>
      <x:c r="AE94" s="181"/>
      <x:c r="AF94" s="181"/>
      <x:c r="AG94" s="181"/>
      <x:c r="AH94" s="181"/>
      <x:c r="AI94" s="181"/>
      <x:c r="AJ94" s="181"/>
      <x:c r="AK94" s="181">
        <x:f>IFERROR(VLOOKUP(AJ94,DETALLE_CNOE!$A:$C,3,FALSE),"")</x:f>
      </x:c>
      <x:c r="AL94" s="181">
        <x:f>IFERROR(VLOOKUP(AJ94,DETALLE_CNOE!$A:$C,2,FALSE),"")</x:f>
      </x:c>
      <x:c r="AM94" s="181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1"/>
      <x:c r="N95" s="181"/>
      <x:c r="O95" s="183"/>
      <x:c r="P95" s="183"/>
      <x:c r="Q95" s="185"/>
      <x:c r="R95" s="183"/>
      <x:c r="S95" s="181"/>
      <x:c r="T95" s="181"/>
      <x:c r="U95" s="181"/>
      <x:c r="V95" s="181"/>
      <x:c r="W95" s="183"/>
      <x:c r="X95" s="181"/>
      <x:c r="Y95" s="183"/>
      <x:c r="Z95" s="181"/>
      <x:c r="AA95" s="181"/>
      <x:c r="AB95" s="181"/>
      <x:c r="AC95" s="181"/>
      <x:c r="AD95" s="181"/>
      <x:c r="AE95" s="181"/>
      <x:c r="AF95" s="181"/>
      <x:c r="AG95" s="181"/>
      <x:c r="AH95" s="181"/>
      <x:c r="AI95" s="181"/>
      <x:c r="AJ95" s="181"/>
      <x:c r="AK95" s="181">
        <x:f>IFERROR(VLOOKUP(AJ95,DETALLE_CNOE!$A:$C,3,FALSE),"")</x:f>
      </x:c>
      <x:c r="AL95" s="181">
        <x:f>IFERROR(VLOOKUP(AJ95,DETALLE_CNOE!$A:$C,2,FALSE),"")</x:f>
      </x:c>
      <x:c r="AM95" s="181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1"/>
      <x:c r="N96" s="181"/>
      <x:c r="O96" s="183"/>
      <x:c r="P96" s="183"/>
      <x:c r="Q96" s="185"/>
      <x:c r="R96" s="183"/>
      <x:c r="S96" s="181"/>
      <x:c r="T96" s="181"/>
      <x:c r="U96" s="181"/>
      <x:c r="V96" s="181"/>
      <x:c r="W96" s="183"/>
      <x:c r="X96" s="181"/>
      <x:c r="Y96" s="183"/>
      <x:c r="Z96" s="181"/>
      <x:c r="AA96" s="181"/>
      <x:c r="AB96" s="181"/>
      <x:c r="AC96" s="181"/>
      <x:c r="AD96" s="181"/>
      <x:c r="AE96" s="181"/>
      <x:c r="AF96" s="181"/>
      <x:c r="AG96" s="181"/>
      <x:c r="AH96" s="181"/>
      <x:c r="AI96" s="181"/>
      <x:c r="AJ96" s="181"/>
      <x:c r="AK96" s="181">
        <x:f>IFERROR(VLOOKUP(AJ96,DETALLE_CNOE!$A:$C,3,FALSE),"")</x:f>
      </x:c>
      <x:c r="AL96" s="181">
        <x:f>IFERROR(VLOOKUP(AJ96,DETALLE_CNOE!$A:$C,2,FALSE),"")</x:f>
      </x:c>
      <x:c r="AM96" s="181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1"/>
      <x:c r="N97" s="181"/>
      <x:c r="O97" s="183"/>
      <x:c r="P97" s="183"/>
      <x:c r="Q97" s="185"/>
      <x:c r="R97" s="183"/>
      <x:c r="S97" s="181"/>
      <x:c r="T97" s="181"/>
      <x:c r="U97" s="181"/>
      <x:c r="V97" s="181"/>
      <x:c r="W97" s="183"/>
      <x:c r="X97" s="181"/>
      <x:c r="Y97" s="183"/>
      <x:c r="Z97" s="181"/>
      <x:c r="AA97" s="181"/>
      <x:c r="AB97" s="181"/>
      <x:c r="AC97" s="181"/>
      <x:c r="AD97" s="181"/>
      <x:c r="AE97" s="181"/>
      <x:c r="AF97" s="181"/>
      <x:c r="AG97" s="181"/>
      <x:c r="AH97" s="181"/>
      <x:c r="AI97" s="181"/>
      <x:c r="AJ97" s="181"/>
      <x:c r="AK97" s="181">
        <x:f>IFERROR(VLOOKUP(AJ97,DETALLE_CNOE!$A:$C,3,FALSE),"")</x:f>
      </x:c>
      <x:c r="AL97" s="181">
        <x:f>IFERROR(VLOOKUP(AJ97,DETALLE_CNOE!$A:$C,2,FALSE),"")</x:f>
      </x:c>
      <x:c r="AM97" s="181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1"/>
      <x:c r="N98" s="181"/>
      <x:c r="O98" s="183"/>
      <x:c r="P98" s="183"/>
      <x:c r="Q98" s="185"/>
      <x:c r="R98" s="183"/>
      <x:c r="S98" s="181"/>
      <x:c r="T98" s="181"/>
      <x:c r="U98" s="181"/>
      <x:c r="V98" s="181"/>
      <x:c r="W98" s="183"/>
      <x:c r="X98" s="181"/>
      <x:c r="Y98" s="183"/>
      <x:c r="Z98" s="181"/>
      <x:c r="AA98" s="181"/>
      <x:c r="AB98" s="181"/>
      <x:c r="AC98" s="181"/>
      <x:c r="AD98" s="181"/>
      <x:c r="AE98" s="181"/>
      <x:c r="AF98" s="181"/>
      <x:c r="AG98" s="181"/>
      <x:c r="AH98" s="181"/>
      <x:c r="AI98" s="181"/>
      <x:c r="AJ98" s="181"/>
      <x:c r="AK98" s="181">
        <x:f>IFERROR(VLOOKUP(AJ98,DETALLE_CNOE!$A:$C,3,FALSE),"")</x:f>
      </x:c>
      <x:c r="AL98" s="181">
        <x:f>IFERROR(VLOOKUP(AJ98,DETALLE_CNOE!$A:$C,2,FALSE),"")</x:f>
      </x:c>
      <x:c r="AM98" s="181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1"/>
      <x:c r="N99" s="181"/>
      <x:c r="O99" s="183"/>
      <x:c r="P99" s="183"/>
      <x:c r="Q99" s="185"/>
      <x:c r="R99" s="183"/>
      <x:c r="S99" s="181"/>
      <x:c r="T99" s="181"/>
      <x:c r="U99" s="181"/>
      <x:c r="V99" s="181"/>
      <x:c r="W99" s="183"/>
      <x:c r="X99" s="181"/>
      <x:c r="Y99" s="183"/>
      <x:c r="Z99" s="181"/>
      <x:c r="AA99" s="181"/>
      <x:c r="AB99" s="181"/>
      <x:c r="AC99" s="181"/>
      <x:c r="AD99" s="181"/>
      <x:c r="AE99" s="181"/>
      <x:c r="AF99" s="181"/>
      <x:c r="AG99" s="181"/>
      <x:c r="AH99" s="181"/>
      <x:c r="AI99" s="181"/>
      <x:c r="AJ99" s="181"/>
      <x:c r="AK99" s="181">
        <x:f>IFERROR(VLOOKUP(AJ99,DETALLE_CNOE!$A:$C,3,FALSE),"")</x:f>
      </x:c>
      <x:c r="AL99" s="181">
        <x:f>IFERROR(VLOOKUP(AJ99,DETALLE_CNOE!$A:$C,2,FALSE),"")</x:f>
      </x:c>
      <x:c r="AM99" s="181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1"/>
      <x:c r="N100" s="181"/>
      <x:c r="O100" s="183"/>
      <x:c r="P100" s="183"/>
      <x:c r="Q100" s="185"/>
      <x:c r="R100" s="183"/>
      <x:c r="S100" s="181"/>
      <x:c r="T100" s="181"/>
      <x:c r="U100" s="181"/>
      <x:c r="V100" s="181"/>
      <x:c r="W100" s="183"/>
      <x:c r="X100" s="181"/>
      <x:c r="Y100" s="183"/>
      <x:c r="Z100" s="181"/>
      <x:c r="AA100" s="181"/>
      <x:c r="AB100" s="181"/>
      <x:c r="AC100" s="181"/>
      <x:c r="AD100" s="181"/>
      <x:c r="AE100" s="181"/>
      <x:c r="AF100" s="181"/>
      <x:c r="AG100" s="181"/>
      <x:c r="AH100" s="181"/>
      <x:c r="AI100" s="181"/>
      <x:c r="AJ100" s="181"/>
      <x:c r="AK100" s="181">
        <x:f>IFERROR(VLOOKUP(AJ100,DETALLE_CNOE!$A:$C,3,FALSE),"")</x:f>
      </x:c>
      <x:c r="AL100" s="181">
        <x:f>IFERROR(VLOOKUP(AJ100,DETALLE_CNOE!$A:$C,2,FALSE),"")</x:f>
      </x:c>
      <x:c r="AM100" s="181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6">
    <x:mergeCell ref="A1:AM1"/>
    <x:mergeCell ref="A2:B2"/>
    <x:mergeCell ref="C2:D2"/>
    <x:mergeCell ref="E2:I2"/>
    <x:mergeCell ref="J2:AF2"/>
    <x:mergeCell ref="AG2:AM2"/>
  </x:mergeCells>
  <x:dataValidations count="1">
    <x:dataValidation type="list" allowBlank="1" showErrorMessage="1" showInputMessage="1" sqref="AJ4:AJ1000">
      <x:formula1>Lista_CNOE</x:formula1>
    </x:dataValidation>
  </x:dataValidations>
  <x:pageMargins left="0.7" right="0.7" top="0.75" bottom="0.75" header="0.3" footer="0.3"/>
  <x:drawing r:id="R5e3690ffeb17423c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7" bestFit="1" customWidth="1" style="63"/>
    <x:col min="5" max="5" width="57" bestFit="1" customWidth="1" style="63"/>
    <x:col min="6" max="6" width="14" bestFit="1" customWidth="1" style="63"/>
    <x:col min="7" max="7" width="15" bestFit="1" customWidth="1" style="63"/>
    <x:col min="8" max="8" width="38" bestFit="1" customWidth="1" style="63"/>
    <x:col min="9" max="9" width="18" bestFit="1" customWidth="1" style="63"/>
    <x:col min="10" max="10" width="18" bestFit="1" customWidth="1" style="63"/>
    <x:col min="11" max="11" width="13" bestFit="1" customWidth="1" style="63"/>
    <x:col min="12" max="12" width="16" bestFit="1" customWidth="1" style="63"/>
    <x:col min="13" max="13" width="20" bestFit="1" customWidth="1" style="63"/>
    <x:col min="14" max="14" width="18" bestFit="1" customWidth="1" style="63"/>
    <x:col min="15" max="15" width="18" bestFit="1" customWidth="1" style="63"/>
    <x:col min="16" max="16" width="18" bestFit="1" customWidth="1" style="63"/>
    <x:col min="17" max="17" width="22" bestFit="1" customWidth="1" style="63"/>
    <x:col min="18" max="18" width="45" bestFit="1" customWidth="1" style="63"/>
    <x:col min="19" max="19" width="18" bestFit="1" customWidth="1" style="63"/>
    <x:col min="20" max="20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8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AT/EP</x:v>
      </x:c>
      <x:c r="L3" s="172" t="str">
        <x:v>Tipo Accidente</x:v>
      </x:c>
      <x:c r="M3" s="172" t="str">
        <x:v>Tipo de asistencia</x:v>
      </x:c>
      <x:c r="N3" s="172" t="str">
        <x:v>Fecha siguiente revisión médica Parte de Baja</x:v>
      </x:c>
      <x:c r="O3" s="172" t="str">
        <x:v>Fecha Agotamiento 545 días de IT</x:v>
      </x:c>
      <x:c r="P3" s="172" t="str">
        <x:v>Fecha de envío PB, PC o PA al INSS</x:v>
      </x:c>
      <x:c r="Q3" s="172" t="str">
        <x:v>Base reguladora INSS</x:v>
      </x:c>
      <x:c r="R3" s="172" t="str">
        <x:v>Código de resolución IT emitida por el INSS</x:v>
      </x:c>
      <x:c r="S3" s="172" t="str">
        <x:v>Fecha de resolución IT emitida por el INSS</x:v>
      </x:c>
      <x:c r="T3" s="172" t="str">
        <x:v>Fecha notificación denegación IP al trabajador</x:v>
      </x:c>
    </x:row>
    <x:row r="4" s="63" customFormat="1">
      <x:c r="A4" s="181" t="str">
        <x:v>2163</x:v>
      </x:c>
      <x:c r="B4" s="181" t="str">
        <x:v>00316077</x:v>
      </x:c>
      <x:c r="C4" s="183" t="n">
        <x:v>46213.24652777778101</x:v>
      </x:c>
      <x:c r="D4" s="181" t="str">
        <x:v>011135005063573</x:v>
      </x:c>
      <x:c r="E4" s="181" t="str">
        <x:v>GROSA S.L.</x:v>
      </x:c>
      <x:c r="F4" s="181" t="str">
        <x:v>350051717411</x:v>
      </x:c>
      <x:c r="G4" s="181" t="str">
        <x:v>000052858843J</x:v>
      </x:c>
      <x:c r="H4" s="181" t="str">
        <x:v>LOPEZ GUERRERO, ANTONIO FRANCIS</x:v>
      </x:c>
      <x:c r="I4" s="183" t="n">
        <x:v>43691</x:v>
      </x:c>
      <x:c r="J4" s="183"/>
      <x:c r="K4" s="183"/>
      <x:c r="L4" s="181"/>
      <x:c r="M4" s="181"/>
      <x:c r="N4" s="183" t="n">
        <x:v>46226</x:v>
      </x:c>
      <x:c r="O4" s="183" t="n">
        <x:v>46750</x:v>
      </x:c>
      <x:c r="P4" s="183" t="n">
        <x:v>46212</x:v>
      </x:c>
      <x:c r="Q4" s="181"/>
      <x:c r="R4" s="181"/>
      <x:c r="S4" s="183"/>
      <x:c r="T4" s="183"/>
    </x:row>
    <x:row r="5">
      <x:c r="A5" s="181" t="str">
        <x:v>1681</x:v>
      </x:c>
      <x:c r="B5" s="181" t="str">
        <x:v>00316077</x:v>
      </x:c>
      <x:c r="C5" s="183" t="n">
        <x:v>46213.24652777778101</x:v>
      </x:c>
      <x:c r="D5" s="181" t="str">
        <x:v>011135115989409</x:v>
      </x:c>
      <x:c r="E5" s="181" t="str">
        <x:v>TRANSPORTES Y GRUAS CARBALLO,SL</x:v>
      </x:c>
      <x:c r="F5" s="181" t="str">
        <x:v>351022156922</x:v>
      </x:c>
      <x:c r="G5" s="181" t="str">
        <x:v>000054081409Z</x:v>
      </x:c>
      <x:c r="H5" s="181" t="str">
        <x:v>SUAREZ SANTANA, DIONISIO ECHEDE</x:v>
      </x:c>
      <x:c r="I5" s="183" t="n">
        <x:v>45873</x:v>
      </x:c>
      <x:c r="J5" s="183"/>
      <x:c r="K5" s="183"/>
      <x:c r="L5" s="181"/>
      <x:c r="M5" s="181"/>
      <x:c r="N5" s="183" t="n">
        <x:v>46233</x:v>
      </x:c>
      <x:c r="O5" s="183" t="n">
        <x:v>46672</x:v>
      </x:c>
      <x:c r="P5" s="183" t="n">
        <x:v>46212</x:v>
      </x:c>
      <x:c r="Q5" s="181" t="n">
        <x:v>36.01</x:v>
      </x:c>
      <x:c r="R5" s="181"/>
      <x:c r="S5" s="183"/>
      <x:c r="T5" s="183"/>
    </x:row>
    <x:row r="6">
      <x:c r="A6" s="181" t="str">
        <x:v>2290</x:v>
      </x:c>
      <x:c r="B6" s="181" t="str">
        <x:v>00316077</x:v>
      </x:c>
      <x:c r="C6" s="183" t="n">
        <x:v>46213.24652777778101</x:v>
      </x:c>
      <x:c r="D6" s="181" t="str">
        <x:v>011135121800214</x:v>
      </x:c>
      <x:c r="E6" s="181" t="str">
        <x:v>CANARY GREEN CORNER, S.L.U.</x:v>
      </x:c>
      <x:c r="F6" s="181" t="str">
        <x:v>350059932196</x:v>
      </x:c>
      <x:c r="G6" s="181" t="str">
        <x:v>000052839257T</x:v>
      </x:c>
      <x:c r="H6" s="181" t="str">
        <x:v>CORDERO GONZALEZ, JOSE TOMAS</x:v>
      </x:c>
      <x:c r="I6" s="183" t="n">
        <x:v>44252</x:v>
      </x:c>
      <x:c r="J6" s="183"/>
      <x:c r="K6" s="183"/>
      <x:c r="L6" s="181"/>
      <x:c r="M6" s="181"/>
      <x:c r="N6" s="183" t="n">
        <x:v>46226</x:v>
      </x:c>
      <x:c r="O6" s="183" t="n">
        <x:v>46721</x:v>
      </x:c>
      <x:c r="P6" s="183" t="n">
        <x:v>46212</x:v>
      </x:c>
      <x:c r="Q6" s="181" t="n">
        <x:v>51.25</x:v>
      </x:c>
      <x:c r="R6" s="181"/>
      <x:c r="S6" s="183"/>
      <x:c r="T6" s="183"/>
    </x:row>
    <x:row r="7">
      <x:c r="A7" s="181" t="str">
        <x:v>1476</x:v>
      </x:c>
      <x:c r="B7" s="181" t="str">
        <x:v>00316077</x:v>
      </x:c>
      <x:c r="C7" s="183" t="n">
        <x:v>46213.24652777778101</x:v>
      </x:c>
      <x:c r="D7" s="181" t="str">
        <x:v>011138100817633</x:v>
      </x:c>
      <x:c r="E7" s="181" t="str">
        <x:v>ALUMINIOS CARPAL S.L.</x:v>
      </x:c>
      <x:c r="F7" s="181" t="str">
        <x:v>381006096300</x:v>
      </x:c>
      <x:c r="G7" s="181" t="str">
        <x:v>000078705669Z</x:v>
      </x:c>
      <x:c r="H7" s="181" t="str">
        <x:v>MENDEZ ALAMO, ESTEBAN DAVID</x:v>
      </x:c>
      <x:c r="I7" s="183" t="n">
        <x:v>45923</x:v>
      </x:c>
      <x:c r="J7" s="183"/>
      <x:c r="K7" s="183"/>
      <x:c r="L7" s="181"/>
      <x:c r="M7" s="181"/>
      <x:c r="N7" s="183" t="n">
        <x:v>46232</x:v>
      </x:c>
      <x:c r="O7" s="183" t="n">
        <x:v>46510</x:v>
      </x:c>
      <x:c r="P7" s="183" t="n">
        <x:v>46212</x:v>
      </x:c>
      <x:c r="Q7" s="181" t="n">
        <x:v>50.87</x:v>
      </x:c>
      <x:c r="R7" s="181"/>
      <x:c r="S7" s="183"/>
      <x:c r="T7" s="183"/>
    </x:row>
    <x:row r="8">
      <x:c r="A8" s="181" t="str">
        <x:v>1378</x:v>
      </x:c>
      <x:c r="B8" s="181" t="str">
        <x:v>00316077</x:v>
      </x:c>
      <x:c r="C8" s="183" t="n">
        <x:v>46213.24652777778101</x:v>
      </x:c>
      <x:c r="D8" s="181" t="str">
        <x:v>011138102537361</x:v>
      </x:c>
      <x:c r="E8" s="181" t="str">
        <x:v>CARGRI, S.L.</x:v>
      </x:c>
      <x:c r="F8" s="181" t="str">
        <x:v>381033206685</x:v>
      </x:c>
      <x:c r="G8" s="181" t="str">
        <x:v>000042419345P</x:v>
      </x:c>
      <x:c r="H8" s="181" t="str">
        <x:v>VARGAS SANTANA, MANUEL ARTURO</x:v>
      </x:c>
      <x:c r="I8" s="183" t="n">
        <x:v>45003</x:v>
      </x:c>
      <x:c r="J8" s="183"/>
      <x:c r="K8" s="183"/>
      <x:c r="L8" s="181"/>
      <x:c r="M8" s="181"/>
      <x:c r="N8" s="183"/>
      <x:c r="O8" s="183" t="n">
        <x:v>46750</x:v>
      </x:c>
      <x:c r="P8" s="183" t="n">
        <x:v>46212</x:v>
      </x:c>
      <x:c r="Q8" s="181"/>
      <x:c r="R8" s="181"/>
      <x:c r="S8" s="183"/>
      <x:c r="T8" s="183"/>
    </x:row>
    <x:row r="9">
      <x:c r="A9" s="181" t="str">
        <x:v>0347</x:v>
      </x:c>
      <x:c r="B9" s="181" t="str">
        <x:v>00316077</x:v>
      </x:c>
      <x:c r="C9" s="183" t="n">
        <x:v>46213.24652777778101</x:v>
      </x:c>
      <x:c r="D9" s="181" t="str">
        <x:v>011138104325700</x:v>
      </x:c>
      <x:c r="E9" s="181" t="str">
        <x:v>COMESA CANARIAS,S.L.U.</x:v>
      </x:c>
      <x:c r="F9" s="181" t="str">
        <x:v>381009516760</x:v>
      </x:c>
      <x:c r="G9" s="181" t="str">
        <x:v>000078618986H</x:v>
      </x:c>
      <x:c r="H9" s="181" t="str">
        <x:v>YANES PACHECO, JESUS DANIEL</x:v>
      </x:c>
      <x:c r="I9" s="183" t="n">
        <x:v>45497</x:v>
      </x:c>
      <x:c r="J9" s="183"/>
      <x:c r="K9" s="183"/>
      <x:c r="L9" s="181"/>
      <x:c r="M9" s="181"/>
      <x:c r="N9" s="183"/>
      <x:c r="O9" s="183" t="n">
        <x:v>46748</x:v>
      </x:c>
      <x:c r="P9" s="183" t="n">
        <x:v>46212</x:v>
      </x:c>
      <x:c r="Q9" s="181"/>
      <x:c r="R9" s="181"/>
      <x:c r="S9" s="183"/>
      <x:c r="T9" s="183"/>
    </x:row>
    <x:row r="10">
      <x:c r="A10" s="181" t="str">
        <x:v>1010</x:v>
      </x:c>
      <x:c r="B10" s="181" t="str">
        <x:v>00316077</x:v>
      </x:c>
      <x:c r="C10" s="183" t="n">
        <x:v>46213.24652777778101</x:v>
      </x:c>
      <x:c r="D10" s="181" t="str">
        <x:v>011138107526595</x:v>
      </x:c>
      <x:c r="E10" s="181" t="str">
        <x:v>HERNANDEZ           ALONSO              ESTEBAN DOMINGO</x:v>
      </x:c>
      <x:c r="F10" s="181" t="str">
        <x:v>381014777695</x:v>
      </x:c>
      <x:c r="G10" s="181" t="str">
        <x:v>000078568960V</x:v>
      </x:c>
      <x:c r="H10" s="181" t="str">
        <x:v>HERNANDEZ TRUJILLO, JOSE IVAN</x:v>
      </x:c>
      <x:c r="I10" s="183" t="n">
        <x:v>45495</x:v>
      </x:c>
      <x:c r="J10" s="183"/>
      <x:c r="K10" s="183"/>
      <x:c r="L10" s="181"/>
      <x:c r="M10" s="181"/>
      <x:c r="N10" s="183" t="n">
        <x:v>46247</x:v>
      </x:c>
      <x:c r="O10" s="183" t="n">
        <x:v>46642</x:v>
      </x:c>
      <x:c r="P10" s="183" t="n">
        <x:v>46212</x:v>
      </x:c>
      <x:c r="Q10" s="181" t="n">
        <x:v>61.22</x:v>
      </x:c>
      <x:c r="R10" s="181"/>
      <x:c r="S10" s="183"/>
      <x:c r="T10" s="183"/>
    </x:row>
    <x:row r="11">
      <x:c r="A11" s="181" t="str">
        <x:v>0699</x:v>
      </x:c>
      <x:c r="B11" s="181" t="str">
        <x:v>00316077</x:v>
      </x:c>
      <x:c r="C11" s="183" t="n">
        <x:v>46213.24652777778101</x:v>
      </x:c>
      <x:c r="D11" s="181" t="str">
        <x:v>011138113510687</x:v>
      </x:c>
      <x:c r="E11" s="181" t="str">
        <x:v>IZQUIERDO           IZQUIERDO           MANUEL JESUS</x:v>
      </x:c>
      <x:c r="F11" s="181" t="str">
        <x:v>381028306569</x:v>
      </x:c>
      <x:c r="G11" s="181" t="str">
        <x:v>000078637285D</x:v>
      </x:c>
      <x:c r="H11" s="181" t="str">
        <x:v>GONZALEZ BARROSO, CARLOS ANTONIO</x:v>
      </x:c>
      <x:c r="I11" s="183" t="n">
        <x:v>46104</x:v>
      </x:c>
      <x:c r="J11" s="183"/>
      <x:c r="K11" s="183" t="n">
        <x:v>46160</x:v>
      </x:c>
      <x:c r="L11" s="181" t="str">
        <x:v>1=Leve</x:v>
      </x:c>
      <x:c r="M11" s="181" t="str">
        <x:v>A=Ambulatoria</x:v>
      </x:c>
      <x:c r="N11" s="183" t="n">
        <x:v>46220</x:v>
      </x:c>
      <x:c r="O11" s="183" t="n">
        <x:v>46704</x:v>
      </x:c>
      <x:c r="P11" s="183" t="n">
        <x:v>46212</x:v>
      </x:c>
      <x:c r="Q11" s="181"/>
      <x:c r="R11" s="181"/>
      <x:c r="S11" s="183"/>
      <x:c r="T11" s="183"/>
    </x:row>
    <x:row r="12">
      <x:c r="A12" s="181" t="str">
        <x:v>1846</x:v>
      </x:c>
      <x:c r="B12" s="181" t="str">
        <x:v>00316077</x:v>
      </x:c>
      <x:c r="C12" s="183" t="n">
        <x:v>46213.24652777778101</x:v>
      </x:c>
      <x:c r="D12" s="181" t="str">
        <x:v>011138120237336</x:v>
      </x:c>
      <x:c r="E12" s="181" t="str">
        <x:v>MARTOS              DIAZ                DANIEL</x:v>
      </x:c>
      <x:c r="F12" s="181" t="str">
        <x:v>380052663702</x:v>
      </x:c>
      <x:c r="G12" s="181" t="str">
        <x:v>000043785392Q</x:v>
      </x:c>
      <x:c r="H12" s="181" t="str">
        <x:v>MESA LLAMERA, CARMEN A</x:v>
      </x:c>
      <x:c r="I12" s="183" t="n">
        <x:v>45043</x:v>
      </x:c>
      <x:c r="J12" s="183"/>
      <x:c r="K12" s="183"/>
      <x:c r="L12" s="181"/>
      <x:c r="M12" s="181"/>
      <x:c r="N12" s="183" t="n">
        <x:v>46233</x:v>
      </x:c>
      <x:c r="O12" s="183" t="n">
        <x:v>46686</x:v>
      </x:c>
      <x:c r="P12" s="183" t="n">
        <x:v>46212</x:v>
      </x:c>
      <x:c r="Q12" s="181" t="n">
        <x:v>22.92</x:v>
      </x:c>
      <x:c r="R12" s="181"/>
      <x:c r="S12" s="183"/>
      <x:c r="T12" s="183"/>
    </x:row>
    <x:row r="13">
      <x:c r="A13" s="181" t="str">
        <x:v>2273</x:v>
      </x:c>
      <x:c r="B13" s="181" t="str">
        <x:v>00316077</x:v>
      </x:c>
      <x:c r="C13" s="183" t="n">
        <x:v>46213.24652777778101</x:v>
      </x:c>
      <x:c r="D13" s="181" t="str">
        <x:v>011138120789327</x:v>
      </x:c>
      <x:c r="E13" s="181" t="str">
        <x:v>JOBEGELA SL</x:v>
      </x:c>
      <x:c r="F13" s="181" t="str">
        <x:v>381056325324</x:v>
      </x:c>
      <x:c r="G13" s="181" t="str">
        <x:v>000043835401T</x:v>
      </x:c>
      <x:c r="H13" s="181" t="str">
        <x:v>ROSALES CARRILLO, ELIANA</x:v>
      </x:c>
      <x:c r="I13" s="183" t="n">
        <x:v>44319</x:v>
      </x:c>
      <x:c r="J13" s="183"/>
      <x:c r="K13" s="183"/>
      <x:c r="L13" s="181"/>
      <x:c r="M13" s="181"/>
      <x:c r="N13" s="183"/>
      <x:c r="O13" s="183"/>
      <x:c r="P13" s="183"/>
      <x:c r="Q13" s="181" t="n">
        <x:v>50.77</x:v>
      </x:c>
      <x:c r="R13" s="181"/>
      <x:c r="S13" s="183"/>
      <x:c r="T13" s="183"/>
    </x:row>
    <x:row r="14">
      <x:c r="A14" s="181" t="str">
        <x:v>2593</x:v>
      </x:c>
      <x:c r="B14" s="181" t="str">
        <x:v>00316077</x:v>
      </x:c>
      <x:c r="C14" s="183" t="n">
        <x:v>46213.24652777778101</x:v>
      </x:c>
      <x:c r="D14" s="181" t="str">
        <x:v>011138123326683</x:v>
      </x:c>
      <x:c r="E14" s="181" t="str">
        <x:v>HERNANDEZ           VIZCAINO            ALAIN MAHY</x:v>
      </x:c>
      <x:c r="F14" s="181" t="str">
        <x:v>381022004502</x:v>
      </x:c>
      <x:c r="G14" s="181" t="str">
        <x:v>000042068959G</x:v>
      </x:c>
      <x:c r="H14" s="181" t="str">
        <x:v>HERNANDEZ RODRIGUEZ, MARIA CANDELARI</x:v>
      </x:c>
      <x:c r="I14" s="183" t="n">
        <x:v>45748</x:v>
      </x:c>
      <x:c r="J14" s="183"/>
      <x:c r="K14" s="183"/>
      <x:c r="L14" s="181"/>
      <x:c r="M14" s="181"/>
      <x:c r="N14" s="183" t="n">
        <x:v>46218</x:v>
      </x:c>
      <x:c r="O14" s="183" t="n">
        <x:v>46398</x:v>
      </x:c>
      <x:c r="P14" s="183" t="n">
        <x:v>46212</x:v>
      </x:c>
      <x:c r="Q14" s="181"/>
      <x:c r="R14" s="181"/>
      <x:c r="S14" s="183"/>
      <x:c r="T14" s="183"/>
    </x:row>
    <x:row r="15">
      <x:c r="A15" s="181"/>
      <x:c r="B15" s="181" t="str">
        <x:v>00316077</x:v>
      </x:c>
      <x:c r="C15" s="183" t="n">
        <x:v>46213.24652777778101</x:v>
      </x:c>
      <x:c r="D15" s="181" t="str">
        <x:v>0521</x:v>
      </x:c>
      <x:c r="E15" s="181"/>
      <x:c r="F15" s="181" t="str">
        <x:v>460174843312</x:v>
      </x:c>
      <x:c r="G15" s="181" t="str">
        <x:v>000042836127F</x:v>
      </x:c>
      <x:c r="H15" s="181" t="str">
        <x:v>SERRA GENOVES, JOSE JAVIER</x:v>
      </x:c>
      <x:c r="I15" s="183" t="n">
        <x:v>37316</x:v>
      </x:c>
      <x:c r="J15" s="183"/>
      <x:c r="K15" s="183"/>
      <x:c r="L15" s="181"/>
      <x:c r="M15" s="181"/>
      <x:c r="N15" s="183" t="n">
        <x:v>46226</x:v>
      </x:c>
      <x:c r="O15" s="183" t="n">
        <x:v>46735</x:v>
      </x:c>
      <x:c r="P15" s="183" t="n">
        <x:v>46212</x:v>
      </x:c>
      <x:c r="Q15" s="181"/>
      <x:c r="R15" s="181"/>
      <x:c r="S15" s="183"/>
      <x:c r="T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1"/>
      <x:c r="N16" s="183"/>
      <x:c r="O16" s="183"/>
      <x:c r="P16" s="183"/>
      <x:c r="Q16" s="181"/>
      <x:c r="R16" s="181"/>
      <x:c r="S16" s="183"/>
      <x:c r="T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1"/>
      <x:c r="N17" s="183"/>
      <x:c r="O17" s="183"/>
      <x:c r="P17" s="183"/>
      <x:c r="Q17" s="181"/>
      <x:c r="R17" s="181"/>
      <x:c r="S17" s="183"/>
      <x:c r="T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1"/>
      <x:c r="N18" s="183"/>
      <x:c r="O18" s="183"/>
      <x:c r="P18" s="183"/>
      <x:c r="Q18" s="181"/>
      <x:c r="R18" s="181"/>
      <x:c r="S18" s="183"/>
      <x:c r="T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1"/>
      <x:c r="N19" s="183"/>
      <x:c r="O19" s="183"/>
      <x:c r="P19" s="183"/>
      <x:c r="Q19" s="181"/>
      <x:c r="R19" s="181"/>
      <x:c r="S19" s="183"/>
      <x:c r="T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1"/>
      <x:c r="N20" s="183"/>
      <x:c r="O20" s="183"/>
      <x:c r="P20" s="183"/>
      <x:c r="Q20" s="181"/>
      <x:c r="R20" s="181"/>
      <x:c r="S20" s="183"/>
      <x:c r="T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1"/>
      <x:c r="N21" s="183"/>
      <x:c r="O21" s="183"/>
      <x:c r="P21" s="183"/>
      <x:c r="Q21" s="181"/>
      <x:c r="R21" s="181"/>
      <x:c r="S21" s="183"/>
      <x:c r="T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1"/>
      <x:c r="N22" s="183"/>
      <x:c r="O22" s="183"/>
      <x:c r="P22" s="183"/>
      <x:c r="Q22" s="181"/>
      <x:c r="R22" s="181"/>
      <x:c r="S22" s="183"/>
      <x:c r="T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1"/>
      <x:c r="N23" s="183"/>
      <x:c r="O23" s="183"/>
      <x:c r="P23" s="183"/>
      <x:c r="Q23" s="181"/>
      <x:c r="R23" s="181"/>
      <x:c r="S23" s="183"/>
      <x:c r="T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1"/>
      <x:c r="N24" s="183"/>
      <x:c r="O24" s="183"/>
      <x:c r="P24" s="183"/>
      <x:c r="Q24" s="181"/>
      <x:c r="R24" s="181"/>
      <x:c r="S24" s="183"/>
      <x:c r="T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1"/>
      <x:c r="N25" s="183"/>
      <x:c r="O25" s="183"/>
      <x:c r="P25" s="183"/>
      <x:c r="Q25" s="181"/>
      <x:c r="R25" s="181"/>
      <x:c r="S25" s="183"/>
      <x:c r="T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1"/>
      <x:c r="N26" s="183"/>
      <x:c r="O26" s="183"/>
      <x:c r="P26" s="183"/>
      <x:c r="Q26" s="181"/>
      <x:c r="R26" s="181"/>
      <x:c r="S26" s="183"/>
      <x:c r="T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1"/>
      <x:c r="N27" s="183"/>
      <x:c r="O27" s="183"/>
      <x:c r="P27" s="183"/>
      <x:c r="Q27" s="181"/>
      <x:c r="R27" s="181"/>
      <x:c r="S27" s="183"/>
      <x:c r="T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1"/>
      <x:c r="N28" s="183"/>
      <x:c r="O28" s="183"/>
      <x:c r="P28" s="183"/>
      <x:c r="Q28" s="181"/>
      <x:c r="R28" s="181"/>
      <x:c r="S28" s="183"/>
      <x:c r="T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1"/>
      <x:c r="N29" s="183"/>
      <x:c r="O29" s="183"/>
      <x:c r="P29" s="183"/>
      <x:c r="Q29" s="181"/>
      <x:c r="R29" s="181"/>
      <x:c r="S29" s="183"/>
      <x:c r="T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1"/>
      <x:c r="N30" s="183"/>
      <x:c r="O30" s="183"/>
      <x:c r="P30" s="183"/>
      <x:c r="Q30" s="181"/>
      <x:c r="R30" s="181"/>
      <x:c r="S30" s="183"/>
      <x:c r="T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1"/>
      <x:c r="N31" s="183"/>
      <x:c r="O31" s="183"/>
      <x:c r="P31" s="183"/>
      <x:c r="Q31" s="181"/>
      <x:c r="R31" s="181"/>
      <x:c r="S31" s="183"/>
      <x:c r="T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1"/>
      <x:c r="N32" s="183"/>
      <x:c r="O32" s="183"/>
      <x:c r="P32" s="183"/>
      <x:c r="Q32" s="181"/>
      <x:c r="R32" s="181"/>
      <x:c r="S32" s="183"/>
      <x:c r="T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1"/>
      <x:c r="N33" s="183"/>
      <x:c r="O33" s="183"/>
      <x:c r="P33" s="183"/>
      <x:c r="Q33" s="181"/>
      <x:c r="R33" s="181"/>
      <x:c r="S33" s="183"/>
      <x:c r="T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1"/>
      <x:c r="N34" s="183"/>
      <x:c r="O34" s="183"/>
      <x:c r="P34" s="183"/>
      <x:c r="Q34" s="181"/>
      <x:c r="R34" s="181"/>
      <x:c r="S34" s="183"/>
      <x:c r="T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1"/>
      <x:c r="N35" s="183"/>
      <x:c r="O35" s="183"/>
      <x:c r="P35" s="183"/>
      <x:c r="Q35" s="181"/>
      <x:c r="R35" s="181"/>
      <x:c r="S35" s="183"/>
      <x:c r="T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1"/>
      <x:c r="N36" s="183"/>
      <x:c r="O36" s="183"/>
      <x:c r="P36" s="183"/>
      <x:c r="Q36" s="181"/>
      <x:c r="R36" s="181"/>
      <x:c r="S36" s="183"/>
      <x:c r="T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1"/>
      <x:c r="N37" s="183"/>
      <x:c r="O37" s="183"/>
      <x:c r="P37" s="183"/>
      <x:c r="Q37" s="181"/>
      <x:c r="R37" s="181"/>
      <x:c r="S37" s="183"/>
      <x:c r="T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1"/>
      <x:c r="N38" s="183"/>
      <x:c r="O38" s="183"/>
      <x:c r="P38" s="183"/>
      <x:c r="Q38" s="181"/>
      <x:c r="R38" s="181"/>
      <x:c r="S38" s="183"/>
      <x:c r="T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1"/>
      <x:c r="N39" s="183"/>
      <x:c r="O39" s="183"/>
      <x:c r="P39" s="183"/>
      <x:c r="Q39" s="181"/>
      <x:c r="R39" s="181"/>
      <x:c r="S39" s="183"/>
      <x:c r="T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1"/>
      <x:c r="N40" s="183"/>
      <x:c r="O40" s="183"/>
      <x:c r="P40" s="183"/>
      <x:c r="Q40" s="181"/>
      <x:c r="R40" s="181"/>
      <x:c r="S40" s="183"/>
      <x:c r="T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1"/>
      <x:c r="N41" s="183"/>
      <x:c r="O41" s="183"/>
      <x:c r="P41" s="183"/>
      <x:c r="Q41" s="181"/>
      <x:c r="R41" s="181"/>
      <x:c r="S41" s="183"/>
      <x:c r="T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1"/>
      <x:c r="N42" s="183"/>
      <x:c r="O42" s="183"/>
      <x:c r="P42" s="183"/>
      <x:c r="Q42" s="181"/>
      <x:c r="R42" s="181"/>
      <x:c r="S42" s="183"/>
      <x:c r="T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1"/>
      <x:c r="N43" s="183"/>
      <x:c r="O43" s="183"/>
      <x:c r="P43" s="183"/>
      <x:c r="Q43" s="181"/>
      <x:c r="R43" s="181"/>
      <x:c r="S43" s="183"/>
      <x:c r="T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1"/>
      <x:c r="N44" s="183"/>
      <x:c r="O44" s="183"/>
      <x:c r="P44" s="183"/>
      <x:c r="Q44" s="181"/>
      <x:c r="R44" s="181"/>
      <x:c r="S44" s="183"/>
      <x:c r="T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1"/>
      <x:c r="N45" s="183"/>
      <x:c r="O45" s="183"/>
      <x:c r="P45" s="183"/>
      <x:c r="Q45" s="181"/>
      <x:c r="R45" s="181"/>
      <x:c r="S45" s="183"/>
      <x:c r="T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1"/>
      <x:c r="N46" s="183"/>
      <x:c r="O46" s="183"/>
      <x:c r="P46" s="183"/>
      <x:c r="Q46" s="181"/>
      <x:c r="R46" s="181"/>
      <x:c r="S46" s="183"/>
      <x:c r="T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1"/>
      <x:c r="N47" s="183"/>
      <x:c r="O47" s="183"/>
      <x:c r="P47" s="183"/>
      <x:c r="Q47" s="181"/>
      <x:c r="R47" s="181"/>
      <x:c r="S47" s="183"/>
      <x:c r="T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1"/>
      <x:c r="N48" s="183"/>
      <x:c r="O48" s="183"/>
      <x:c r="P48" s="183"/>
      <x:c r="Q48" s="181"/>
      <x:c r="R48" s="181"/>
      <x:c r="S48" s="183"/>
      <x:c r="T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1"/>
      <x:c r="N49" s="183"/>
      <x:c r="O49" s="183"/>
      <x:c r="P49" s="183"/>
      <x:c r="Q49" s="181"/>
      <x:c r="R49" s="181"/>
      <x:c r="S49" s="183"/>
      <x:c r="T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1"/>
      <x:c r="N50" s="183"/>
      <x:c r="O50" s="183"/>
      <x:c r="P50" s="183"/>
      <x:c r="Q50" s="181"/>
      <x:c r="R50" s="181"/>
      <x:c r="S50" s="183"/>
      <x:c r="T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1"/>
      <x:c r="N51" s="183"/>
      <x:c r="O51" s="183"/>
      <x:c r="P51" s="183"/>
      <x:c r="Q51" s="181"/>
      <x:c r="R51" s="181"/>
      <x:c r="S51" s="183"/>
      <x:c r="T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1"/>
      <x:c r="N52" s="183"/>
      <x:c r="O52" s="183"/>
      <x:c r="P52" s="183"/>
      <x:c r="Q52" s="181"/>
      <x:c r="R52" s="181"/>
      <x:c r="S52" s="183"/>
      <x:c r="T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1"/>
      <x:c r="N53" s="183"/>
      <x:c r="O53" s="183"/>
      <x:c r="P53" s="183"/>
      <x:c r="Q53" s="181"/>
      <x:c r="R53" s="181"/>
      <x:c r="S53" s="183"/>
      <x:c r="T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1"/>
      <x:c r="N54" s="183"/>
      <x:c r="O54" s="183"/>
      <x:c r="P54" s="183"/>
      <x:c r="Q54" s="181"/>
      <x:c r="R54" s="181"/>
      <x:c r="S54" s="183"/>
      <x:c r="T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1"/>
      <x:c r="N55" s="183"/>
      <x:c r="O55" s="183"/>
      <x:c r="P55" s="183"/>
      <x:c r="Q55" s="181"/>
      <x:c r="R55" s="181"/>
      <x:c r="S55" s="183"/>
      <x:c r="T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1"/>
      <x:c r="N56" s="183"/>
      <x:c r="O56" s="183"/>
      <x:c r="P56" s="183"/>
      <x:c r="Q56" s="181"/>
      <x:c r="R56" s="181"/>
      <x:c r="S56" s="183"/>
      <x:c r="T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1"/>
      <x:c r="N57" s="183"/>
      <x:c r="O57" s="183"/>
      <x:c r="P57" s="183"/>
      <x:c r="Q57" s="181"/>
      <x:c r="R57" s="181"/>
      <x:c r="S57" s="183"/>
      <x:c r="T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1"/>
      <x:c r="N58" s="183"/>
      <x:c r="O58" s="183"/>
      <x:c r="P58" s="183"/>
      <x:c r="Q58" s="181"/>
      <x:c r="R58" s="181"/>
      <x:c r="S58" s="183"/>
      <x:c r="T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1"/>
      <x:c r="N59" s="183"/>
      <x:c r="O59" s="183"/>
      <x:c r="P59" s="183"/>
      <x:c r="Q59" s="181"/>
      <x:c r="R59" s="181"/>
      <x:c r="S59" s="183"/>
      <x:c r="T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1"/>
      <x:c r="N60" s="183"/>
      <x:c r="O60" s="183"/>
      <x:c r="P60" s="183"/>
      <x:c r="Q60" s="181"/>
      <x:c r="R60" s="181"/>
      <x:c r="S60" s="183"/>
      <x:c r="T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1"/>
      <x:c r="N61" s="183"/>
      <x:c r="O61" s="183"/>
      <x:c r="P61" s="183"/>
      <x:c r="Q61" s="181"/>
      <x:c r="R61" s="181"/>
      <x:c r="S61" s="183"/>
      <x:c r="T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1"/>
      <x:c r="N62" s="183"/>
      <x:c r="O62" s="183"/>
      <x:c r="P62" s="183"/>
      <x:c r="Q62" s="181"/>
      <x:c r="R62" s="181"/>
      <x:c r="S62" s="183"/>
      <x:c r="T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1"/>
      <x:c r="N63" s="183"/>
      <x:c r="O63" s="183"/>
      <x:c r="P63" s="183"/>
      <x:c r="Q63" s="181"/>
      <x:c r="R63" s="181"/>
      <x:c r="S63" s="183"/>
      <x:c r="T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1"/>
      <x:c r="N64" s="183"/>
      <x:c r="O64" s="183"/>
      <x:c r="P64" s="183"/>
      <x:c r="Q64" s="181"/>
      <x:c r="R64" s="181"/>
      <x:c r="S64" s="183"/>
      <x:c r="T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1"/>
      <x:c r="N65" s="183"/>
      <x:c r="O65" s="183"/>
      <x:c r="P65" s="183"/>
      <x:c r="Q65" s="181"/>
      <x:c r="R65" s="181"/>
      <x:c r="S65" s="183"/>
      <x:c r="T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1"/>
      <x:c r="N66" s="183"/>
      <x:c r="O66" s="183"/>
      <x:c r="P66" s="183"/>
      <x:c r="Q66" s="181"/>
      <x:c r="R66" s="181"/>
      <x:c r="S66" s="183"/>
      <x:c r="T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1"/>
      <x:c r="N67" s="183"/>
      <x:c r="O67" s="183"/>
      <x:c r="P67" s="183"/>
      <x:c r="Q67" s="181"/>
      <x:c r="R67" s="181"/>
      <x:c r="S67" s="183"/>
      <x:c r="T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1"/>
      <x:c r="N68" s="183"/>
      <x:c r="O68" s="183"/>
      <x:c r="P68" s="183"/>
      <x:c r="Q68" s="181"/>
      <x:c r="R68" s="181"/>
      <x:c r="S68" s="183"/>
      <x:c r="T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1"/>
      <x:c r="N69" s="183"/>
      <x:c r="O69" s="183"/>
      <x:c r="P69" s="183"/>
      <x:c r="Q69" s="181"/>
      <x:c r="R69" s="181"/>
      <x:c r="S69" s="183"/>
      <x:c r="T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1"/>
      <x:c r="N70" s="183"/>
      <x:c r="O70" s="183"/>
      <x:c r="P70" s="183"/>
      <x:c r="Q70" s="181"/>
      <x:c r="R70" s="181"/>
      <x:c r="S70" s="183"/>
      <x:c r="T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1"/>
      <x:c r="N71" s="183"/>
      <x:c r="O71" s="183"/>
      <x:c r="P71" s="183"/>
      <x:c r="Q71" s="181"/>
      <x:c r="R71" s="181"/>
      <x:c r="S71" s="183"/>
      <x:c r="T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1"/>
      <x:c r="N72" s="183"/>
      <x:c r="O72" s="183"/>
      <x:c r="P72" s="183"/>
      <x:c r="Q72" s="181"/>
      <x:c r="R72" s="181"/>
      <x:c r="S72" s="183"/>
      <x:c r="T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1"/>
      <x:c r="N73" s="183"/>
      <x:c r="O73" s="183"/>
      <x:c r="P73" s="183"/>
      <x:c r="Q73" s="181"/>
      <x:c r="R73" s="181"/>
      <x:c r="S73" s="183"/>
      <x:c r="T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1"/>
      <x:c r="N74" s="183"/>
      <x:c r="O74" s="183"/>
      <x:c r="P74" s="183"/>
      <x:c r="Q74" s="181"/>
      <x:c r="R74" s="181"/>
      <x:c r="S74" s="183"/>
      <x:c r="T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1"/>
      <x:c r="N75" s="183"/>
      <x:c r="O75" s="183"/>
      <x:c r="P75" s="183"/>
      <x:c r="Q75" s="181"/>
      <x:c r="R75" s="181"/>
      <x:c r="S75" s="183"/>
      <x:c r="T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1"/>
      <x:c r="N76" s="183"/>
      <x:c r="O76" s="183"/>
      <x:c r="P76" s="183"/>
      <x:c r="Q76" s="181"/>
      <x:c r="R76" s="181"/>
      <x:c r="S76" s="183"/>
      <x:c r="T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1"/>
      <x:c r="N77" s="183"/>
      <x:c r="O77" s="183"/>
      <x:c r="P77" s="183"/>
      <x:c r="Q77" s="181"/>
      <x:c r="R77" s="181"/>
      <x:c r="S77" s="183"/>
      <x:c r="T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1"/>
      <x:c r="N78" s="183"/>
      <x:c r="O78" s="183"/>
      <x:c r="P78" s="183"/>
      <x:c r="Q78" s="181"/>
      <x:c r="R78" s="181"/>
      <x:c r="S78" s="183"/>
      <x:c r="T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1"/>
      <x:c r="N79" s="183"/>
      <x:c r="O79" s="183"/>
      <x:c r="P79" s="183"/>
      <x:c r="Q79" s="181"/>
      <x:c r="R79" s="181"/>
      <x:c r="S79" s="183"/>
      <x:c r="T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1"/>
      <x:c r="N80" s="183"/>
      <x:c r="O80" s="183"/>
      <x:c r="P80" s="183"/>
      <x:c r="Q80" s="181"/>
      <x:c r="R80" s="181"/>
      <x:c r="S80" s="183"/>
      <x:c r="T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1"/>
      <x:c r="N81" s="183"/>
      <x:c r="O81" s="183"/>
      <x:c r="P81" s="183"/>
      <x:c r="Q81" s="181"/>
      <x:c r="R81" s="181"/>
      <x:c r="S81" s="183"/>
      <x:c r="T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1"/>
      <x:c r="N82" s="183"/>
      <x:c r="O82" s="183"/>
      <x:c r="P82" s="183"/>
      <x:c r="Q82" s="181"/>
      <x:c r="R82" s="181"/>
      <x:c r="S82" s="183"/>
      <x:c r="T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1"/>
      <x:c r="N83" s="183"/>
      <x:c r="O83" s="183"/>
      <x:c r="P83" s="183"/>
      <x:c r="Q83" s="181"/>
      <x:c r="R83" s="181"/>
      <x:c r="S83" s="183"/>
      <x:c r="T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1"/>
      <x:c r="N84" s="183"/>
      <x:c r="O84" s="183"/>
      <x:c r="P84" s="183"/>
      <x:c r="Q84" s="181"/>
      <x:c r="R84" s="181"/>
      <x:c r="S84" s="183"/>
      <x:c r="T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1"/>
      <x:c r="N85" s="183"/>
      <x:c r="O85" s="183"/>
      <x:c r="P85" s="183"/>
      <x:c r="Q85" s="181"/>
      <x:c r="R85" s="181"/>
      <x:c r="S85" s="183"/>
      <x:c r="T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1"/>
      <x:c r="N86" s="183"/>
      <x:c r="O86" s="183"/>
      <x:c r="P86" s="183"/>
      <x:c r="Q86" s="181"/>
      <x:c r="R86" s="181"/>
      <x:c r="S86" s="183"/>
      <x:c r="T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1"/>
      <x:c r="N87" s="183"/>
      <x:c r="O87" s="183"/>
      <x:c r="P87" s="183"/>
      <x:c r="Q87" s="181"/>
      <x:c r="R87" s="181"/>
      <x:c r="S87" s="183"/>
      <x:c r="T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1"/>
      <x:c r="N88" s="183"/>
      <x:c r="O88" s="183"/>
      <x:c r="P88" s="183"/>
      <x:c r="Q88" s="181"/>
      <x:c r="R88" s="181"/>
      <x:c r="S88" s="183"/>
      <x:c r="T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1"/>
      <x:c r="N89" s="183"/>
      <x:c r="O89" s="183"/>
      <x:c r="P89" s="183"/>
      <x:c r="Q89" s="181"/>
      <x:c r="R89" s="181"/>
      <x:c r="S89" s="183"/>
      <x:c r="T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1"/>
      <x:c r="N90" s="183"/>
      <x:c r="O90" s="183"/>
      <x:c r="P90" s="183"/>
      <x:c r="Q90" s="181"/>
      <x:c r="R90" s="181"/>
      <x:c r="S90" s="183"/>
      <x:c r="T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1"/>
      <x:c r="N91" s="183"/>
      <x:c r="O91" s="183"/>
      <x:c r="P91" s="183"/>
      <x:c r="Q91" s="181"/>
      <x:c r="R91" s="181"/>
      <x:c r="S91" s="183"/>
      <x:c r="T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1"/>
      <x:c r="N92" s="183"/>
      <x:c r="O92" s="183"/>
      <x:c r="P92" s="183"/>
      <x:c r="Q92" s="181"/>
      <x:c r="R92" s="181"/>
      <x:c r="S92" s="183"/>
      <x:c r="T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1"/>
      <x:c r="N93" s="183"/>
      <x:c r="O93" s="183"/>
      <x:c r="P93" s="183"/>
      <x:c r="Q93" s="181"/>
      <x:c r="R93" s="181"/>
      <x:c r="S93" s="183"/>
      <x:c r="T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1"/>
      <x:c r="N94" s="183"/>
      <x:c r="O94" s="183"/>
      <x:c r="P94" s="183"/>
      <x:c r="Q94" s="181"/>
      <x:c r="R94" s="181"/>
      <x:c r="S94" s="183"/>
      <x:c r="T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1"/>
      <x:c r="N95" s="183"/>
      <x:c r="O95" s="183"/>
      <x:c r="P95" s="183"/>
      <x:c r="Q95" s="181"/>
      <x:c r="R95" s="181"/>
      <x:c r="S95" s="183"/>
      <x:c r="T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1"/>
      <x:c r="N96" s="183"/>
      <x:c r="O96" s="183"/>
      <x:c r="P96" s="183"/>
      <x:c r="Q96" s="181"/>
      <x:c r="R96" s="181"/>
      <x:c r="S96" s="183"/>
      <x:c r="T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1"/>
      <x:c r="N97" s="183"/>
      <x:c r="O97" s="183"/>
      <x:c r="P97" s="183"/>
      <x:c r="Q97" s="181"/>
      <x:c r="R97" s="181"/>
      <x:c r="S97" s="183"/>
      <x:c r="T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1"/>
      <x:c r="N98" s="183"/>
      <x:c r="O98" s="183"/>
      <x:c r="P98" s="183"/>
      <x:c r="Q98" s="181"/>
      <x:c r="R98" s="181"/>
      <x:c r="S98" s="183"/>
      <x:c r="T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1"/>
      <x:c r="N99" s="183"/>
      <x:c r="O99" s="183"/>
      <x:c r="P99" s="183"/>
      <x:c r="Q99" s="181"/>
      <x:c r="R99" s="181"/>
      <x:c r="S99" s="183"/>
      <x:c r="T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1"/>
      <x:c r="N100" s="183"/>
      <x:c r="O100" s="183"/>
      <x:c r="P100" s="183"/>
      <x:c r="Q100" s="181"/>
      <x:c r="R100" s="181"/>
      <x:c r="S100" s="183"/>
      <x:c r="T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T1"/>
    <x:mergeCell ref="A2:B2"/>
    <x:mergeCell ref="C2:D2"/>
    <x:mergeCell ref="E2:I2"/>
    <x:mergeCell ref="J2:T2"/>
  </x:mergeCells>
  <x:pageMargins left="0.7" right="0.7" top="0.75" bottom="0.75" header="0.3" footer="0.3"/>
  <x:drawing r:id="R443c67f1189e4d64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29" bestFit="1" customWidth="1" style="63"/>
    <x:col min="13" max="13" width="28" bestFit="1" customWidth="1" style="63"/>
    <x:col min="14" max="14" width="18" bestFit="1" customWidth="1" style="63"/>
    <x:col min="15" max="15" width="18" bestFit="1" customWidth="1" style="63"/>
    <x:col min="16" max="16" width="30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7"/>
      <x:c r="O2" s="167"/>
      <x:c r="P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Inicio Pago Directo</x:v>
      </x:c>
      <x:c r="L3" s="172" t="str">
        <x:v>Entidad Inicio Pago directo</x:v>
      </x:c>
      <x:c r="M3" s="172" t="str">
        <x:v>Entidad responsable actual</x:v>
      </x:c>
      <x:c r="N3" s="172" t="str">
        <x:v>Fecha Inicio Pago entidad responsable</x:v>
      </x:c>
      <x:c r="O3" s="172" t="str">
        <x:v>Fecha Fin pago directo</x:v>
      </x:c>
      <x:c r="P3" s="172" t="str">
        <x:v>Base reguladora pago directo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  <x:c r="L4" s="181"/>
      <x:c r="M4" s="181"/>
      <x:c r="N4" s="183"/>
      <x:c r="O4" s="183"/>
      <x:c r="P4" s="181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1"/>
      <x:c r="M5" s="181"/>
      <x:c r="N5" s="183"/>
      <x:c r="O5" s="183"/>
      <x:c r="P5" s="181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1"/>
      <x:c r="M6" s="181"/>
      <x:c r="N6" s="183"/>
      <x:c r="O6" s="183"/>
      <x:c r="P6" s="181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1"/>
      <x:c r="M7" s="181"/>
      <x:c r="N7" s="183"/>
      <x:c r="O7" s="183"/>
      <x:c r="P7" s="181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1"/>
      <x:c r="M8" s="181"/>
      <x:c r="N8" s="183"/>
      <x:c r="O8" s="183"/>
      <x:c r="P8" s="181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1"/>
      <x:c r="M9" s="181"/>
      <x:c r="N9" s="183"/>
      <x:c r="O9" s="183"/>
      <x:c r="P9" s="181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1"/>
      <x:c r="M10" s="181"/>
      <x:c r="N10" s="183"/>
      <x:c r="O10" s="183"/>
      <x:c r="P10" s="181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1"/>
      <x:c r="M11" s="181"/>
      <x:c r="N11" s="183"/>
      <x:c r="O11" s="183"/>
      <x:c r="P11" s="181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1"/>
      <x:c r="M12" s="181"/>
      <x:c r="N12" s="183"/>
      <x:c r="O12" s="183"/>
      <x:c r="P12" s="181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1"/>
      <x:c r="M13" s="181"/>
      <x:c r="N13" s="183"/>
      <x:c r="O13" s="183"/>
      <x:c r="P13" s="181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1"/>
      <x:c r="M14" s="181"/>
      <x:c r="N14" s="183"/>
      <x:c r="O14" s="183"/>
      <x:c r="P14" s="181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1"/>
      <x:c r="M15" s="181"/>
      <x:c r="N15" s="183"/>
      <x:c r="O15" s="183"/>
      <x:c r="P15" s="181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1"/>
      <x:c r="N16" s="183"/>
      <x:c r="O16" s="183"/>
      <x:c r="P16" s="181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1"/>
      <x:c r="N17" s="183"/>
      <x:c r="O17" s="183"/>
      <x:c r="P17" s="181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1"/>
      <x:c r="N18" s="183"/>
      <x:c r="O18" s="183"/>
      <x:c r="P18" s="181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1"/>
      <x:c r="N19" s="183"/>
      <x:c r="O19" s="183"/>
      <x:c r="P19" s="181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1"/>
      <x:c r="N20" s="183"/>
      <x:c r="O20" s="183"/>
      <x:c r="P20" s="181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1"/>
      <x:c r="N21" s="183"/>
      <x:c r="O21" s="183"/>
      <x:c r="P21" s="181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1"/>
      <x:c r="N22" s="183"/>
      <x:c r="O22" s="183"/>
      <x:c r="P22" s="181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1"/>
      <x:c r="N23" s="183"/>
      <x:c r="O23" s="183"/>
      <x:c r="P23" s="181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1"/>
      <x:c r="N24" s="183"/>
      <x:c r="O24" s="183"/>
      <x:c r="P24" s="181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1"/>
      <x:c r="N25" s="183"/>
      <x:c r="O25" s="183"/>
      <x:c r="P25" s="181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1"/>
      <x:c r="N26" s="183"/>
      <x:c r="O26" s="183"/>
      <x:c r="P26" s="181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1"/>
      <x:c r="N27" s="183"/>
      <x:c r="O27" s="183"/>
      <x:c r="P27" s="181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1"/>
      <x:c r="N28" s="183"/>
      <x:c r="O28" s="183"/>
      <x:c r="P28" s="181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1"/>
      <x:c r="N29" s="183"/>
      <x:c r="O29" s="183"/>
      <x:c r="P29" s="181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1"/>
      <x:c r="N30" s="183"/>
      <x:c r="O30" s="183"/>
      <x:c r="P30" s="181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1"/>
      <x:c r="N31" s="183"/>
      <x:c r="O31" s="183"/>
      <x:c r="P31" s="181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1"/>
      <x:c r="N32" s="183"/>
      <x:c r="O32" s="183"/>
      <x:c r="P32" s="181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1"/>
      <x:c r="N33" s="183"/>
      <x:c r="O33" s="183"/>
      <x:c r="P33" s="181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1"/>
      <x:c r="N34" s="183"/>
      <x:c r="O34" s="183"/>
      <x:c r="P34" s="181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1"/>
      <x:c r="N35" s="183"/>
      <x:c r="O35" s="183"/>
      <x:c r="P35" s="181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1"/>
      <x:c r="N36" s="183"/>
      <x:c r="O36" s="183"/>
      <x:c r="P36" s="181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1"/>
      <x:c r="N37" s="183"/>
      <x:c r="O37" s="183"/>
      <x:c r="P37" s="181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1"/>
      <x:c r="N38" s="183"/>
      <x:c r="O38" s="183"/>
      <x:c r="P38" s="181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1"/>
      <x:c r="N39" s="183"/>
      <x:c r="O39" s="183"/>
      <x:c r="P39" s="181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1"/>
      <x:c r="N40" s="183"/>
      <x:c r="O40" s="183"/>
      <x:c r="P40" s="181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1"/>
      <x:c r="N41" s="183"/>
      <x:c r="O41" s="183"/>
      <x:c r="P41" s="181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1"/>
      <x:c r="N42" s="183"/>
      <x:c r="O42" s="183"/>
      <x:c r="P42" s="181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1"/>
      <x:c r="N43" s="183"/>
      <x:c r="O43" s="183"/>
      <x:c r="P43" s="181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1"/>
      <x:c r="N44" s="183"/>
      <x:c r="O44" s="183"/>
      <x:c r="P44" s="181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1"/>
      <x:c r="N45" s="183"/>
      <x:c r="O45" s="183"/>
      <x:c r="P45" s="181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1"/>
      <x:c r="N46" s="183"/>
      <x:c r="O46" s="183"/>
      <x:c r="P46" s="181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1"/>
      <x:c r="N47" s="183"/>
      <x:c r="O47" s="183"/>
      <x:c r="P47" s="181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1"/>
      <x:c r="N48" s="183"/>
      <x:c r="O48" s="183"/>
      <x:c r="P48" s="181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1"/>
      <x:c r="N49" s="183"/>
      <x:c r="O49" s="183"/>
      <x:c r="P49" s="181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1"/>
      <x:c r="N50" s="183"/>
      <x:c r="O50" s="183"/>
      <x:c r="P50" s="181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1"/>
      <x:c r="N51" s="183"/>
      <x:c r="O51" s="183"/>
      <x:c r="P51" s="181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1"/>
      <x:c r="N52" s="183"/>
      <x:c r="O52" s="183"/>
      <x:c r="P52" s="181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1"/>
      <x:c r="N53" s="183"/>
      <x:c r="O53" s="183"/>
      <x:c r="P53" s="181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1"/>
      <x:c r="N54" s="183"/>
      <x:c r="O54" s="183"/>
      <x:c r="P54" s="181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1"/>
      <x:c r="N55" s="183"/>
      <x:c r="O55" s="183"/>
      <x:c r="P55" s="181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1"/>
      <x:c r="N56" s="183"/>
      <x:c r="O56" s="183"/>
      <x:c r="P56" s="181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1"/>
      <x:c r="N57" s="183"/>
      <x:c r="O57" s="183"/>
      <x:c r="P57" s="181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1"/>
      <x:c r="N58" s="183"/>
      <x:c r="O58" s="183"/>
      <x:c r="P58" s="181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1"/>
      <x:c r="N59" s="183"/>
      <x:c r="O59" s="183"/>
      <x:c r="P59" s="181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1"/>
      <x:c r="N60" s="183"/>
      <x:c r="O60" s="183"/>
      <x:c r="P60" s="181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1"/>
      <x:c r="N61" s="183"/>
      <x:c r="O61" s="183"/>
      <x:c r="P61" s="181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1"/>
      <x:c r="N62" s="183"/>
      <x:c r="O62" s="183"/>
      <x:c r="P62" s="181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1"/>
      <x:c r="N63" s="183"/>
      <x:c r="O63" s="183"/>
      <x:c r="P63" s="181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1"/>
      <x:c r="N64" s="183"/>
      <x:c r="O64" s="183"/>
      <x:c r="P64" s="181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1"/>
      <x:c r="N65" s="183"/>
      <x:c r="O65" s="183"/>
      <x:c r="P65" s="181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1"/>
      <x:c r="N66" s="183"/>
      <x:c r="O66" s="183"/>
      <x:c r="P66" s="181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1"/>
      <x:c r="N67" s="183"/>
      <x:c r="O67" s="183"/>
      <x:c r="P67" s="181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1"/>
      <x:c r="N68" s="183"/>
      <x:c r="O68" s="183"/>
      <x:c r="P68" s="181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1"/>
      <x:c r="N69" s="183"/>
      <x:c r="O69" s="183"/>
      <x:c r="P69" s="181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1"/>
      <x:c r="N70" s="183"/>
      <x:c r="O70" s="183"/>
      <x:c r="P70" s="181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1"/>
      <x:c r="N71" s="183"/>
      <x:c r="O71" s="183"/>
      <x:c r="P71" s="181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1"/>
      <x:c r="N72" s="183"/>
      <x:c r="O72" s="183"/>
      <x:c r="P72" s="181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1"/>
      <x:c r="N73" s="183"/>
      <x:c r="O73" s="183"/>
      <x:c r="P73" s="181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1"/>
      <x:c r="N74" s="183"/>
      <x:c r="O74" s="183"/>
      <x:c r="P74" s="181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1"/>
      <x:c r="N75" s="183"/>
      <x:c r="O75" s="183"/>
      <x:c r="P75" s="181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1"/>
      <x:c r="N76" s="183"/>
      <x:c r="O76" s="183"/>
      <x:c r="P76" s="181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1"/>
      <x:c r="N77" s="183"/>
      <x:c r="O77" s="183"/>
      <x:c r="P77" s="181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1"/>
      <x:c r="N78" s="183"/>
      <x:c r="O78" s="183"/>
      <x:c r="P78" s="181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1"/>
      <x:c r="N79" s="183"/>
      <x:c r="O79" s="183"/>
      <x:c r="P79" s="181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1"/>
      <x:c r="N80" s="183"/>
      <x:c r="O80" s="183"/>
      <x:c r="P80" s="181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1"/>
      <x:c r="N81" s="183"/>
      <x:c r="O81" s="183"/>
      <x:c r="P81" s="181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1"/>
      <x:c r="N82" s="183"/>
      <x:c r="O82" s="183"/>
      <x:c r="P82" s="181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1"/>
      <x:c r="N83" s="183"/>
      <x:c r="O83" s="183"/>
      <x:c r="P83" s="181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1"/>
      <x:c r="N84" s="183"/>
      <x:c r="O84" s="183"/>
      <x:c r="P84" s="181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1"/>
      <x:c r="N85" s="183"/>
      <x:c r="O85" s="183"/>
      <x:c r="P85" s="181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1"/>
      <x:c r="N86" s="183"/>
      <x:c r="O86" s="183"/>
      <x:c r="P86" s="181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1"/>
      <x:c r="N87" s="183"/>
      <x:c r="O87" s="183"/>
      <x:c r="P87" s="181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1"/>
      <x:c r="N88" s="183"/>
      <x:c r="O88" s="183"/>
      <x:c r="P88" s="181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1"/>
      <x:c r="N89" s="183"/>
      <x:c r="O89" s="183"/>
      <x:c r="P89" s="181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1"/>
      <x:c r="N90" s="183"/>
      <x:c r="O90" s="183"/>
      <x:c r="P90" s="181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1"/>
      <x:c r="N91" s="183"/>
      <x:c r="O91" s="183"/>
      <x:c r="P91" s="181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1"/>
      <x:c r="N92" s="183"/>
      <x:c r="O92" s="183"/>
      <x:c r="P92" s="181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1"/>
      <x:c r="N93" s="183"/>
      <x:c r="O93" s="183"/>
      <x:c r="P93" s="181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1"/>
      <x:c r="N94" s="183"/>
      <x:c r="O94" s="183"/>
      <x:c r="P94" s="181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1"/>
      <x:c r="N95" s="183"/>
      <x:c r="O95" s="183"/>
      <x:c r="P95" s="181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1"/>
      <x:c r="N96" s="183"/>
      <x:c r="O96" s="183"/>
      <x:c r="P96" s="181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1"/>
      <x:c r="N97" s="183"/>
      <x:c r="O97" s="183"/>
      <x:c r="P97" s="181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1"/>
      <x:c r="N98" s="183"/>
      <x:c r="O98" s="183"/>
      <x:c r="P98" s="181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1"/>
      <x:c r="N99" s="183"/>
      <x:c r="O99" s="183"/>
      <x:c r="P99" s="181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1"/>
      <x:c r="N100" s="183"/>
      <x:c r="O100" s="183"/>
      <x:c r="P100" s="181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P1"/>
    <x:mergeCell ref="A2:B2"/>
    <x:mergeCell ref="C2:D2"/>
    <x:mergeCell ref="E2:I2"/>
    <x:mergeCell ref="J2:P2"/>
  </x:mergeCells>
  <x:pageMargins left="0.7" right="0.7" top="0.75" bottom="0.75" header="0.3" footer="0.3"/>
  <x:drawing r:id="R50afda018955495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16" bestFit="1" customWidth="1" style="63"/>
    <x:col min="13" max="13" width="16" bestFit="1" customWidth="1" style="63"/>
    <x:col min="14" max="14" width="16" bestFit="1" customWidth="1" style="63"/>
    <x:col min="15" max="15" width="16" bestFit="1" customWidth="1" style="63"/>
    <x:col min="16" max="16" width="23" bestFit="1" customWidth="1" style="63"/>
    <x:col min="17" max="17" width="16" bestFit="1" customWidth="1" style="63"/>
    <x:col min="18" max="18" width="16" bestFit="1" customWidth="1" style="63"/>
    <x:col min="19" max="19" width="18" bestFit="1" customWidth="1" style="63"/>
    <x:col min="20" max="20" width="18" bestFit="1" customWidth="1" style="63"/>
  </x:cols>
  <x:sheetData>
    <x:row r="1" s="63" customFormat="1" ht="54" customHeight="1">
      <x:c r="A1" s="198" t="str">
        <x:v>Fichero FIE · SUSASESORES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  <x:c r="M1" s="198"/>
      <x:c r="N1" s="198"/>
      <x:c r="O1" s="198"/>
      <x:c r="P1" s="198"/>
      <x:c r="Q1" s="198"/>
      <x:c r="R1" s="198"/>
      <x:c r="S1" s="198"/>
      <x:c r="T1" s="198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Inicio Proc. Revisión alta MCSS</x:v>
      </x:c>
      <x:c r="L3" s="172" t="str">
        <x:v>Fecha Causa 89</x:v>
      </x:c>
      <x:c r="M3" s="172" t="str">
        <x:v>Fecha Causa 90</x:v>
      </x:c>
      <x:c r="N3" s="172" t="str">
        <x:v>Fecha Causa 91</x:v>
      </x:c>
      <x:c r="O3" s="172" t="str">
        <x:v>Fecha Causa 92</x:v>
      </x:c>
      <x:c r="P3" s="172" t="str">
        <x:v>Indicador Proc. 170.2</x:v>
      </x:c>
      <x:c r="Q3" s="172" t="str">
        <x:v>Fecha Causa 42</x:v>
      </x:c>
      <x:c r="R3" s="172" t="str">
        <x:v>Fecha Causa 35</x:v>
      </x:c>
      <x:c r="S3" s="172" t="str">
        <x:v>Fecha Agotamiento 545 días IT</x:v>
      </x:c>
      <x:c r="T3" s="172" t="str">
        <x:v>Fecha inicio expediente IP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  <x:c r="L4" s="183"/>
      <x:c r="M4" s="183"/>
      <x:c r="N4" s="183"/>
      <x:c r="O4" s="183"/>
      <x:c r="P4" s="181"/>
      <x:c r="Q4" s="183"/>
      <x:c r="R4" s="183"/>
      <x:c r="S4" s="183"/>
      <x:c r="T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3"/>
      <x:c r="M5" s="183"/>
      <x:c r="N5" s="183"/>
      <x:c r="O5" s="183"/>
      <x:c r="P5" s="181"/>
      <x:c r="Q5" s="183"/>
      <x:c r="R5" s="183"/>
      <x:c r="S5" s="183"/>
      <x:c r="T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3"/>
      <x:c r="M6" s="183"/>
      <x:c r="N6" s="183"/>
      <x:c r="O6" s="183"/>
      <x:c r="P6" s="181"/>
      <x:c r="Q6" s="183"/>
      <x:c r="R6" s="183"/>
      <x:c r="S6" s="183"/>
      <x:c r="T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3"/>
      <x:c r="M7" s="183"/>
      <x:c r="N7" s="183"/>
      <x:c r="O7" s="183"/>
      <x:c r="P7" s="181"/>
      <x:c r="Q7" s="183"/>
      <x:c r="R7" s="183"/>
      <x:c r="S7" s="183"/>
      <x:c r="T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3"/>
      <x:c r="M8" s="183"/>
      <x:c r="N8" s="183"/>
      <x:c r="O8" s="183"/>
      <x:c r="P8" s="181"/>
      <x:c r="Q8" s="183"/>
      <x:c r="R8" s="183"/>
      <x:c r="S8" s="183"/>
      <x:c r="T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3"/>
      <x:c r="M9" s="183"/>
      <x:c r="N9" s="183"/>
      <x:c r="O9" s="183"/>
      <x:c r="P9" s="181"/>
      <x:c r="Q9" s="183"/>
      <x:c r="R9" s="183"/>
      <x:c r="S9" s="183"/>
      <x:c r="T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3"/>
      <x:c r="M10" s="183"/>
      <x:c r="N10" s="183"/>
      <x:c r="O10" s="183"/>
      <x:c r="P10" s="181"/>
      <x:c r="Q10" s="183"/>
      <x:c r="R10" s="183"/>
      <x:c r="S10" s="183"/>
      <x:c r="T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3"/>
      <x:c r="M11" s="183"/>
      <x:c r="N11" s="183"/>
      <x:c r="O11" s="183"/>
      <x:c r="P11" s="181"/>
      <x:c r="Q11" s="183"/>
      <x:c r="R11" s="183"/>
      <x:c r="S11" s="183"/>
      <x:c r="T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3"/>
      <x:c r="M12" s="183"/>
      <x:c r="N12" s="183"/>
      <x:c r="O12" s="183"/>
      <x:c r="P12" s="181"/>
      <x:c r="Q12" s="183"/>
      <x:c r="R12" s="183"/>
      <x:c r="S12" s="183"/>
      <x:c r="T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3"/>
      <x:c r="M13" s="183"/>
      <x:c r="N13" s="183"/>
      <x:c r="O13" s="183"/>
      <x:c r="P13" s="181"/>
      <x:c r="Q13" s="183"/>
      <x:c r="R13" s="183"/>
      <x:c r="S13" s="183"/>
      <x:c r="T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3"/>
      <x:c r="M14" s="183"/>
      <x:c r="N14" s="183"/>
      <x:c r="O14" s="183"/>
      <x:c r="P14" s="181"/>
      <x:c r="Q14" s="183"/>
      <x:c r="R14" s="183"/>
      <x:c r="S14" s="183"/>
      <x:c r="T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3"/>
      <x:c r="M15" s="183"/>
      <x:c r="N15" s="183"/>
      <x:c r="O15" s="183"/>
      <x:c r="P15" s="181"/>
      <x:c r="Q15" s="183"/>
      <x:c r="R15" s="183"/>
      <x:c r="S15" s="183"/>
      <x:c r="T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3"/>
      <x:c r="M16" s="183"/>
      <x:c r="N16" s="183"/>
      <x:c r="O16" s="183"/>
      <x:c r="P16" s="181"/>
      <x:c r="Q16" s="183"/>
      <x:c r="R16" s="183"/>
      <x:c r="S16" s="183"/>
      <x:c r="T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3"/>
      <x:c r="M17" s="183"/>
      <x:c r="N17" s="183"/>
      <x:c r="O17" s="183"/>
      <x:c r="P17" s="181"/>
      <x:c r="Q17" s="183"/>
      <x:c r="R17" s="183"/>
      <x:c r="S17" s="183"/>
      <x:c r="T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3"/>
      <x:c r="M18" s="183"/>
      <x:c r="N18" s="183"/>
      <x:c r="O18" s="183"/>
      <x:c r="P18" s="181"/>
      <x:c r="Q18" s="183"/>
      <x:c r="R18" s="183"/>
      <x:c r="S18" s="183"/>
      <x:c r="T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3"/>
      <x:c r="M19" s="183"/>
      <x:c r="N19" s="183"/>
      <x:c r="O19" s="183"/>
      <x:c r="P19" s="181"/>
      <x:c r="Q19" s="183"/>
      <x:c r="R19" s="183"/>
      <x:c r="S19" s="183"/>
      <x:c r="T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3"/>
      <x:c r="M20" s="183"/>
      <x:c r="N20" s="183"/>
      <x:c r="O20" s="183"/>
      <x:c r="P20" s="181"/>
      <x:c r="Q20" s="183"/>
      <x:c r="R20" s="183"/>
      <x:c r="S20" s="183"/>
      <x:c r="T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3"/>
      <x:c r="M21" s="183"/>
      <x:c r="N21" s="183"/>
      <x:c r="O21" s="183"/>
      <x:c r="P21" s="181"/>
      <x:c r="Q21" s="183"/>
      <x:c r="R21" s="183"/>
      <x:c r="S21" s="183"/>
      <x:c r="T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3"/>
      <x:c r="M22" s="183"/>
      <x:c r="N22" s="183"/>
      <x:c r="O22" s="183"/>
      <x:c r="P22" s="181"/>
      <x:c r="Q22" s="183"/>
      <x:c r="R22" s="183"/>
      <x:c r="S22" s="183"/>
      <x:c r="T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3"/>
      <x:c r="M23" s="183"/>
      <x:c r="N23" s="183"/>
      <x:c r="O23" s="183"/>
      <x:c r="P23" s="181"/>
      <x:c r="Q23" s="183"/>
      <x:c r="R23" s="183"/>
      <x:c r="S23" s="183"/>
      <x:c r="T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3"/>
      <x:c r="M24" s="183"/>
      <x:c r="N24" s="183"/>
      <x:c r="O24" s="183"/>
      <x:c r="P24" s="181"/>
      <x:c r="Q24" s="183"/>
      <x:c r="R24" s="183"/>
      <x:c r="S24" s="183"/>
      <x:c r="T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3"/>
      <x:c r="M25" s="183"/>
      <x:c r="N25" s="183"/>
      <x:c r="O25" s="183"/>
      <x:c r="P25" s="181"/>
      <x:c r="Q25" s="183"/>
      <x:c r="R25" s="183"/>
      <x:c r="S25" s="183"/>
      <x:c r="T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3"/>
      <x:c r="M26" s="183"/>
      <x:c r="N26" s="183"/>
      <x:c r="O26" s="183"/>
      <x:c r="P26" s="181"/>
      <x:c r="Q26" s="183"/>
      <x:c r="R26" s="183"/>
      <x:c r="S26" s="183"/>
      <x:c r="T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3"/>
      <x:c r="M27" s="183"/>
      <x:c r="N27" s="183"/>
      <x:c r="O27" s="183"/>
      <x:c r="P27" s="181"/>
      <x:c r="Q27" s="183"/>
      <x:c r="R27" s="183"/>
      <x:c r="S27" s="183"/>
      <x:c r="T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3"/>
      <x:c r="M28" s="183"/>
      <x:c r="N28" s="183"/>
      <x:c r="O28" s="183"/>
      <x:c r="P28" s="181"/>
      <x:c r="Q28" s="183"/>
      <x:c r="R28" s="183"/>
      <x:c r="S28" s="183"/>
      <x:c r="T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3"/>
      <x:c r="M29" s="183"/>
      <x:c r="N29" s="183"/>
      <x:c r="O29" s="183"/>
      <x:c r="P29" s="181"/>
      <x:c r="Q29" s="183"/>
      <x:c r="R29" s="183"/>
      <x:c r="S29" s="183"/>
      <x:c r="T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3"/>
      <x:c r="M30" s="183"/>
      <x:c r="N30" s="183"/>
      <x:c r="O30" s="183"/>
      <x:c r="P30" s="181"/>
      <x:c r="Q30" s="183"/>
      <x:c r="R30" s="183"/>
      <x:c r="S30" s="183"/>
      <x:c r="T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3"/>
      <x:c r="M31" s="183"/>
      <x:c r="N31" s="183"/>
      <x:c r="O31" s="183"/>
      <x:c r="P31" s="181"/>
      <x:c r="Q31" s="183"/>
      <x:c r="R31" s="183"/>
      <x:c r="S31" s="183"/>
      <x:c r="T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3"/>
      <x:c r="M32" s="183"/>
      <x:c r="N32" s="183"/>
      <x:c r="O32" s="183"/>
      <x:c r="P32" s="181"/>
      <x:c r="Q32" s="183"/>
      <x:c r="R32" s="183"/>
      <x:c r="S32" s="183"/>
      <x:c r="T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3"/>
      <x:c r="M33" s="183"/>
      <x:c r="N33" s="183"/>
      <x:c r="O33" s="183"/>
      <x:c r="P33" s="181"/>
      <x:c r="Q33" s="183"/>
      <x:c r="R33" s="183"/>
      <x:c r="S33" s="183"/>
      <x:c r="T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3"/>
      <x:c r="M34" s="183"/>
      <x:c r="N34" s="183"/>
      <x:c r="O34" s="183"/>
      <x:c r="P34" s="181"/>
      <x:c r="Q34" s="183"/>
      <x:c r="R34" s="183"/>
      <x:c r="S34" s="183"/>
      <x:c r="T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3"/>
      <x:c r="M35" s="183"/>
      <x:c r="N35" s="183"/>
      <x:c r="O35" s="183"/>
      <x:c r="P35" s="181"/>
      <x:c r="Q35" s="183"/>
      <x:c r="R35" s="183"/>
      <x:c r="S35" s="183"/>
      <x:c r="T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3"/>
      <x:c r="M36" s="183"/>
      <x:c r="N36" s="183"/>
      <x:c r="O36" s="183"/>
      <x:c r="P36" s="181"/>
      <x:c r="Q36" s="183"/>
      <x:c r="R36" s="183"/>
      <x:c r="S36" s="183"/>
      <x:c r="T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3"/>
      <x:c r="M37" s="183"/>
      <x:c r="N37" s="183"/>
      <x:c r="O37" s="183"/>
      <x:c r="P37" s="181"/>
      <x:c r="Q37" s="183"/>
      <x:c r="R37" s="183"/>
      <x:c r="S37" s="183"/>
      <x:c r="T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3"/>
      <x:c r="M38" s="183"/>
      <x:c r="N38" s="183"/>
      <x:c r="O38" s="183"/>
      <x:c r="P38" s="181"/>
      <x:c r="Q38" s="183"/>
      <x:c r="R38" s="183"/>
      <x:c r="S38" s="183"/>
      <x:c r="T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3"/>
      <x:c r="M39" s="183"/>
      <x:c r="N39" s="183"/>
      <x:c r="O39" s="183"/>
      <x:c r="P39" s="181"/>
      <x:c r="Q39" s="183"/>
      <x:c r="R39" s="183"/>
      <x:c r="S39" s="183"/>
      <x:c r="T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3"/>
      <x:c r="M40" s="183"/>
      <x:c r="N40" s="183"/>
      <x:c r="O40" s="183"/>
      <x:c r="P40" s="181"/>
      <x:c r="Q40" s="183"/>
      <x:c r="R40" s="183"/>
      <x:c r="S40" s="183"/>
      <x:c r="T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3"/>
      <x:c r="M41" s="183"/>
      <x:c r="N41" s="183"/>
      <x:c r="O41" s="183"/>
      <x:c r="P41" s="181"/>
      <x:c r="Q41" s="183"/>
      <x:c r="R41" s="183"/>
      <x:c r="S41" s="183"/>
      <x:c r="T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3"/>
      <x:c r="M42" s="183"/>
      <x:c r="N42" s="183"/>
      <x:c r="O42" s="183"/>
      <x:c r="P42" s="181"/>
      <x:c r="Q42" s="183"/>
      <x:c r="R42" s="183"/>
      <x:c r="S42" s="183"/>
      <x:c r="T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3"/>
      <x:c r="M43" s="183"/>
      <x:c r="N43" s="183"/>
      <x:c r="O43" s="183"/>
      <x:c r="P43" s="181"/>
      <x:c r="Q43" s="183"/>
      <x:c r="R43" s="183"/>
      <x:c r="S43" s="183"/>
      <x:c r="T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3"/>
      <x:c r="M44" s="183"/>
      <x:c r="N44" s="183"/>
      <x:c r="O44" s="183"/>
      <x:c r="P44" s="181"/>
      <x:c r="Q44" s="183"/>
      <x:c r="R44" s="183"/>
      <x:c r="S44" s="183"/>
      <x:c r="T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3"/>
      <x:c r="M45" s="183"/>
      <x:c r="N45" s="183"/>
      <x:c r="O45" s="183"/>
      <x:c r="P45" s="181"/>
      <x:c r="Q45" s="183"/>
      <x:c r="R45" s="183"/>
      <x:c r="S45" s="183"/>
      <x:c r="T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3"/>
      <x:c r="M46" s="183"/>
      <x:c r="N46" s="183"/>
      <x:c r="O46" s="183"/>
      <x:c r="P46" s="181"/>
      <x:c r="Q46" s="183"/>
      <x:c r="R46" s="183"/>
      <x:c r="S46" s="183"/>
      <x:c r="T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3"/>
      <x:c r="M47" s="183"/>
      <x:c r="N47" s="183"/>
      <x:c r="O47" s="183"/>
      <x:c r="P47" s="181"/>
      <x:c r="Q47" s="183"/>
      <x:c r="R47" s="183"/>
      <x:c r="S47" s="183"/>
      <x:c r="T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3"/>
      <x:c r="M48" s="183"/>
      <x:c r="N48" s="183"/>
      <x:c r="O48" s="183"/>
      <x:c r="P48" s="181"/>
      <x:c r="Q48" s="183"/>
      <x:c r="R48" s="183"/>
      <x:c r="S48" s="183"/>
      <x:c r="T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3"/>
      <x:c r="M49" s="183"/>
      <x:c r="N49" s="183"/>
      <x:c r="O49" s="183"/>
      <x:c r="P49" s="181"/>
      <x:c r="Q49" s="183"/>
      <x:c r="R49" s="183"/>
      <x:c r="S49" s="183"/>
      <x:c r="T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3"/>
      <x:c r="M50" s="183"/>
      <x:c r="N50" s="183"/>
      <x:c r="O50" s="183"/>
      <x:c r="P50" s="181"/>
      <x:c r="Q50" s="183"/>
      <x:c r="R50" s="183"/>
      <x:c r="S50" s="183"/>
      <x:c r="T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3"/>
      <x:c r="M51" s="183"/>
      <x:c r="N51" s="183"/>
      <x:c r="O51" s="183"/>
      <x:c r="P51" s="181"/>
      <x:c r="Q51" s="183"/>
      <x:c r="R51" s="183"/>
      <x:c r="S51" s="183"/>
      <x:c r="T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3"/>
      <x:c r="M52" s="183"/>
      <x:c r="N52" s="183"/>
      <x:c r="O52" s="183"/>
      <x:c r="P52" s="181"/>
      <x:c r="Q52" s="183"/>
      <x:c r="R52" s="183"/>
      <x:c r="S52" s="183"/>
      <x:c r="T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3"/>
      <x:c r="M53" s="183"/>
      <x:c r="N53" s="183"/>
      <x:c r="O53" s="183"/>
      <x:c r="P53" s="181"/>
      <x:c r="Q53" s="183"/>
      <x:c r="R53" s="183"/>
      <x:c r="S53" s="183"/>
      <x:c r="T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3"/>
      <x:c r="M54" s="183"/>
      <x:c r="N54" s="183"/>
      <x:c r="O54" s="183"/>
      <x:c r="P54" s="181"/>
      <x:c r="Q54" s="183"/>
      <x:c r="R54" s="183"/>
      <x:c r="S54" s="183"/>
      <x:c r="T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3"/>
      <x:c r="M55" s="183"/>
      <x:c r="N55" s="183"/>
      <x:c r="O55" s="183"/>
      <x:c r="P55" s="181"/>
      <x:c r="Q55" s="183"/>
      <x:c r="R55" s="183"/>
      <x:c r="S55" s="183"/>
      <x:c r="T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3"/>
      <x:c r="M56" s="183"/>
      <x:c r="N56" s="183"/>
      <x:c r="O56" s="183"/>
      <x:c r="P56" s="181"/>
      <x:c r="Q56" s="183"/>
      <x:c r="R56" s="183"/>
      <x:c r="S56" s="183"/>
      <x:c r="T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3"/>
      <x:c r="M57" s="183"/>
      <x:c r="N57" s="183"/>
      <x:c r="O57" s="183"/>
      <x:c r="P57" s="181"/>
      <x:c r="Q57" s="183"/>
      <x:c r="R57" s="183"/>
      <x:c r="S57" s="183"/>
      <x:c r="T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3"/>
      <x:c r="M58" s="183"/>
      <x:c r="N58" s="183"/>
      <x:c r="O58" s="183"/>
      <x:c r="P58" s="181"/>
      <x:c r="Q58" s="183"/>
      <x:c r="R58" s="183"/>
      <x:c r="S58" s="183"/>
      <x:c r="T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3"/>
      <x:c r="M59" s="183"/>
      <x:c r="N59" s="183"/>
      <x:c r="O59" s="183"/>
      <x:c r="P59" s="181"/>
      <x:c r="Q59" s="183"/>
      <x:c r="R59" s="183"/>
      <x:c r="S59" s="183"/>
      <x:c r="T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3"/>
      <x:c r="M60" s="183"/>
      <x:c r="N60" s="183"/>
      <x:c r="O60" s="183"/>
      <x:c r="P60" s="181"/>
      <x:c r="Q60" s="183"/>
      <x:c r="R60" s="183"/>
      <x:c r="S60" s="183"/>
      <x:c r="T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3"/>
      <x:c r="M61" s="183"/>
      <x:c r="N61" s="183"/>
      <x:c r="O61" s="183"/>
      <x:c r="P61" s="181"/>
      <x:c r="Q61" s="183"/>
      <x:c r="R61" s="183"/>
      <x:c r="S61" s="183"/>
      <x:c r="T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3"/>
      <x:c r="M62" s="183"/>
      <x:c r="N62" s="183"/>
      <x:c r="O62" s="183"/>
      <x:c r="P62" s="181"/>
      <x:c r="Q62" s="183"/>
      <x:c r="R62" s="183"/>
      <x:c r="S62" s="183"/>
      <x:c r="T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3"/>
      <x:c r="M63" s="183"/>
      <x:c r="N63" s="183"/>
      <x:c r="O63" s="183"/>
      <x:c r="P63" s="181"/>
      <x:c r="Q63" s="183"/>
      <x:c r="R63" s="183"/>
      <x:c r="S63" s="183"/>
      <x:c r="T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3"/>
      <x:c r="M64" s="183"/>
      <x:c r="N64" s="183"/>
      <x:c r="O64" s="183"/>
      <x:c r="P64" s="181"/>
      <x:c r="Q64" s="183"/>
      <x:c r="R64" s="183"/>
      <x:c r="S64" s="183"/>
      <x:c r="T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3"/>
      <x:c r="M65" s="183"/>
      <x:c r="N65" s="183"/>
      <x:c r="O65" s="183"/>
      <x:c r="P65" s="181"/>
      <x:c r="Q65" s="183"/>
      <x:c r="R65" s="183"/>
      <x:c r="S65" s="183"/>
      <x:c r="T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3"/>
      <x:c r="M66" s="183"/>
      <x:c r="N66" s="183"/>
      <x:c r="O66" s="183"/>
      <x:c r="P66" s="181"/>
      <x:c r="Q66" s="183"/>
      <x:c r="R66" s="183"/>
      <x:c r="S66" s="183"/>
      <x:c r="T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3"/>
      <x:c r="M67" s="183"/>
      <x:c r="N67" s="183"/>
      <x:c r="O67" s="183"/>
      <x:c r="P67" s="181"/>
      <x:c r="Q67" s="183"/>
      <x:c r="R67" s="183"/>
      <x:c r="S67" s="183"/>
      <x:c r="T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3"/>
      <x:c r="M68" s="183"/>
      <x:c r="N68" s="183"/>
      <x:c r="O68" s="183"/>
      <x:c r="P68" s="181"/>
      <x:c r="Q68" s="183"/>
      <x:c r="R68" s="183"/>
      <x:c r="S68" s="183"/>
      <x:c r="T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3"/>
      <x:c r="M69" s="183"/>
      <x:c r="N69" s="183"/>
      <x:c r="O69" s="183"/>
      <x:c r="P69" s="181"/>
      <x:c r="Q69" s="183"/>
      <x:c r="R69" s="183"/>
      <x:c r="S69" s="183"/>
      <x:c r="T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3"/>
      <x:c r="M70" s="183"/>
      <x:c r="N70" s="183"/>
      <x:c r="O70" s="183"/>
      <x:c r="P70" s="181"/>
      <x:c r="Q70" s="183"/>
      <x:c r="R70" s="183"/>
      <x:c r="S70" s="183"/>
      <x:c r="T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3"/>
      <x:c r="M71" s="183"/>
      <x:c r="N71" s="183"/>
      <x:c r="O71" s="183"/>
      <x:c r="P71" s="181"/>
      <x:c r="Q71" s="183"/>
      <x:c r="R71" s="183"/>
      <x:c r="S71" s="183"/>
      <x:c r="T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3"/>
      <x:c r="M72" s="183"/>
      <x:c r="N72" s="183"/>
      <x:c r="O72" s="183"/>
      <x:c r="P72" s="181"/>
      <x:c r="Q72" s="183"/>
      <x:c r="R72" s="183"/>
      <x:c r="S72" s="183"/>
      <x:c r="T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3"/>
      <x:c r="M73" s="183"/>
      <x:c r="N73" s="183"/>
      <x:c r="O73" s="183"/>
      <x:c r="P73" s="181"/>
      <x:c r="Q73" s="183"/>
      <x:c r="R73" s="183"/>
      <x:c r="S73" s="183"/>
      <x:c r="T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3"/>
      <x:c r="M74" s="183"/>
      <x:c r="N74" s="183"/>
      <x:c r="O74" s="183"/>
      <x:c r="P74" s="181"/>
      <x:c r="Q74" s="183"/>
      <x:c r="R74" s="183"/>
      <x:c r="S74" s="183"/>
      <x:c r="T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3"/>
      <x:c r="M75" s="183"/>
      <x:c r="N75" s="183"/>
      <x:c r="O75" s="183"/>
      <x:c r="P75" s="181"/>
      <x:c r="Q75" s="183"/>
      <x:c r="R75" s="183"/>
      <x:c r="S75" s="183"/>
      <x:c r="T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3"/>
      <x:c r="M76" s="183"/>
      <x:c r="N76" s="183"/>
      <x:c r="O76" s="183"/>
      <x:c r="P76" s="181"/>
      <x:c r="Q76" s="183"/>
      <x:c r="R76" s="183"/>
      <x:c r="S76" s="183"/>
      <x:c r="T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3"/>
      <x:c r="M77" s="183"/>
      <x:c r="N77" s="183"/>
      <x:c r="O77" s="183"/>
      <x:c r="P77" s="181"/>
      <x:c r="Q77" s="183"/>
      <x:c r="R77" s="183"/>
      <x:c r="S77" s="183"/>
      <x:c r="T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3"/>
      <x:c r="M78" s="183"/>
      <x:c r="N78" s="183"/>
      <x:c r="O78" s="183"/>
      <x:c r="P78" s="181"/>
      <x:c r="Q78" s="183"/>
      <x:c r="R78" s="183"/>
      <x:c r="S78" s="183"/>
      <x:c r="T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3"/>
      <x:c r="M79" s="183"/>
      <x:c r="N79" s="183"/>
      <x:c r="O79" s="183"/>
      <x:c r="P79" s="181"/>
      <x:c r="Q79" s="183"/>
      <x:c r="R79" s="183"/>
      <x:c r="S79" s="183"/>
      <x:c r="T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3"/>
      <x:c r="M80" s="183"/>
      <x:c r="N80" s="183"/>
      <x:c r="O80" s="183"/>
      <x:c r="P80" s="181"/>
      <x:c r="Q80" s="183"/>
      <x:c r="R80" s="183"/>
      <x:c r="S80" s="183"/>
      <x:c r="T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3"/>
      <x:c r="M81" s="183"/>
      <x:c r="N81" s="183"/>
      <x:c r="O81" s="183"/>
      <x:c r="P81" s="181"/>
      <x:c r="Q81" s="183"/>
      <x:c r="R81" s="183"/>
      <x:c r="S81" s="183"/>
      <x:c r="T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3"/>
      <x:c r="M82" s="183"/>
      <x:c r="N82" s="183"/>
      <x:c r="O82" s="183"/>
      <x:c r="P82" s="181"/>
      <x:c r="Q82" s="183"/>
      <x:c r="R82" s="183"/>
      <x:c r="S82" s="183"/>
      <x:c r="T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3"/>
      <x:c r="M83" s="183"/>
      <x:c r="N83" s="183"/>
      <x:c r="O83" s="183"/>
      <x:c r="P83" s="181"/>
      <x:c r="Q83" s="183"/>
      <x:c r="R83" s="183"/>
      <x:c r="S83" s="183"/>
      <x:c r="T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3"/>
      <x:c r="M84" s="183"/>
      <x:c r="N84" s="183"/>
      <x:c r="O84" s="183"/>
      <x:c r="P84" s="181"/>
      <x:c r="Q84" s="183"/>
      <x:c r="R84" s="183"/>
      <x:c r="S84" s="183"/>
      <x:c r="T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3"/>
      <x:c r="M85" s="183"/>
      <x:c r="N85" s="183"/>
      <x:c r="O85" s="183"/>
      <x:c r="P85" s="181"/>
      <x:c r="Q85" s="183"/>
      <x:c r="R85" s="183"/>
      <x:c r="S85" s="183"/>
      <x:c r="T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3"/>
      <x:c r="M86" s="183"/>
      <x:c r="N86" s="183"/>
      <x:c r="O86" s="183"/>
      <x:c r="P86" s="181"/>
      <x:c r="Q86" s="183"/>
      <x:c r="R86" s="183"/>
      <x:c r="S86" s="183"/>
      <x:c r="T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3"/>
      <x:c r="M87" s="183"/>
      <x:c r="N87" s="183"/>
      <x:c r="O87" s="183"/>
      <x:c r="P87" s="181"/>
      <x:c r="Q87" s="183"/>
      <x:c r="R87" s="183"/>
      <x:c r="S87" s="183"/>
      <x:c r="T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3"/>
      <x:c r="M88" s="183"/>
      <x:c r="N88" s="183"/>
      <x:c r="O88" s="183"/>
      <x:c r="P88" s="181"/>
      <x:c r="Q88" s="183"/>
      <x:c r="R88" s="183"/>
      <x:c r="S88" s="183"/>
      <x:c r="T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3"/>
      <x:c r="M89" s="183"/>
      <x:c r="N89" s="183"/>
      <x:c r="O89" s="183"/>
      <x:c r="P89" s="181"/>
      <x:c r="Q89" s="183"/>
      <x:c r="R89" s="183"/>
      <x:c r="S89" s="183"/>
      <x:c r="T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3"/>
      <x:c r="M90" s="183"/>
      <x:c r="N90" s="183"/>
      <x:c r="O90" s="183"/>
      <x:c r="P90" s="181"/>
      <x:c r="Q90" s="183"/>
      <x:c r="R90" s="183"/>
      <x:c r="S90" s="183"/>
      <x:c r="T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3"/>
      <x:c r="M91" s="183"/>
      <x:c r="N91" s="183"/>
      <x:c r="O91" s="183"/>
      <x:c r="P91" s="181"/>
      <x:c r="Q91" s="183"/>
      <x:c r="R91" s="183"/>
      <x:c r="S91" s="183"/>
      <x:c r="T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3"/>
      <x:c r="M92" s="183"/>
      <x:c r="N92" s="183"/>
      <x:c r="O92" s="183"/>
      <x:c r="P92" s="181"/>
      <x:c r="Q92" s="183"/>
      <x:c r="R92" s="183"/>
      <x:c r="S92" s="183"/>
      <x:c r="T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3"/>
      <x:c r="M93" s="183"/>
      <x:c r="N93" s="183"/>
      <x:c r="O93" s="183"/>
      <x:c r="P93" s="181"/>
      <x:c r="Q93" s="183"/>
      <x:c r="R93" s="183"/>
      <x:c r="S93" s="183"/>
      <x:c r="T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3"/>
      <x:c r="M94" s="183"/>
      <x:c r="N94" s="183"/>
      <x:c r="O94" s="183"/>
      <x:c r="P94" s="181"/>
      <x:c r="Q94" s="183"/>
      <x:c r="R94" s="183"/>
      <x:c r="S94" s="183"/>
      <x:c r="T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3"/>
      <x:c r="M95" s="183"/>
      <x:c r="N95" s="183"/>
      <x:c r="O95" s="183"/>
      <x:c r="P95" s="181"/>
      <x:c r="Q95" s="183"/>
      <x:c r="R95" s="183"/>
      <x:c r="S95" s="183"/>
      <x:c r="T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3"/>
      <x:c r="M96" s="183"/>
      <x:c r="N96" s="183"/>
      <x:c r="O96" s="183"/>
      <x:c r="P96" s="181"/>
      <x:c r="Q96" s="183"/>
      <x:c r="R96" s="183"/>
      <x:c r="S96" s="183"/>
      <x:c r="T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3"/>
      <x:c r="M97" s="183"/>
      <x:c r="N97" s="183"/>
      <x:c r="O97" s="183"/>
      <x:c r="P97" s="181"/>
      <x:c r="Q97" s="183"/>
      <x:c r="R97" s="183"/>
      <x:c r="S97" s="183"/>
      <x:c r="T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3"/>
      <x:c r="M98" s="183"/>
      <x:c r="N98" s="183"/>
      <x:c r="O98" s="183"/>
      <x:c r="P98" s="181"/>
      <x:c r="Q98" s="183"/>
      <x:c r="R98" s="183"/>
      <x:c r="S98" s="183"/>
      <x:c r="T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3"/>
      <x:c r="M99" s="183"/>
      <x:c r="N99" s="183"/>
      <x:c r="O99" s="183"/>
      <x:c r="P99" s="181"/>
      <x:c r="Q99" s="183"/>
      <x:c r="R99" s="183"/>
      <x:c r="S99" s="183"/>
      <x:c r="T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3"/>
      <x:c r="M100" s="183"/>
      <x:c r="N100" s="183"/>
      <x:c r="O100" s="183"/>
      <x:c r="P100" s="181"/>
      <x:c r="Q100" s="183"/>
      <x:c r="R100" s="183"/>
      <x:c r="S100" s="183"/>
      <x:c r="T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T1"/>
    <x:mergeCell ref="A2:B2"/>
    <x:mergeCell ref="C2:D2"/>
    <x:mergeCell ref="E2:I2"/>
    <x:mergeCell ref="J2:T2"/>
  </x:mergeCells>
  <x:pageMargins left="0.7" right="0.7" top="0.75" bottom="0.75" header="0.3" footer="0.3"/>
  <x:drawing r:id="R37e4ac1187f34096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7" bestFit="1" customWidth="1" style="63"/>
    <x:col min="5" max="5" width="57" bestFit="1" customWidth="1" style="63"/>
    <x:col min="6" max="6" width="14" bestFit="1" customWidth="1" style="63"/>
    <x:col min="7" max="7" width="15" bestFit="1" customWidth="1" style="63"/>
    <x:col min="8" max="8" width="38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33" bestFit="1" customWidth="1" style="63"/>
    <x:col min="13" max="13" width="18" bestFit="1" customWidth="1" style="63"/>
    <x:col min="14" max="14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del parte de confirmación</x:v>
      </x:c>
      <x:c r="L3" s="172" t="str">
        <x:v>Número de parte de confirmación</x:v>
      </x:c>
      <x:c r="M3" s="172" t="str">
        <x:v>Fecha de cumplimiento de 365 días</x:v>
      </x:c>
      <x:c r="N3" s="172" t="str">
        <x:v>Fecha siguiente revisión médica</x:v>
      </x:c>
    </x:row>
    <x:row r="4" s="63" customFormat="1">
      <x:c r="A4" s="181" t="str">
        <x:v>2163</x:v>
      </x:c>
      <x:c r="B4" s="181" t="str">
        <x:v>00316077</x:v>
      </x:c>
      <x:c r="C4" s="183" t="n">
        <x:v>46213.24652777778101</x:v>
      </x:c>
      <x:c r="D4" s="181" t="str">
        <x:v>011135005063573</x:v>
      </x:c>
      <x:c r="E4" s="181" t="str">
        <x:v>GROSA S.L.</x:v>
      </x:c>
      <x:c r="F4" s="181" t="str">
        <x:v>350051717411</x:v>
      </x:c>
      <x:c r="G4" s="181" t="str">
        <x:v>000052858843J</x:v>
      </x:c>
      <x:c r="H4" s="181" t="str">
        <x:v>LOPEZ GUERRERO, ANTONIO FRANCIS</x:v>
      </x:c>
      <x:c r="I4" s="183" t="n">
        <x:v>43691</x:v>
      </x:c>
      <x:c r="J4" s="183"/>
      <x:c r="K4" s="183" t="n">
        <x:v>46212</x:v>
      </x:c>
      <x:c r="L4" s="181" t="n">
        <x:v>1</x:v>
      </x:c>
      <x:c r="M4" s="183" t="n">
        <x:v>46570</x:v>
      </x:c>
      <x:c r="N4" t="n" s="183">
        <x:v>46226</x:v>
      </x:c>
    </x:row>
    <x:row r="5">
      <x:c r="A5" s="181" t="str">
        <x:v>1681</x:v>
      </x:c>
      <x:c r="B5" s="181" t="str">
        <x:v>00316077</x:v>
      </x:c>
      <x:c r="C5" s="183" t="n">
        <x:v>46213.24652777778101</x:v>
      </x:c>
      <x:c r="D5" s="181" t="str">
        <x:v>011135115989409</x:v>
      </x:c>
      <x:c r="E5" s="181" t="str">
        <x:v>TRANSPORTES Y GRUAS CARBALLO,SL</x:v>
      </x:c>
      <x:c r="F5" s="181" t="str">
        <x:v>351022156922</x:v>
      </x:c>
      <x:c r="G5" s="181" t="str">
        <x:v>000054081409Z</x:v>
      </x:c>
      <x:c r="H5" s="181" t="str">
        <x:v>SUAREZ SANTANA, DIONISIO ECHEDE</x:v>
      </x:c>
      <x:c r="I5" s="183" t="n">
        <x:v>45873</x:v>
      </x:c>
      <x:c r="J5" s="183"/>
      <x:c r="K5" s="183" t="n">
        <x:v>46212</x:v>
      </x:c>
      <x:c r="L5" s="181" t="n">
        <x:v>8</x:v>
      </x:c>
      <x:c r="M5" s="183" t="n">
        <x:v>46492</x:v>
      </x:c>
      <x:c r="N5" s="183" t="n">
        <x:v>46233</x:v>
      </x:c>
    </x:row>
    <x:row r="6">
      <x:c r="A6" s="181" t="str">
        <x:v>2290</x:v>
      </x:c>
      <x:c r="B6" s="181" t="str">
        <x:v>00316077</x:v>
      </x:c>
      <x:c r="C6" s="183" t="n">
        <x:v>46213.24652777778101</x:v>
      </x:c>
      <x:c r="D6" s="181" t="str">
        <x:v>011135121800214</x:v>
      </x:c>
      <x:c r="E6" s="181" t="str">
        <x:v>CANARY GREEN CORNER, S.L.U.</x:v>
      </x:c>
      <x:c r="F6" s="181" t="str">
        <x:v>350059932196</x:v>
      </x:c>
      <x:c r="G6" s="181" t="str">
        <x:v>000052839257T</x:v>
      </x:c>
      <x:c r="H6" s="181" t="str">
        <x:v>CORDERO GONZALEZ, JOSE TOMAS</x:v>
      </x:c>
      <x:c r="I6" s="183" t="n">
        <x:v>44252</x:v>
      </x:c>
      <x:c r="J6" s="183"/>
      <x:c r="K6" s="183" t="n">
        <x:v>46212</x:v>
      </x:c>
      <x:c r="L6" s="181" t="n">
        <x:v>3</x:v>
      </x:c>
      <x:c r="M6" s="183" t="n">
        <x:v>46541</x:v>
      </x:c>
      <x:c r="N6" s="183" t="n">
        <x:v>46226</x:v>
      </x:c>
    </x:row>
    <x:row r="7">
      <x:c r="A7" s="181" t="str">
        <x:v>1476</x:v>
      </x:c>
      <x:c r="B7" s="181" t="str">
        <x:v>00316077</x:v>
      </x:c>
      <x:c r="C7" s="183" t="n">
        <x:v>46213.24652777778101</x:v>
      </x:c>
      <x:c r="D7" s="181" t="str">
        <x:v>011138100817633</x:v>
      </x:c>
      <x:c r="E7" s="181" t="str">
        <x:v>ALUMINIOS CARPAL S.L.</x:v>
      </x:c>
      <x:c r="F7" s="181" t="str">
        <x:v>381006096300</x:v>
      </x:c>
      <x:c r="G7" s="181" t="str">
        <x:v>000078705669Z</x:v>
      </x:c>
      <x:c r="H7" s="181" t="str">
        <x:v>MENDEZ ALAMO, ESTEBAN DAVID</x:v>
      </x:c>
      <x:c r="I7" s="183" t="n">
        <x:v>45923</x:v>
      </x:c>
      <x:c r="J7" s="183"/>
      <x:c r="K7" s="183" t="n">
        <x:v>46211</x:v>
      </x:c>
      <x:c r="L7" s="181" t="n">
        <x:v>14</x:v>
      </x:c>
      <x:c r="M7" s="183" t="n">
        <x:v>46330</x:v>
      </x:c>
      <x:c r="N7" s="183" t="n">
        <x:v>46232</x:v>
      </x:c>
    </x:row>
    <x:row r="8">
      <x:c r="A8" s="181" t="str">
        <x:v>1010</x:v>
      </x:c>
      <x:c r="B8" s="181" t="str">
        <x:v>00316077</x:v>
      </x:c>
      <x:c r="C8" s="183" t="n">
        <x:v>46213.24652777778101</x:v>
      </x:c>
      <x:c r="D8" s="181" t="str">
        <x:v>011138107526595</x:v>
      </x:c>
      <x:c r="E8" s="181" t="str">
        <x:v>HERNANDEZ           ALONSO              ESTEBAN DOMINGO</x:v>
      </x:c>
      <x:c r="F8" s="181" t="str">
        <x:v>381014777695</x:v>
      </x:c>
      <x:c r="G8" s="181" t="str">
        <x:v>000078568960V</x:v>
      </x:c>
      <x:c r="H8" s="181" t="str">
        <x:v>HERNANDEZ TRUJILLO, JOSE IVAN</x:v>
      </x:c>
      <x:c r="I8" s="183" t="n">
        <x:v>45495</x:v>
      </x:c>
      <x:c r="J8" s="183"/>
      <x:c r="K8" s="183" t="n">
        <x:v>46212</x:v>
      </x:c>
      <x:c r="L8" s="181" t="n">
        <x:v>5</x:v>
      </x:c>
      <x:c r="M8" s="183" t="n">
        <x:v>46462</x:v>
      </x:c>
      <x:c r="N8" s="183" t="n">
        <x:v>46247</x:v>
      </x:c>
    </x:row>
    <x:row r="9">
      <x:c r="A9" s="181" t="str">
        <x:v>0699</x:v>
      </x:c>
      <x:c r="B9" s="181" t="str">
        <x:v>00316077</x:v>
      </x:c>
      <x:c r="C9" s="183" t="n">
        <x:v>46213.24652777778101</x:v>
      </x:c>
      <x:c r="D9" s="181" t="str">
        <x:v>011138113510687</x:v>
      </x:c>
      <x:c r="E9" s="181" t="str">
        <x:v>IZQUIERDO           IZQUIERDO           MANUEL JESUS</x:v>
      </x:c>
      <x:c r="F9" s="181" t="str">
        <x:v>381028306569</x:v>
      </x:c>
      <x:c r="G9" s="181" t="str">
        <x:v>000078637285D</x:v>
      </x:c>
      <x:c r="H9" s="181" t="str">
        <x:v>GONZALEZ BARROSO, CARLOS ANTONIO</x:v>
      </x:c>
      <x:c r="I9" s="183" t="n">
        <x:v>46104</x:v>
      </x:c>
      <x:c r="J9" s="183"/>
      <x:c r="K9" s="183" t="n">
        <x:v>46211</x:v>
      </x:c>
      <x:c r="L9" s="181" t="n">
        <x:v>3</x:v>
      </x:c>
      <x:c r="M9" s="183" t="n">
        <x:v>46524</x:v>
      </x:c>
      <x:c r="N9" s="183" t="n">
        <x:v>46220</x:v>
      </x:c>
    </x:row>
    <x:row r="10">
      <x:c r="A10" s="181" t="str">
        <x:v>1846</x:v>
      </x:c>
      <x:c r="B10" s="181" t="str">
        <x:v>00316077</x:v>
      </x:c>
      <x:c r="C10" s="183" t="n">
        <x:v>46213.24652777778101</x:v>
      </x:c>
      <x:c r="D10" s="181" t="str">
        <x:v>011138120237336</x:v>
      </x:c>
      <x:c r="E10" s="181" t="str">
        <x:v>MARTOS              DIAZ                DANIEL</x:v>
      </x:c>
      <x:c r="F10" s="181" t="str">
        <x:v>380052663702</x:v>
      </x:c>
      <x:c r="G10" s="181" t="str">
        <x:v>000043785392Q</x:v>
      </x:c>
      <x:c r="H10" s="181" t="str">
        <x:v>MESA LLAMERA, CARMEN A</x:v>
      </x:c>
      <x:c r="I10" s="183" t="n">
        <x:v>45043</x:v>
      </x:c>
      <x:c r="J10" s="183"/>
      <x:c r="K10" s="183" t="n">
        <x:v>46212</x:v>
      </x:c>
      <x:c r="L10" s="181" t="n">
        <x:v>6</x:v>
      </x:c>
      <x:c r="M10" s="183" t="n">
        <x:v>46506</x:v>
      </x:c>
      <x:c r="N10" s="183" t="n">
        <x:v>46233</x:v>
      </x:c>
    </x:row>
    <x:row r="11">
      <x:c r="A11" s="181" t="str">
        <x:v>2593</x:v>
      </x:c>
      <x:c r="B11" s="181" t="str">
        <x:v>00316077</x:v>
      </x:c>
      <x:c r="C11" s="183" t="n">
        <x:v>46213.24652777778101</x:v>
      </x:c>
      <x:c r="D11" s="181" t="str">
        <x:v>011138123326683</x:v>
      </x:c>
      <x:c r="E11" s="181" t="str">
        <x:v>HERNANDEZ           VIZCAINO            ALAIN MAHY</x:v>
      </x:c>
      <x:c r="F11" s="181" t="str">
        <x:v>381022004502</x:v>
      </x:c>
      <x:c r="G11" s="181" t="str">
        <x:v>000042068959G</x:v>
      </x:c>
      <x:c r="H11" s="181" t="str">
        <x:v>HERNANDEZ RODRIGUEZ, MARIA CANDELARI</x:v>
      </x:c>
      <x:c r="I11" s="183" t="n">
        <x:v>45748</x:v>
      </x:c>
      <x:c r="J11" s="183"/>
      <x:c r="K11" s="183" t="n">
        <x:v>46211</x:v>
      </x:c>
      <x:c r="L11" s="181" t="n">
        <x:v>21</x:v>
      </x:c>
      <x:c r="M11" s="183" t="n">
        <x:v>46218</x:v>
      </x:c>
      <x:c r="N11" s="183" t="n">
        <x:v>46218</x:v>
      </x:c>
    </x:row>
    <x:row r="12">
      <x:c r="A12" s="181"/>
      <x:c r="B12" s="181" t="str">
        <x:v>00316077</x:v>
      </x:c>
      <x:c r="C12" s="183" t="n">
        <x:v>46213.24652777778101</x:v>
      </x:c>
      <x:c r="D12" s="181" t="str">
        <x:v>0521</x:v>
      </x:c>
      <x:c r="E12" s="181"/>
      <x:c r="F12" s="181" t="str">
        <x:v>460174843312</x:v>
      </x:c>
      <x:c r="G12" s="181" t="str">
        <x:v>000042836127F</x:v>
      </x:c>
      <x:c r="H12" s="181" t="str">
        <x:v>SERRA GENOVES, JOSE JAVIER</x:v>
      </x:c>
      <x:c r="I12" s="183" t="n">
        <x:v>37316</x:v>
      </x:c>
      <x:c r="J12" s="183"/>
      <x:c r="K12" s="183" t="n">
        <x:v>46212</x:v>
      </x:c>
      <x:c r="L12" s="181" t="n">
        <x:v>2</x:v>
      </x:c>
      <x:c r="M12" s="183" t="n">
        <x:v>46555</x:v>
      </x:c>
      <x:c r="N12" s="183" t="n">
        <x:v>46226</x:v>
      </x:c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1"/>
      <x:c r="M13" s="183"/>
      <x:c r="N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1"/>
      <x:c r="M14" s="183"/>
      <x:c r="N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1"/>
      <x:c r="M15" s="183"/>
      <x:c r="N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1"/>
      <x:c r="M16" s="183"/>
      <x:c r="N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1"/>
      <x:c r="M17" s="183"/>
      <x:c r="N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1"/>
      <x:c r="M18" s="183"/>
      <x:c r="N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1"/>
      <x:c r="M19" s="183"/>
      <x:c r="N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1"/>
      <x:c r="M20" s="183"/>
      <x:c r="N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1"/>
      <x:c r="M21" s="183"/>
      <x:c r="N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1"/>
      <x:c r="M22" s="183"/>
      <x:c r="N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1"/>
      <x:c r="M23" s="183"/>
      <x:c r="N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1"/>
      <x:c r="M24" s="183"/>
      <x:c r="N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1"/>
      <x:c r="M25" s="183"/>
      <x:c r="N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1"/>
      <x:c r="M26" s="183"/>
      <x:c r="N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1"/>
      <x:c r="M27" s="183"/>
      <x:c r="N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1"/>
      <x:c r="M28" s="183"/>
      <x:c r="N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1"/>
      <x:c r="M29" s="183"/>
      <x:c r="N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1"/>
      <x:c r="M30" s="183"/>
      <x:c r="N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1"/>
      <x:c r="M31" s="183"/>
      <x:c r="N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1"/>
      <x:c r="M32" s="183"/>
      <x:c r="N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1"/>
      <x:c r="M33" s="183"/>
      <x:c r="N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1"/>
      <x:c r="M34" s="183"/>
      <x:c r="N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1"/>
      <x:c r="M35" s="183"/>
      <x:c r="N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1"/>
      <x:c r="M36" s="183"/>
      <x:c r="N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1"/>
      <x:c r="M37" s="183"/>
      <x:c r="N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1"/>
      <x:c r="M38" s="183"/>
      <x:c r="N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1"/>
      <x:c r="M39" s="183"/>
      <x:c r="N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1"/>
      <x:c r="M40" s="183"/>
      <x:c r="N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1"/>
      <x:c r="M41" s="183"/>
      <x:c r="N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1"/>
      <x:c r="M42" s="183"/>
      <x:c r="N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1"/>
      <x:c r="M43" s="183"/>
      <x:c r="N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1"/>
      <x:c r="M44" s="183"/>
      <x:c r="N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1"/>
      <x:c r="M45" s="183"/>
      <x:c r="N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1"/>
      <x:c r="M46" s="183"/>
      <x:c r="N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1"/>
      <x:c r="M47" s="183"/>
      <x:c r="N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1"/>
      <x:c r="M48" s="183"/>
      <x:c r="N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1"/>
      <x:c r="M49" s="183"/>
      <x:c r="N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1"/>
      <x:c r="M50" s="183"/>
      <x:c r="N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1"/>
      <x:c r="M51" s="183"/>
      <x:c r="N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1"/>
      <x:c r="M52" s="183"/>
      <x:c r="N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1"/>
      <x:c r="M53" s="183"/>
      <x:c r="N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1"/>
      <x:c r="M54" s="183"/>
      <x:c r="N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1"/>
      <x:c r="M55" s="183"/>
      <x:c r="N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1"/>
      <x:c r="M56" s="183"/>
      <x:c r="N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1"/>
      <x:c r="M57" s="183"/>
      <x:c r="N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1"/>
      <x:c r="M58" s="183"/>
      <x:c r="N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1"/>
      <x:c r="M59" s="183"/>
      <x:c r="N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1"/>
      <x:c r="M60" s="183"/>
      <x:c r="N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1"/>
      <x:c r="M61" s="183"/>
      <x:c r="N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1"/>
      <x:c r="M62" s="183"/>
      <x:c r="N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1"/>
      <x:c r="M63" s="183"/>
      <x:c r="N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1"/>
      <x:c r="M64" s="183"/>
      <x:c r="N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1"/>
      <x:c r="M65" s="183"/>
      <x:c r="N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1"/>
      <x:c r="M66" s="183"/>
      <x:c r="N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1"/>
      <x:c r="M67" s="183"/>
      <x:c r="N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1"/>
      <x:c r="M68" s="183"/>
      <x:c r="N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1"/>
      <x:c r="M69" s="183"/>
      <x:c r="N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1"/>
      <x:c r="M70" s="183"/>
      <x:c r="N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1"/>
      <x:c r="M71" s="183"/>
      <x:c r="N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1"/>
      <x:c r="M72" s="183"/>
      <x:c r="N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1"/>
      <x:c r="M73" s="183"/>
      <x:c r="N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1"/>
      <x:c r="M74" s="183"/>
      <x:c r="N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1"/>
      <x:c r="M75" s="183"/>
      <x:c r="N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1"/>
      <x:c r="M76" s="183"/>
      <x:c r="N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1"/>
      <x:c r="M77" s="183"/>
      <x:c r="N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1"/>
      <x:c r="M78" s="183"/>
      <x:c r="N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1"/>
      <x:c r="M79" s="183"/>
      <x:c r="N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1"/>
      <x:c r="M80" s="183"/>
      <x:c r="N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1"/>
      <x:c r="M81" s="183"/>
      <x:c r="N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1"/>
      <x:c r="M82" s="183"/>
      <x:c r="N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1"/>
      <x:c r="M83" s="183"/>
      <x:c r="N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1"/>
      <x:c r="M84" s="183"/>
      <x:c r="N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1"/>
      <x:c r="M85" s="183"/>
      <x:c r="N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1"/>
      <x:c r="M86" s="183"/>
      <x:c r="N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1"/>
      <x:c r="M87" s="183"/>
      <x:c r="N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1"/>
      <x:c r="M88" s="183"/>
      <x:c r="N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1"/>
      <x:c r="M89" s="183"/>
      <x:c r="N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1"/>
      <x:c r="M90" s="183"/>
      <x:c r="N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1"/>
      <x:c r="M91" s="183"/>
      <x:c r="N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1"/>
      <x:c r="M92" s="183"/>
      <x:c r="N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1"/>
      <x:c r="M93" s="183"/>
      <x:c r="N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1"/>
      <x:c r="M94" s="183"/>
      <x:c r="N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1"/>
      <x:c r="M95" s="183"/>
      <x:c r="N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1"/>
      <x:c r="M96" s="183"/>
      <x:c r="N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1"/>
      <x:c r="M97" s="183"/>
      <x:c r="N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1"/>
      <x:c r="M98" s="183"/>
      <x:c r="N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1"/>
      <x:c r="M99" s="183"/>
      <x:c r="N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1"/>
      <x:c r="M100" s="183"/>
      <x:c r="N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N1"/>
    <x:mergeCell ref="A2:B2"/>
    <x:mergeCell ref="C2:D2"/>
    <x:mergeCell ref="E2:I2"/>
    <x:mergeCell ref="J2:N2"/>
  </x:mergeCells>
  <x:pageMargins left="0.7" right="0.7" top="0.75" bottom="0.75" header="0.3" footer="0.3"/>
  <x:drawing r:id="R259887448ee84ba3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  <x:col min="12" max="12" width="18" bestFit="1" customWidth="1" style="63"/>
    <x:col min="13" max="13" width="21" bestFit="1" customWidth="1" style="63"/>
    <x:col min="14" max="14" width="17" bestFit="1" customWidth="1" style="63"/>
    <x:col min="15" max="15" width="20" bestFit="1" customWidth="1" style="63"/>
    <x:col min="16" max="16" width="18" bestFit="1" customWidth="1" style="63"/>
    <x:col min="17" max="17" width="22" bestFit="1" customWidth="1" style="63"/>
    <x:col min="18" max="18" width="18" bestFit="1" customWidth="1" style="63"/>
    <x:col min="19" max="19" width="18" bestFit="1" customWidth="1" style="63"/>
    <x:col min="20" max="20" width="12" bestFit="1" customWidth="1" style="63"/>
    <x:col min="21" max="21" width="18" bestFit="1" customWidth="1" style="63"/>
    <x:col min="22" max="22" width="18" bestFit="1" customWidth="1" style="63"/>
    <x:col min="23" max="23" width="23" bestFit="1" customWidth="1" style="63"/>
    <x:col min="24" max="24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  <x:c r="U1" s="144"/>
      <x:c r="V1" s="144"/>
      <x:c r="W1" s="144"/>
      <x:c r="X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de baja IT</x:v>
      </x:c>
      <x:c r="L3" s="172" t="str">
        <x:v>Fecha Propuesta IP</x:v>
      </x:c>
      <x:c r="M3" s="172" t="str">
        <x:v>Entidad Responsable</x:v>
      </x:c>
      <x:c r="N3" s="172" t="str">
        <x:v>Causa Inicio IP</x:v>
      </x:c>
      <x:c r="O3" s="172" t="str">
        <x:v>Tipo de resolución</x:v>
      </x:c>
      <x:c r="P3" s="172" t="str">
        <x:v>Fecha Hecho Causante IP</x:v>
      </x:c>
      <x:c r="Q3" s="172" t="str">
        <x:v>Origen Resolución IP</x:v>
      </x:c>
      <x:c r="R3" s="172" t="str">
        <x:v>Fecha de Efectos IP</x:v>
      </x:c>
      <x:c r="S3" s="172" t="str">
        <x:v>Fecha de Resolución IP</x:v>
      </x:c>
      <x:c r="T3" s="172" t="str">
        <x:v>Tipo de IP</x:v>
      </x:c>
      <x:c r="U3" s="172" t="str">
        <x:v>Fecha Desde Demora</x:v>
      </x:c>
      <x:c r="V3" s="172" t="str">
        <x:v>Fecha Fin Demora</x:v>
      </x:c>
      <x:c r="W3" s="172" t="str">
        <x:v>Indicador de Revisión</x:v>
      </x:c>
      <x:c r="X3" s="172" t="str">
        <x:v>Fecha de Revisión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  <x:c r="L4" s="183"/>
      <x:c r="M4" s="181"/>
      <x:c r="N4" s="181"/>
      <x:c r="O4" s="181"/>
      <x:c r="P4" s="183"/>
      <x:c r="Q4" s="181"/>
      <x:c r="R4" s="183"/>
      <x:c r="S4" s="183"/>
      <x:c r="T4" s="181"/>
      <x:c r="U4" s="183"/>
      <x:c r="V4" s="183"/>
      <x:c r="W4" s="181"/>
      <x:c r="X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  <x:c r="L5" s="183"/>
      <x:c r="M5" s="181"/>
      <x:c r="N5" s="181"/>
      <x:c r="O5" s="181"/>
      <x:c r="P5" s="183"/>
      <x:c r="Q5" s="181"/>
      <x:c r="R5" s="183"/>
      <x:c r="S5" s="183"/>
      <x:c r="T5" s="181"/>
      <x:c r="U5" s="183"/>
      <x:c r="V5" s="183"/>
      <x:c r="W5" s="181"/>
      <x:c r="X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  <x:c r="L6" s="183"/>
      <x:c r="M6" s="181"/>
      <x:c r="N6" s="181"/>
      <x:c r="O6" s="181"/>
      <x:c r="P6" s="183"/>
      <x:c r="Q6" s="181"/>
      <x:c r="R6" s="183"/>
      <x:c r="S6" s="183"/>
      <x:c r="T6" s="181"/>
      <x:c r="U6" s="183"/>
      <x:c r="V6" s="183"/>
      <x:c r="W6" s="181"/>
      <x:c r="X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  <x:c r="L7" s="183"/>
      <x:c r="M7" s="181"/>
      <x:c r="N7" s="181"/>
      <x:c r="O7" s="181"/>
      <x:c r="P7" s="183"/>
      <x:c r="Q7" s="181"/>
      <x:c r="R7" s="183"/>
      <x:c r="S7" s="183"/>
      <x:c r="T7" s="181"/>
      <x:c r="U7" s="183"/>
      <x:c r="V7" s="183"/>
      <x:c r="W7" s="181"/>
      <x:c r="X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  <x:c r="L8" s="183"/>
      <x:c r="M8" s="181"/>
      <x:c r="N8" s="181"/>
      <x:c r="O8" s="181"/>
      <x:c r="P8" s="183"/>
      <x:c r="Q8" s="181"/>
      <x:c r="R8" s="183"/>
      <x:c r="S8" s="183"/>
      <x:c r="T8" s="181"/>
      <x:c r="U8" s="183"/>
      <x:c r="V8" s="183"/>
      <x:c r="W8" s="181"/>
      <x:c r="X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  <x:c r="L9" s="183"/>
      <x:c r="M9" s="181"/>
      <x:c r="N9" s="181"/>
      <x:c r="O9" s="181"/>
      <x:c r="P9" s="183"/>
      <x:c r="Q9" s="181"/>
      <x:c r="R9" s="183"/>
      <x:c r="S9" s="183"/>
      <x:c r="T9" s="181"/>
      <x:c r="U9" s="183"/>
      <x:c r="V9" s="183"/>
      <x:c r="W9" s="181"/>
      <x:c r="X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  <x:c r="L10" s="183"/>
      <x:c r="M10" s="181"/>
      <x:c r="N10" s="181"/>
      <x:c r="O10" s="181"/>
      <x:c r="P10" s="183"/>
      <x:c r="Q10" s="181"/>
      <x:c r="R10" s="183"/>
      <x:c r="S10" s="183"/>
      <x:c r="T10" s="181"/>
      <x:c r="U10" s="183"/>
      <x:c r="V10" s="183"/>
      <x:c r="W10" s="181"/>
      <x:c r="X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  <x:c r="L11" s="183"/>
      <x:c r="M11" s="181"/>
      <x:c r="N11" s="181"/>
      <x:c r="O11" s="181"/>
      <x:c r="P11" s="183"/>
      <x:c r="Q11" s="181"/>
      <x:c r="R11" s="183"/>
      <x:c r="S11" s="183"/>
      <x:c r="T11" s="181"/>
      <x:c r="U11" s="183"/>
      <x:c r="V11" s="183"/>
      <x:c r="W11" s="181"/>
      <x:c r="X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  <x:c r="L12" s="183"/>
      <x:c r="M12" s="181"/>
      <x:c r="N12" s="181"/>
      <x:c r="O12" s="181"/>
      <x:c r="P12" s="183"/>
      <x:c r="Q12" s="181"/>
      <x:c r="R12" s="183"/>
      <x:c r="S12" s="183"/>
      <x:c r="T12" s="181"/>
      <x:c r="U12" s="183"/>
      <x:c r="V12" s="183"/>
      <x:c r="W12" s="181"/>
      <x:c r="X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  <x:c r="L13" s="183"/>
      <x:c r="M13" s="181"/>
      <x:c r="N13" s="181"/>
      <x:c r="O13" s="181"/>
      <x:c r="P13" s="183"/>
      <x:c r="Q13" s="181"/>
      <x:c r="R13" s="183"/>
      <x:c r="S13" s="183"/>
      <x:c r="T13" s="181"/>
      <x:c r="U13" s="183"/>
      <x:c r="V13" s="183"/>
      <x:c r="W13" s="181"/>
      <x:c r="X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  <x:c r="L14" s="183"/>
      <x:c r="M14" s="181"/>
      <x:c r="N14" s="181"/>
      <x:c r="O14" s="181"/>
      <x:c r="P14" s="183"/>
      <x:c r="Q14" s="181"/>
      <x:c r="R14" s="183"/>
      <x:c r="S14" s="183"/>
      <x:c r="T14" s="181"/>
      <x:c r="U14" s="183"/>
      <x:c r="V14" s="183"/>
      <x:c r="W14" s="181"/>
      <x:c r="X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  <x:c r="L15" s="183"/>
      <x:c r="M15" s="181"/>
      <x:c r="N15" s="181"/>
      <x:c r="O15" s="181"/>
      <x:c r="P15" s="183"/>
      <x:c r="Q15" s="181"/>
      <x:c r="R15" s="183"/>
      <x:c r="S15" s="183"/>
      <x:c r="T15" s="181"/>
      <x:c r="U15" s="183"/>
      <x:c r="V15" s="183"/>
      <x:c r="W15" s="181"/>
      <x:c r="X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  <x:c r="L16" s="183"/>
      <x:c r="M16" s="181"/>
      <x:c r="N16" s="181"/>
      <x:c r="O16" s="181"/>
      <x:c r="P16" s="183"/>
      <x:c r="Q16" s="181"/>
      <x:c r="R16" s="183"/>
      <x:c r="S16" s="183"/>
      <x:c r="T16" s="181"/>
      <x:c r="U16" s="183"/>
      <x:c r="V16" s="183"/>
      <x:c r="W16" s="181"/>
      <x:c r="X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  <x:c r="L17" s="183"/>
      <x:c r="M17" s="181"/>
      <x:c r="N17" s="181"/>
      <x:c r="O17" s="181"/>
      <x:c r="P17" s="183"/>
      <x:c r="Q17" s="181"/>
      <x:c r="R17" s="183"/>
      <x:c r="S17" s="183"/>
      <x:c r="T17" s="181"/>
      <x:c r="U17" s="183"/>
      <x:c r="V17" s="183"/>
      <x:c r="W17" s="181"/>
      <x:c r="X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  <x:c r="L18" s="183"/>
      <x:c r="M18" s="181"/>
      <x:c r="N18" s="181"/>
      <x:c r="O18" s="181"/>
      <x:c r="P18" s="183"/>
      <x:c r="Q18" s="181"/>
      <x:c r="R18" s="183"/>
      <x:c r="S18" s="183"/>
      <x:c r="T18" s="181"/>
      <x:c r="U18" s="183"/>
      <x:c r="V18" s="183"/>
      <x:c r="W18" s="181"/>
      <x:c r="X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  <x:c r="L19" s="183"/>
      <x:c r="M19" s="181"/>
      <x:c r="N19" s="181"/>
      <x:c r="O19" s="181"/>
      <x:c r="P19" s="183"/>
      <x:c r="Q19" s="181"/>
      <x:c r="R19" s="183"/>
      <x:c r="S19" s="183"/>
      <x:c r="T19" s="181"/>
      <x:c r="U19" s="183"/>
      <x:c r="V19" s="183"/>
      <x:c r="W19" s="181"/>
      <x:c r="X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  <x:c r="L20" s="183"/>
      <x:c r="M20" s="181"/>
      <x:c r="N20" s="181"/>
      <x:c r="O20" s="181"/>
      <x:c r="P20" s="183"/>
      <x:c r="Q20" s="181"/>
      <x:c r="R20" s="183"/>
      <x:c r="S20" s="183"/>
      <x:c r="T20" s="181"/>
      <x:c r="U20" s="183"/>
      <x:c r="V20" s="183"/>
      <x:c r="W20" s="181"/>
      <x:c r="X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  <x:c r="L21" s="183"/>
      <x:c r="M21" s="181"/>
      <x:c r="N21" s="181"/>
      <x:c r="O21" s="181"/>
      <x:c r="P21" s="183"/>
      <x:c r="Q21" s="181"/>
      <x:c r="R21" s="183"/>
      <x:c r="S21" s="183"/>
      <x:c r="T21" s="181"/>
      <x:c r="U21" s="183"/>
      <x:c r="V21" s="183"/>
      <x:c r="W21" s="181"/>
      <x:c r="X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  <x:c r="L22" s="183"/>
      <x:c r="M22" s="181"/>
      <x:c r="N22" s="181"/>
      <x:c r="O22" s="181"/>
      <x:c r="P22" s="183"/>
      <x:c r="Q22" s="181"/>
      <x:c r="R22" s="183"/>
      <x:c r="S22" s="183"/>
      <x:c r="T22" s="181"/>
      <x:c r="U22" s="183"/>
      <x:c r="V22" s="183"/>
      <x:c r="W22" s="181"/>
      <x:c r="X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  <x:c r="L23" s="183"/>
      <x:c r="M23" s="181"/>
      <x:c r="N23" s="181"/>
      <x:c r="O23" s="181"/>
      <x:c r="P23" s="183"/>
      <x:c r="Q23" s="181"/>
      <x:c r="R23" s="183"/>
      <x:c r="S23" s="183"/>
      <x:c r="T23" s="181"/>
      <x:c r="U23" s="183"/>
      <x:c r="V23" s="183"/>
      <x:c r="W23" s="181"/>
      <x:c r="X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  <x:c r="L24" s="183"/>
      <x:c r="M24" s="181"/>
      <x:c r="N24" s="181"/>
      <x:c r="O24" s="181"/>
      <x:c r="P24" s="183"/>
      <x:c r="Q24" s="181"/>
      <x:c r="R24" s="183"/>
      <x:c r="S24" s="183"/>
      <x:c r="T24" s="181"/>
      <x:c r="U24" s="183"/>
      <x:c r="V24" s="183"/>
      <x:c r="W24" s="181"/>
      <x:c r="X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  <x:c r="L25" s="183"/>
      <x:c r="M25" s="181"/>
      <x:c r="N25" s="181"/>
      <x:c r="O25" s="181"/>
      <x:c r="P25" s="183"/>
      <x:c r="Q25" s="181"/>
      <x:c r="R25" s="183"/>
      <x:c r="S25" s="183"/>
      <x:c r="T25" s="181"/>
      <x:c r="U25" s="183"/>
      <x:c r="V25" s="183"/>
      <x:c r="W25" s="181"/>
      <x:c r="X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  <x:c r="L26" s="183"/>
      <x:c r="M26" s="181"/>
      <x:c r="N26" s="181"/>
      <x:c r="O26" s="181"/>
      <x:c r="P26" s="183"/>
      <x:c r="Q26" s="181"/>
      <x:c r="R26" s="183"/>
      <x:c r="S26" s="183"/>
      <x:c r="T26" s="181"/>
      <x:c r="U26" s="183"/>
      <x:c r="V26" s="183"/>
      <x:c r="W26" s="181"/>
      <x:c r="X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  <x:c r="L27" s="183"/>
      <x:c r="M27" s="181"/>
      <x:c r="N27" s="181"/>
      <x:c r="O27" s="181"/>
      <x:c r="P27" s="183"/>
      <x:c r="Q27" s="181"/>
      <x:c r="R27" s="183"/>
      <x:c r="S27" s="183"/>
      <x:c r="T27" s="181"/>
      <x:c r="U27" s="183"/>
      <x:c r="V27" s="183"/>
      <x:c r="W27" s="181"/>
      <x:c r="X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  <x:c r="L28" s="183"/>
      <x:c r="M28" s="181"/>
      <x:c r="N28" s="181"/>
      <x:c r="O28" s="181"/>
      <x:c r="P28" s="183"/>
      <x:c r="Q28" s="181"/>
      <x:c r="R28" s="183"/>
      <x:c r="S28" s="183"/>
      <x:c r="T28" s="181"/>
      <x:c r="U28" s="183"/>
      <x:c r="V28" s="183"/>
      <x:c r="W28" s="181"/>
      <x:c r="X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  <x:c r="L29" s="183"/>
      <x:c r="M29" s="181"/>
      <x:c r="N29" s="181"/>
      <x:c r="O29" s="181"/>
      <x:c r="P29" s="183"/>
      <x:c r="Q29" s="181"/>
      <x:c r="R29" s="183"/>
      <x:c r="S29" s="183"/>
      <x:c r="T29" s="181"/>
      <x:c r="U29" s="183"/>
      <x:c r="V29" s="183"/>
      <x:c r="W29" s="181"/>
      <x:c r="X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  <x:c r="L30" s="183"/>
      <x:c r="M30" s="181"/>
      <x:c r="N30" s="181"/>
      <x:c r="O30" s="181"/>
      <x:c r="P30" s="183"/>
      <x:c r="Q30" s="181"/>
      <x:c r="R30" s="183"/>
      <x:c r="S30" s="183"/>
      <x:c r="T30" s="181"/>
      <x:c r="U30" s="183"/>
      <x:c r="V30" s="183"/>
      <x:c r="W30" s="181"/>
      <x:c r="X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  <x:c r="L31" s="183"/>
      <x:c r="M31" s="181"/>
      <x:c r="N31" s="181"/>
      <x:c r="O31" s="181"/>
      <x:c r="P31" s="183"/>
      <x:c r="Q31" s="181"/>
      <x:c r="R31" s="183"/>
      <x:c r="S31" s="183"/>
      <x:c r="T31" s="181"/>
      <x:c r="U31" s="183"/>
      <x:c r="V31" s="183"/>
      <x:c r="W31" s="181"/>
      <x:c r="X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  <x:c r="L32" s="183"/>
      <x:c r="M32" s="181"/>
      <x:c r="N32" s="181"/>
      <x:c r="O32" s="181"/>
      <x:c r="P32" s="183"/>
      <x:c r="Q32" s="181"/>
      <x:c r="R32" s="183"/>
      <x:c r="S32" s="183"/>
      <x:c r="T32" s="181"/>
      <x:c r="U32" s="183"/>
      <x:c r="V32" s="183"/>
      <x:c r="W32" s="181"/>
      <x:c r="X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  <x:c r="L33" s="183"/>
      <x:c r="M33" s="181"/>
      <x:c r="N33" s="181"/>
      <x:c r="O33" s="181"/>
      <x:c r="P33" s="183"/>
      <x:c r="Q33" s="181"/>
      <x:c r="R33" s="183"/>
      <x:c r="S33" s="183"/>
      <x:c r="T33" s="181"/>
      <x:c r="U33" s="183"/>
      <x:c r="V33" s="183"/>
      <x:c r="W33" s="181"/>
      <x:c r="X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  <x:c r="L34" s="183"/>
      <x:c r="M34" s="181"/>
      <x:c r="N34" s="181"/>
      <x:c r="O34" s="181"/>
      <x:c r="P34" s="183"/>
      <x:c r="Q34" s="181"/>
      <x:c r="R34" s="183"/>
      <x:c r="S34" s="183"/>
      <x:c r="T34" s="181"/>
      <x:c r="U34" s="183"/>
      <x:c r="V34" s="183"/>
      <x:c r="W34" s="181"/>
      <x:c r="X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  <x:c r="L35" s="183"/>
      <x:c r="M35" s="181"/>
      <x:c r="N35" s="181"/>
      <x:c r="O35" s="181"/>
      <x:c r="P35" s="183"/>
      <x:c r="Q35" s="181"/>
      <x:c r="R35" s="183"/>
      <x:c r="S35" s="183"/>
      <x:c r="T35" s="181"/>
      <x:c r="U35" s="183"/>
      <x:c r="V35" s="183"/>
      <x:c r="W35" s="181"/>
      <x:c r="X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  <x:c r="L36" s="183"/>
      <x:c r="M36" s="181"/>
      <x:c r="N36" s="181"/>
      <x:c r="O36" s="181"/>
      <x:c r="P36" s="183"/>
      <x:c r="Q36" s="181"/>
      <x:c r="R36" s="183"/>
      <x:c r="S36" s="183"/>
      <x:c r="T36" s="181"/>
      <x:c r="U36" s="183"/>
      <x:c r="V36" s="183"/>
      <x:c r="W36" s="181"/>
      <x:c r="X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  <x:c r="L37" s="183"/>
      <x:c r="M37" s="181"/>
      <x:c r="N37" s="181"/>
      <x:c r="O37" s="181"/>
      <x:c r="P37" s="183"/>
      <x:c r="Q37" s="181"/>
      <x:c r="R37" s="183"/>
      <x:c r="S37" s="183"/>
      <x:c r="T37" s="181"/>
      <x:c r="U37" s="183"/>
      <x:c r="V37" s="183"/>
      <x:c r="W37" s="181"/>
      <x:c r="X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  <x:c r="L38" s="183"/>
      <x:c r="M38" s="181"/>
      <x:c r="N38" s="181"/>
      <x:c r="O38" s="181"/>
      <x:c r="P38" s="183"/>
      <x:c r="Q38" s="181"/>
      <x:c r="R38" s="183"/>
      <x:c r="S38" s="183"/>
      <x:c r="T38" s="181"/>
      <x:c r="U38" s="183"/>
      <x:c r="V38" s="183"/>
      <x:c r="W38" s="181"/>
      <x:c r="X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  <x:c r="L39" s="183"/>
      <x:c r="M39" s="181"/>
      <x:c r="N39" s="181"/>
      <x:c r="O39" s="181"/>
      <x:c r="P39" s="183"/>
      <x:c r="Q39" s="181"/>
      <x:c r="R39" s="183"/>
      <x:c r="S39" s="183"/>
      <x:c r="T39" s="181"/>
      <x:c r="U39" s="183"/>
      <x:c r="V39" s="183"/>
      <x:c r="W39" s="181"/>
      <x:c r="X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  <x:c r="L40" s="183"/>
      <x:c r="M40" s="181"/>
      <x:c r="N40" s="181"/>
      <x:c r="O40" s="181"/>
      <x:c r="P40" s="183"/>
      <x:c r="Q40" s="181"/>
      <x:c r="R40" s="183"/>
      <x:c r="S40" s="183"/>
      <x:c r="T40" s="181"/>
      <x:c r="U40" s="183"/>
      <x:c r="V40" s="183"/>
      <x:c r="W40" s="181"/>
      <x:c r="X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  <x:c r="L41" s="183"/>
      <x:c r="M41" s="181"/>
      <x:c r="N41" s="181"/>
      <x:c r="O41" s="181"/>
      <x:c r="P41" s="183"/>
      <x:c r="Q41" s="181"/>
      <x:c r="R41" s="183"/>
      <x:c r="S41" s="183"/>
      <x:c r="T41" s="181"/>
      <x:c r="U41" s="183"/>
      <x:c r="V41" s="183"/>
      <x:c r="W41" s="181"/>
      <x:c r="X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  <x:c r="L42" s="183"/>
      <x:c r="M42" s="181"/>
      <x:c r="N42" s="181"/>
      <x:c r="O42" s="181"/>
      <x:c r="P42" s="183"/>
      <x:c r="Q42" s="181"/>
      <x:c r="R42" s="183"/>
      <x:c r="S42" s="183"/>
      <x:c r="T42" s="181"/>
      <x:c r="U42" s="183"/>
      <x:c r="V42" s="183"/>
      <x:c r="W42" s="181"/>
      <x:c r="X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  <x:c r="L43" s="183"/>
      <x:c r="M43" s="181"/>
      <x:c r="N43" s="181"/>
      <x:c r="O43" s="181"/>
      <x:c r="P43" s="183"/>
      <x:c r="Q43" s="181"/>
      <x:c r="R43" s="183"/>
      <x:c r="S43" s="183"/>
      <x:c r="T43" s="181"/>
      <x:c r="U43" s="183"/>
      <x:c r="V43" s="183"/>
      <x:c r="W43" s="181"/>
      <x:c r="X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  <x:c r="L44" s="183"/>
      <x:c r="M44" s="181"/>
      <x:c r="N44" s="181"/>
      <x:c r="O44" s="181"/>
      <x:c r="P44" s="183"/>
      <x:c r="Q44" s="181"/>
      <x:c r="R44" s="183"/>
      <x:c r="S44" s="183"/>
      <x:c r="T44" s="181"/>
      <x:c r="U44" s="183"/>
      <x:c r="V44" s="183"/>
      <x:c r="W44" s="181"/>
      <x:c r="X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  <x:c r="L45" s="183"/>
      <x:c r="M45" s="181"/>
      <x:c r="N45" s="181"/>
      <x:c r="O45" s="181"/>
      <x:c r="P45" s="183"/>
      <x:c r="Q45" s="181"/>
      <x:c r="R45" s="183"/>
      <x:c r="S45" s="183"/>
      <x:c r="T45" s="181"/>
      <x:c r="U45" s="183"/>
      <x:c r="V45" s="183"/>
      <x:c r="W45" s="181"/>
      <x:c r="X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  <x:c r="L46" s="183"/>
      <x:c r="M46" s="181"/>
      <x:c r="N46" s="181"/>
      <x:c r="O46" s="181"/>
      <x:c r="P46" s="183"/>
      <x:c r="Q46" s="181"/>
      <x:c r="R46" s="183"/>
      <x:c r="S46" s="183"/>
      <x:c r="T46" s="181"/>
      <x:c r="U46" s="183"/>
      <x:c r="V46" s="183"/>
      <x:c r="W46" s="181"/>
      <x:c r="X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  <x:c r="L47" s="183"/>
      <x:c r="M47" s="181"/>
      <x:c r="N47" s="181"/>
      <x:c r="O47" s="181"/>
      <x:c r="P47" s="183"/>
      <x:c r="Q47" s="181"/>
      <x:c r="R47" s="183"/>
      <x:c r="S47" s="183"/>
      <x:c r="T47" s="181"/>
      <x:c r="U47" s="183"/>
      <x:c r="V47" s="183"/>
      <x:c r="W47" s="181"/>
      <x:c r="X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  <x:c r="L48" s="183"/>
      <x:c r="M48" s="181"/>
      <x:c r="N48" s="181"/>
      <x:c r="O48" s="181"/>
      <x:c r="P48" s="183"/>
      <x:c r="Q48" s="181"/>
      <x:c r="R48" s="183"/>
      <x:c r="S48" s="183"/>
      <x:c r="T48" s="181"/>
      <x:c r="U48" s="183"/>
      <x:c r="V48" s="183"/>
      <x:c r="W48" s="181"/>
      <x:c r="X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  <x:c r="L49" s="183"/>
      <x:c r="M49" s="181"/>
      <x:c r="N49" s="181"/>
      <x:c r="O49" s="181"/>
      <x:c r="P49" s="183"/>
      <x:c r="Q49" s="181"/>
      <x:c r="R49" s="183"/>
      <x:c r="S49" s="183"/>
      <x:c r="T49" s="181"/>
      <x:c r="U49" s="183"/>
      <x:c r="V49" s="183"/>
      <x:c r="W49" s="181"/>
      <x:c r="X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  <x:c r="L50" s="183"/>
      <x:c r="M50" s="181"/>
      <x:c r="N50" s="181"/>
      <x:c r="O50" s="181"/>
      <x:c r="P50" s="183"/>
      <x:c r="Q50" s="181"/>
      <x:c r="R50" s="183"/>
      <x:c r="S50" s="183"/>
      <x:c r="T50" s="181"/>
      <x:c r="U50" s="183"/>
      <x:c r="V50" s="183"/>
      <x:c r="W50" s="181"/>
      <x:c r="X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  <x:c r="L51" s="183"/>
      <x:c r="M51" s="181"/>
      <x:c r="N51" s="181"/>
      <x:c r="O51" s="181"/>
      <x:c r="P51" s="183"/>
      <x:c r="Q51" s="181"/>
      <x:c r="R51" s="183"/>
      <x:c r="S51" s="183"/>
      <x:c r="T51" s="181"/>
      <x:c r="U51" s="183"/>
      <x:c r="V51" s="183"/>
      <x:c r="W51" s="181"/>
      <x:c r="X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  <x:c r="L52" s="183"/>
      <x:c r="M52" s="181"/>
      <x:c r="N52" s="181"/>
      <x:c r="O52" s="181"/>
      <x:c r="P52" s="183"/>
      <x:c r="Q52" s="181"/>
      <x:c r="R52" s="183"/>
      <x:c r="S52" s="183"/>
      <x:c r="T52" s="181"/>
      <x:c r="U52" s="183"/>
      <x:c r="V52" s="183"/>
      <x:c r="W52" s="181"/>
      <x:c r="X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  <x:c r="L53" s="183"/>
      <x:c r="M53" s="181"/>
      <x:c r="N53" s="181"/>
      <x:c r="O53" s="181"/>
      <x:c r="P53" s="183"/>
      <x:c r="Q53" s="181"/>
      <x:c r="R53" s="183"/>
      <x:c r="S53" s="183"/>
      <x:c r="T53" s="181"/>
      <x:c r="U53" s="183"/>
      <x:c r="V53" s="183"/>
      <x:c r="W53" s="181"/>
      <x:c r="X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  <x:c r="L54" s="183"/>
      <x:c r="M54" s="181"/>
      <x:c r="N54" s="181"/>
      <x:c r="O54" s="181"/>
      <x:c r="P54" s="183"/>
      <x:c r="Q54" s="181"/>
      <x:c r="R54" s="183"/>
      <x:c r="S54" s="183"/>
      <x:c r="T54" s="181"/>
      <x:c r="U54" s="183"/>
      <x:c r="V54" s="183"/>
      <x:c r="W54" s="181"/>
      <x:c r="X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  <x:c r="L55" s="183"/>
      <x:c r="M55" s="181"/>
      <x:c r="N55" s="181"/>
      <x:c r="O55" s="181"/>
      <x:c r="P55" s="183"/>
      <x:c r="Q55" s="181"/>
      <x:c r="R55" s="183"/>
      <x:c r="S55" s="183"/>
      <x:c r="T55" s="181"/>
      <x:c r="U55" s="183"/>
      <x:c r="V55" s="183"/>
      <x:c r="W55" s="181"/>
      <x:c r="X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  <x:c r="L56" s="183"/>
      <x:c r="M56" s="181"/>
      <x:c r="N56" s="181"/>
      <x:c r="O56" s="181"/>
      <x:c r="P56" s="183"/>
      <x:c r="Q56" s="181"/>
      <x:c r="R56" s="183"/>
      <x:c r="S56" s="183"/>
      <x:c r="T56" s="181"/>
      <x:c r="U56" s="183"/>
      <x:c r="V56" s="183"/>
      <x:c r="W56" s="181"/>
      <x:c r="X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  <x:c r="L57" s="183"/>
      <x:c r="M57" s="181"/>
      <x:c r="N57" s="181"/>
      <x:c r="O57" s="181"/>
      <x:c r="P57" s="183"/>
      <x:c r="Q57" s="181"/>
      <x:c r="R57" s="183"/>
      <x:c r="S57" s="183"/>
      <x:c r="T57" s="181"/>
      <x:c r="U57" s="183"/>
      <x:c r="V57" s="183"/>
      <x:c r="W57" s="181"/>
      <x:c r="X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  <x:c r="L58" s="183"/>
      <x:c r="M58" s="181"/>
      <x:c r="N58" s="181"/>
      <x:c r="O58" s="181"/>
      <x:c r="P58" s="183"/>
      <x:c r="Q58" s="181"/>
      <x:c r="R58" s="183"/>
      <x:c r="S58" s="183"/>
      <x:c r="T58" s="181"/>
      <x:c r="U58" s="183"/>
      <x:c r="V58" s="183"/>
      <x:c r="W58" s="181"/>
      <x:c r="X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  <x:c r="L59" s="183"/>
      <x:c r="M59" s="181"/>
      <x:c r="N59" s="181"/>
      <x:c r="O59" s="181"/>
      <x:c r="P59" s="183"/>
      <x:c r="Q59" s="181"/>
      <x:c r="R59" s="183"/>
      <x:c r="S59" s="183"/>
      <x:c r="T59" s="181"/>
      <x:c r="U59" s="183"/>
      <x:c r="V59" s="183"/>
      <x:c r="W59" s="181"/>
      <x:c r="X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  <x:c r="L60" s="183"/>
      <x:c r="M60" s="181"/>
      <x:c r="N60" s="181"/>
      <x:c r="O60" s="181"/>
      <x:c r="P60" s="183"/>
      <x:c r="Q60" s="181"/>
      <x:c r="R60" s="183"/>
      <x:c r="S60" s="183"/>
      <x:c r="T60" s="181"/>
      <x:c r="U60" s="183"/>
      <x:c r="V60" s="183"/>
      <x:c r="W60" s="181"/>
      <x:c r="X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  <x:c r="L61" s="183"/>
      <x:c r="M61" s="181"/>
      <x:c r="N61" s="181"/>
      <x:c r="O61" s="181"/>
      <x:c r="P61" s="183"/>
      <x:c r="Q61" s="181"/>
      <x:c r="R61" s="183"/>
      <x:c r="S61" s="183"/>
      <x:c r="T61" s="181"/>
      <x:c r="U61" s="183"/>
      <x:c r="V61" s="183"/>
      <x:c r="W61" s="181"/>
      <x:c r="X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  <x:c r="L62" s="183"/>
      <x:c r="M62" s="181"/>
      <x:c r="N62" s="181"/>
      <x:c r="O62" s="181"/>
      <x:c r="P62" s="183"/>
      <x:c r="Q62" s="181"/>
      <x:c r="R62" s="183"/>
      <x:c r="S62" s="183"/>
      <x:c r="T62" s="181"/>
      <x:c r="U62" s="183"/>
      <x:c r="V62" s="183"/>
      <x:c r="W62" s="181"/>
      <x:c r="X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  <x:c r="L63" s="183"/>
      <x:c r="M63" s="181"/>
      <x:c r="N63" s="181"/>
      <x:c r="O63" s="181"/>
      <x:c r="P63" s="183"/>
      <x:c r="Q63" s="181"/>
      <x:c r="R63" s="183"/>
      <x:c r="S63" s="183"/>
      <x:c r="T63" s="181"/>
      <x:c r="U63" s="183"/>
      <x:c r="V63" s="183"/>
      <x:c r="W63" s="181"/>
      <x:c r="X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  <x:c r="L64" s="183"/>
      <x:c r="M64" s="181"/>
      <x:c r="N64" s="181"/>
      <x:c r="O64" s="181"/>
      <x:c r="P64" s="183"/>
      <x:c r="Q64" s="181"/>
      <x:c r="R64" s="183"/>
      <x:c r="S64" s="183"/>
      <x:c r="T64" s="181"/>
      <x:c r="U64" s="183"/>
      <x:c r="V64" s="183"/>
      <x:c r="W64" s="181"/>
      <x:c r="X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  <x:c r="L65" s="183"/>
      <x:c r="M65" s="181"/>
      <x:c r="N65" s="181"/>
      <x:c r="O65" s="181"/>
      <x:c r="P65" s="183"/>
      <x:c r="Q65" s="181"/>
      <x:c r="R65" s="183"/>
      <x:c r="S65" s="183"/>
      <x:c r="T65" s="181"/>
      <x:c r="U65" s="183"/>
      <x:c r="V65" s="183"/>
      <x:c r="W65" s="181"/>
      <x:c r="X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  <x:c r="L66" s="183"/>
      <x:c r="M66" s="181"/>
      <x:c r="N66" s="181"/>
      <x:c r="O66" s="181"/>
      <x:c r="P66" s="183"/>
      <x:c r="Q66" s="181"/>
      <x:c r="R66" s="183"/>
      <x:c r="S66" s="183"/>
      <x:c r="T66" s="181"/>
      <x:c r="U66" s="183"/>
      <x:c r="V66" s="183"/>
      <x:c r="W66" s="181"/>
      <x:c r="X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  <x:c r="L67" s="183"/>
      <x:c r="M67" s="181"/>
      <x:c r="N67" s="181"/>
      <x:c r="O67" s="181"/>
      <x:c r="P67" s="183"/>
      <x:c r="Q67" s="181"/>
      <x:c r="R67" s="183"/>
      <x:c r="S67" s="183"/>
      <x:c r="T67" s="181"/>
      <x:c r="U67" s="183"/>
      <x:c r="V67" s="183"/>
      <x:c r="W67" s="181"/>
      <x:c r="X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  <x:c r="L68" s="183"/>
      <x:c r="M68" s="181"/>
      <x:c r="N68" s="181"/>
      <x:c r="O68" s="181"/>
      <x:c r="P68" s="183"/>
      <x:c r="Q68" s="181"/>
      <x:c r="R68" s="183"/>
      <x:c r="S68" s="183"/>
      <x:c r="T68" s="181"/>
      <x:c r="U68" s="183"/>
      <x:c r="V68" s="183"/>
      <x:c r="W68" s="181"/>
      <x:c r="X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  <x:c r="L69" s="183"/>
      <x:c r="M69" s="181"/>
      <x:c r="N69" s="181"/>
      <x:c r="O69" s="181"/>
      <x:c r="P69" s="183"/>
      <x:c r="Q69" s="181"/>
      <x:c r="R69" s="183"/>
      <x:c r="S69" s="183"/>
      <x:c r="T69" s="181"/>
      <x:c r="U69" s="183"/>
      <x:c r="V69" s="183"/>
      <x:c r="W69" s="181"/>
      <x:c r="X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  <x:c r="L70" s="183"/>
      <x:c r="M70" s="181"/>
      <x:c r="N70" s="181"/>
      <x:c r="O70" s="181"/>
      <x:c r="P70" s="183"/>
      <x:c r="Q70" s="181"/>
      <x:c r="R70" s="183"/>
      <x:c r="S70" s="183"/>
      <x:c r="T70" s="181"/>
      <x:c r="U70" s="183"/>
      <x:c r="V70" s="183"/>
      <x:c r="W70" s="181"/>
      <x:c r="X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  <x:c r="L71" s="183"/>
      <x:c r="M71" s="181"/>
      <x:c r="N71" s="181"/>
      <x:c r="O71" s="181"/>
      <x:c r="P71" s="183"/>
      <x:c r="Q71" s="181"/>
      <x:c r="R71" s="183"/>
      <x:c r="S71" s="183"/>
      <x:c r="T71" s="181"/>
      <x:c r="U71" s="183"/>
      <x:c r="V71" s="183"/>
      <x:c r="W71" s="181"/>
      <x:c r="X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  <x:c r="L72" s="183"/>
      <x:c r="M72" s="181"/>
      <x:c r="N72" s="181"/>
      <x:c r="O72" s="181"/>
      <x:c r="P72" s="183"/>
      <x:c r="Q72" s="181"/>
      <x:c r="R72" s="183"/>
      <x:c r="S72" s="183"/>
      <x:c r="T72" s="181"/>
      <x:c r="U72" s="183"/>
      <x:c r="V72" s="183"/>
      <x:c r="W72" s="181"/>
      <x:c r="X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  <x:c r="L73" s="183"/>
      <x:c r="M73" s="181"/>
      <x:c r="N73" s="181"/>
      <x:c r="O73" s="181"/>
      <x:c r="P73" s="183"/>
      <x:c r="Q73" s="181"/>
      <x:c r="R73" s="183"/>
      <x:c r="S73" s="183"/>
      <x:c r="T73" s="181"/>
      <x:c r="U73" s="183"/>
      <x:c r="V73" s="183"/>
      <x:c r="W73" s="181"/>
      <x:c r="X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  <x:c r="L74" s="183"/>
      <x:c r="M74" s="181"/>
      <x:c r="N74" s="181"/>
      <x:c r="O74" s="181"/>
      <x:c r="P74" s="183"/>
      <x:c r="Q74" s="181"/>
      <x:c r="R74" s="183"/>
      <x:c r="S74" s="183"/>
      <x:c r="T74" s="181"/>
      <x:c r="U74" s="183"/>
      <x:c r="V74" s="183"/>
      <x:c r="W74" s="181"/>
      <x:c r="X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  <x:c r="L75" s="183"/>
      <x:c r="M75" s="181"/>
      <x:c r="N75" s="181"/>
      <x:c r="O75" s="181"/>
      <x:c r="P75" s="183"/>
      <x:c r="Q75" s="181"/>
      <x:c r="R75" s="183"/>
      <x:c r="S75" s="183"/>
      <x:c r="T75" s="181"/>
      <x:c r="U75" s="183"/>
      <x:c r="V75" s="183"/>
      <x:c r="W75" s="181"/>
      <x:c r="X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  <x:c r="L76" s="183"/>
      <x:c r="M76" s="181"/>
      <x:c r="N76" s="181"/>
      <x:c r="O76" s="181"/>
      <x:c r="P76" s="183"/>
      <x:c r="Q76" s="181"/>
      <x:c r="R76" s="183"/>
      <x:c r="S76" s="183"/>
      <x:c r="T76" s="181"/>
      <x:c r="U76" s="183"/>
      <x:c r="V76" s="183"/>
      <x:c r="W76" s="181"/>
      <x:c r="X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  <x:c r="L77" s="183"/>
      <x:c r="M77" s="181"/>
      <x:c r="N77" s="181"/>
      <x:c r="O77" s="181"/>
      <x:c r="P77" s="183"/>
      <x:c r="Q77" s="181"/>
      <x:c r="R77" s="183"/>
      <x:c r="S77" s="183"/>
      <x:c r="T77" s="181"/>
      <x:c r="U77" s="183"/>
      <x:c r="V77" s="183"/>
      <x:c r="W77" s="181"/>
      <x:c r="X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  <x:c r="L78" s="183"/>
      <x:c r="M78" s="181"/>
      <x:c r="N78" s="181"/>
      <x:c r="O78" s="181"/>
      <x:c r="P78" s="183"/>
      <x:c r="Q78" s="181"/>
      <x:c r="R78" s="183"/>
      <x:c r="S78" s="183"/>
      <x:c r="T78" s="181"/>
      <x:c r="U78" s="183"/>
      <x:c r="V78" s="183"/>
      <x:c r="W78" s="181"/>
      <x:c r="X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  <x:c r="L79" s="183"/>
      <x:c r="M79" s="181"/>
      <x:c r="N79" s="181"/>
      <x:c r="O79" s="181"/>
      <x:c r="P79" s="183"/>
      <x:c r="Q79" s="181"/>
      <x:c r="R79" s="183"/>
      <x:c r="S79" s="183"/>
      <x:c r="T79" s="181"/>
      <x:c r="U79" s="183"/>
      <x:c r="V79" s="183"/>
      <x:c r="W79" s="181"/>
      <x:c r="X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  <x:c r="L80" s="183"/>
      <x:c r="M80" s="181"/>
      <x:c r="N80" s="181"/>
      <x:c r="O80" s="181"/>
      <x:c r="P80" s="183"/>
      <x:c r="Q80" s="181"/>
      <x:c r="R80" s="183"/>
      <x:c r="S80" s="183"/>
      <x:c r="T80" s="181"/>
      <x:c r="U80" s="183"/>
      <x:c r="V80" s="183"/>
      <x:c r="W80" s="181"/>
      <x:c r="X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  <x:c r="L81" s="183"/>
      <x:c r="M81" s="181"/>
      <x:c r="N81" s="181"/>
      <x:c r="O81" s="181"/>
      <x:c r="P81" s="183"/>
      <x:c r="Q81" s="181"/>
      <x:c r="R81" s="183"/>
      <x:c r="S81" s="183"/>
      <x:c r="T81" s="181"/>
      <x:c r="U81" s="183"/>
      <x:c r="V81" s="183"/>
      <x:c r="W81" s="181"/>
      <x:c r="X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  <x:c r="L82" s="183"/>
      <x:c r="M82" s="181"/>
      <x:c r="N82" s="181"/>
      <x:c r="O82" s="181"/>
      <x:c r="P82" s="183"/>
      <x:c r="Q82" s="181"/>
      <x:c r="R82" s="183"/>
      <x:c r="S82" s="183"/>
      <x:c r="T82" s="181"/>
      <x:c r="U82" s="183"/>
      <x:c r="V82" s="183"/>
      <x:c r="W82" s="181"/>
      <x:c r="X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  <x:c r="L83" s="183"/>
      <x:c r="M83" s="181"/>
      <x:c r="N83" s="181"/>
      <x:c r="O83" s="181"/>
      <x:c r="P83" s="183"/>
      <x:c r="Q83" s="181"/>
      <x:c r="R83" s="183"/>
      <x:c r="S83" s="183"/>
      <x:c r="T83" s="181"/>
      <x:c r="U83" s="183"/>
      <x:c r="V83" s="183"/>
      <x:c r="W83" s="181"/>
      <x:c r="X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  <x:c r="L84" s="183"/>
      <x:c r="M84" s="181"/>
      <x:c r="N84" s="181"/>
      <x:c r="O84" s="181"/>
      <x:c r="P84" s="183"/>
      <x:c r="Q84" s="181"/>
      <x:c r="R84" s="183"/>
      <x:c r="S84" s="183"/>
      <x:c r="T84" s="181"/>
      <x:c r="U84" s="183"/>
      <x:c r="V84" s="183"/>
      <x:c r="W84" s="181"/>
      <x:c r="X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  <x:c r="L85" s="183"/>
      <x:c r="M85" s="181"/>
      <x:c r="N85" s="181"/>
      <x:c r="O85" s="181"/>
      <x:c r="P85" s="183"/>
      <x:c r="Q85" s="181"/>
      <x:c r="R85" s="183"/>
      <x:c r="S85" s="183"/>
      <x:c r="T85" s="181"/>
      <x:c r="U85" s="183"/>
      <x:c r="V85" s="183"/>
      <x:c r="W85" s="181"/>
      <x:c r="X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  <x:c r="L86" s="183"/>
      <x:c r="M86" s="181"/>
      <x:c r="N86" s="181"/>
      <x:c r="O86" s="181"/>
      <x:c r="P86" s="183"/>
      <x:c r="Q86" s="181"/>
      <x:c r="R86" s="183"/>
      <x:c r="S86" s="183"/>
      <x:c r="T86" s="181"/>
      <x:c r="U86" s="183"/>
      <x:c r="V86" s="183"/>
      <x:c r="W86" s="181"/>
      <x:c r="X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  <x:c r="L87" s="183"/>
      <x:c r="M87" s="181"/>
      <x:c r="N87" s="181"/>
      <x:c r="O87" s="181"/>
      <x:c r="P87" s="183"/>
      <x:c r="Q87" s="181"/>
      <x:c r="R87" s="183"/>
      <x:c r="S87" s="183"/>
      <x:c r="T87" s="181"/>
      <x:c r="U87" s="183"/>
      <x:c r="V87" s="183"/>
      <x:c r="W87" s="181"/>
      <x:c r="X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  <x:c r="L88" s="183"/>
      <x:c r="M88" s="181"/>
      <x:c r="N88" s="181"/>
      <x:c r="O88" s="181"/>
      <x:c r="P88" s="183"/>
      <x:c r="Q88" s="181"/>
      <x:c r="R88" s="183"/>
      <x:c r="S88" s="183"/>
      <x:c r="T88" s="181"/>
      <x:c r="U88" s="183"/>
      <x:c r="V88" s="183"/>
      <x:c r="W88" s="181"/>
      <x:c r="X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  <x:c r="L89" s="183"/>
      <x:c r="M89" s="181"/>
      <x:c r="N89" s="181"/>
      <x:c r="O89" s="181"/>
      <x:c r="P89" s="183"/>
      <x:c r="Q89" s="181"/>
      <x:c r="R89" s="183"/>
      <x:c r="S89" s="183"/>
      <x:c r="T89" s="181"/>
      <x:c r="U89" s="183"/>
      <x:c r="V89" s="183"/>
      <x:c r="W89" s="181"/>
      <x:c r="X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  <x:c r="L90" s="183"/>
      <x:c r="M90" s="181"/>
      <x:c r="N90" s="181"/>
      <x:c r="O90" s="181"/>
      <x:c r="P90" s="183"/>
      <x:c r="Q90" s="181"/>
      <x:c r="R90" s="183"/>
      <x:c r="S90" s="183"/>
      <x:c r="T90" s="181"/>
      <x:c r="U90" s="183"/>
      <x:c r="V90" s="183"/>
      <x:c r="W90" s="181"/>
      <x:c r="X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  <x:c r="L91" s="183"/>
      <x:c r="M91" s="181"/>
      <x:c r="N91" s="181"/>
      <x:c r="O91" s="181"/>
      <x:c r="P91" s="183"/>
      <x:c r="Q91" s="181"/>
      <x:c r="R91" s="183"/>
      <x:c r="S91" s="183"/>
      <x:c r="T91" s="181"/>
      <x:c r="U91" s="183"/>
      <x:c r="V91" s="183"/>
      <x:c r="W91" s="181"/>
      <x:c r="X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  <x:c r="L92" s="183"/>
      <x:c r="M92" s="181"/>
      <x:c r="N92" s="181"/>
      <x:c r="O92" s="181"/>
      <x:c r="P92" s="183"/>
      <x:c r="Q92" s="181"/>
      <x:c r="R92" s="183"/>
      <x:c r="S92" s="183"/>
      <x:c r="T92" s="181"/>
      <x:c r="U92" s="183"/>
      <x:c r="V92" s="183"/>
      <x:c r="W92" s="181"/>
      <x:c r="X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  <x:c r="L93" s="183"/>
      <x:c r="M93" s="181"/>
      <x:c r="N93" s="181"/>
      <x:c r="O93" s="181"/>
      <x:c r="P93" s="183"/>
      <x:c r="Q93" s="181"/>
      <x:c r="R93" s="183"/>
      <x:c r="S93" s="183"/>
      <x:c r="T93" s="181"/>
      <x:c r="U93" s="183"/>
      <x:c r="V93" s="183"/>
      <x:c r="W93" s="181"/>
      <x:c r="X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  <x:c r="L94" s="183"/>
      <x:c r="M94" s="181"/>
      <x:c r="N94" s="181"/>
      <x:c r="O94" s="181"/>
      <x:c r="P94" s="183"/>
      <x:c r="Q94" s="181"/>
      <x:c r="R94" s="183"/>
      <x:c r="S94" s="183"/>
      <x:c r="T94" s="181"/>
      <x:c r="U94" s="183"/>
      <x:c r="V94" s="183"/>
      <x:c r="W94" s="181"/>
      <x:c r="X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  <x:c r="L95" s="183"/>
      <x:c r="M95" s="181"/>
      <x:c r="N95" s="181"/>
      <x:c r="O95" s="181"/>
      <x:c r="P95" s="183"/>
      <x:c r="Q95" s="181"/>
      <x:c r="R95" s="183"/>
      <x:c r="S95" s="183"/>
      <x:c r="T95" s="181"/>
      <x:c r="U95" s="183"/>
      <x:c r="V95" s="183"/>
      <x:c r="W95" s="181"/>
      <x:c r="X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  <x:c r="L96" s="183"/>
      <x:c r="M96" s="181"/>
      <x:c r="N96" s="181"/>
      <x:c r="O96" s="181"/>
      <x:c r="P96" s="183"/>
      <x:c r="Q96" s="181"/>
      <x:c r="R96" s="183"/>
      <x:c r="S96" s="183"/>
      <x:c r="T96" s="181"/>
      <x:c r="U96" s="183"/>
      <x:c r="V96" s="183"/>
      <x:c r="W96" s="181"/>
      <x:c r="X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  <x:c r="L97" s="183"/>
      <x:c r="M97" s="181"/>
      <x:c r="N97" s="181"/>
      <x:c r="O97" s="181"/>
      <x:c r="P97" s="183"/>
      <x:c r="Q97" s="181"/>
      <x:c r="R97" s="183"/>
      <x:c r="S97" s="183"/>
      <x:c r="T97" s="181"/>
      <x:c r="U97" s="183"/>
      <x:c r="V97" s="183"/>
      <x:c r="W97" s="181"/>
      <x:c r="X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  <x:c r="L98" s="183"/>
      <x:c r="M98" s="181"/>
      <x:c r="N98" s="181"/>
      <x:c r="O98" s="181"/>
      <x:c r="P98" s="183"/>
      <x:c r="Q98" s="181"/>
      <x:c r="R98" s="183"/>
      <x:c r="S98" s="183"/>
      <x:c r="T98" s="181"/>
      <x:c r="U98" s="183"/>
      <x:c r="V98" s="183"/>
      <x:c r="W98" s="181"/>
      <x:c r="X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  <x:c r="L99" s="183"/>
      <x:c r="M99" s="181"/>
      <x:c r="N99" s="181"/>
      <x:c r="O99" s="181"/>
      <x:c r="P99" s="183"/>
      <x:c r="Q99" s="181"/>
      <x:c r="R99" s="183"/>
      <x:c r="S99" s="183"/>
      <x:c r="T99" s="181"/>
      <x:c r="U99" s="183"/>
      <x:c r="V99" s="183"/>
      <x:c r="W99" s="181"/>
      <x:c r="X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  <x:c r="L100" s="183"/>
      <x:c r="M100" s="181"/>
      <x:c r="N100" s="181"/>
      <x:c r="O100" s="181"/>
      <x:c r="P100" s="183"/>
      <x:c r="Q100" s="181"/>
      <x:c r="R100" s="183"/>
      <x:c r="S100" s="183"/>
      <x:c r="T100" s="181"/>
      <x:c r="U100" s="183"/>
      <x:c r="V100" s="183"/>
      <x:c r="W100" s="181"/>
      <x:c r="X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X1"/>
    <x:mergeCell ref="A2:B2"/>
    <x:mergeCell ref="C2:D2"/>
    <x:mergeCell ref="E2:I2"/>
    <x:mergeCell ref="J2:X2"/>
  </x:mergeCells>
  <x:pageMargins left="0.7" right="0.7" top="0.75" bottom="0.75" header="0.3" footer="0.3"/>
  <x:drawing r:id="R17314542c40f4ae9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20" bestFit="1" customWidth="1" style="63"/>
    <x:col min="12" max="12" width="20" bestFit="1" customWidth="1" style="63"/>
    <x:col min="13" max="13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7"/>
      <x:c r="L2" s="167"/>
      <x:c r="M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Tipo de resolución</x:v>
      </x:c>
      <x:c r="L3" s="172" t="str">
        <x:v>Tipo de Jubilación</x:v>
      </x:c>
      <x:c r="M3" s="172" t="str">
        <x:v>Fecha de Efectos Económicos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1"/>
      <x:c r="L4" s="181"/>
      <x:c r="M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1"/>
      <x:c r="L5" s="181"/>
      <x:c r="M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1"/>
      <x:c r="L6" s="181"/>
      <x:c r="M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1"/>
      <x:c r="L7" s="181"/>
      <x:c r="M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1"/>
      <x:c r="L8" s="181"/>
      <x:c r="M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1"/>
      <x:c r="L9" s="181"/>
      <x:c r="M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1"/>
      <x:c r="L10" s="181"/>
      <x:c r="M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1"/>
      <x:c r="L11" s="181"/>
      <x:c r="M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1"/>
      <x:c r="L12" s="181"/>
      <x:c r="M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1"/>
      <x:c r="L13" s="181"/>
      <x:c r="M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1"/>
      <x:c r="L14" s="181"/>
      <x:c r="M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1"/>
      <x:c r="L15" s="181"/>
      <x:c r="M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1"/>
      <x:c r="L16" s="181"/>
      <x:c r="M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1"/>
      <x:c r="L17" s="181"/>
      <x:c r="M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1"/>
      <x:c r="L18" s="181"/>
      <x:c r="M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1"/>
      <x:c r="L19" s="181"/>
      <x:c r="M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1"/>
      <x:c r="L20" s="181"/>
      <x:c r="M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1"/>
      <x:c r="L21" s="181"/>
      <x:c r="M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1"/>
      <x:c r="L22" s="181"/>
      <x:c r="M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1"/>
      <x:c r="L23" s="181"/>
      <x:c r="M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1"/>
      <x:c r="L24" s="181"/>
      <x:c r="M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1"/>
      <x:c r="L25" s="181"/>
      <x:c r="M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1"/>
      <x:c r="L26" s="181"/>
      <x:c r="M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1"/>
      <x:c r="L27" s="181"/>
      <x:c r="M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1"/>
      <x:c r="L28" s="181"/>
      <x:c r="M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1"/>
      <x:c r="L29" s="181"/>
      <x:c r="M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1"/>
      <x:c r="L30" s="181"/>
      <x:c r="M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1"/>
      <x:c r="L31" s="181"/>
      <x:c r="M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1"/>
      <x:c r="L32" s="181"/>
      <x:c r="M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1"/>
      <x:c r="L33" s="181"/>
      <x:c r="M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1"/>
      <x:c r="L34" s="181"/>
      <x:c r="M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1"/>
      <x:c r="L35" s="181"/>
      <x:c r="M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1"/>
      <x:c r="L36" s="181"/>
      <x:c r="M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1"/>
      <x:c r="L37" s="181"/>
      <x:c r="M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1"/>
      <x:c r="L38" s="181"/>
      <x:c r="M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1"/>
      <x:c r="L39" s="181"/>
      <x:c r="M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1"/>
      <x:c r="L40" s="181"/>
      <x:c r="M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1"/>
      <x:c r="L41" s="181"/>
      <x:c r="M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1"/>
      <x:c r="L42" s="181"/>
      <x:c r="M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1"/>
      <x:c r="L43" s="181"/>
      <x:c r="M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1"/>
      <x:c r="L44" s="181"/>
      <x:c r="M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1"/>
      <x:c r="L45" s="181"/>
      <x:c r="M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1"/>
      <x:c r="L46" s="181"/>
      <x:c r="M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1"/>
      <x:c r="L47" s="181"/>
      <x:c r="M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1"/>
      <x:c r="L48" s="181"/>
      <x:c r="M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1"/>
      <x:c r="L49" s="181"/>
      <x:c r="M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1"/>
      <x:c r="L50" s="181"/>
      <x:c r="M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1"/>
      <x:c r="L51" s="181"/>
      <x:c r="M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1"/>
      <x:c r="L52" s="181"/>
      <x:c r="M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1"/>
      <x:c r="L53" s="181"/>
      <x:c r="M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1"/>
      <x:c r="L54" s="181"/>
      <x:c r="M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1"/>
      <x:c r="L55" s="181"/>
      <x:c r="M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1"/>
      <x:c r="L56" s="181"/>
      <x:c r="M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1"/>
      <x:c r="L57" s="181"/>
      <x:c r="M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1"/>
      <x:c r="L58" s="181"/>
      <x:c r="M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1"/>
      <x:c r="L59" s="181"/>
      <x:c r="M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1"/>
      <x:c r="L60" s="181"/>
      <x:c r="M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1"/>
      <x:c r="L61" s="181"/>
      <x:c r="M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1"/>
      <x:c r="L62" s="181"/>
      <x:c r="M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1"/>
      <x:c r="L63" s="181"/>
      <x:c r="M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1"/>
      <x:c r="L64" s="181"/>
      <x:c r="M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1"/>
      <x:c r="L65" s="181"/>
      <x:c r="M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1"/>
      <x:c r="L66" s="181"/>
      <x:c r="M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1"/>
      <x:c r="L67" s="181"/>
      <x:c r="M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1"/>
      <x:c r="L68" s="181"/>
      <x:c r="M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1"/>
      <x:c r="L69" s="181"/>
      <x:c r="M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1"/>
      <x:c r="L70" s="181"/>
      <x:c r="M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1"/>
      <x:c r="L71" s="181"/>
      <x:c r="M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1"/>
      <x:c r="L72" s="181"/>
      <x:c r="M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1"/>
      <x:c r="L73" s="181"/>
      <x:c r="M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1"/>
      <x:c r="L74" s="181"/>
      <x:c r="M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1"/>
      <x:c r="L75" s="181"/>
      <x:c r="M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1"/>
      <x:c r="L76" s="181"/>
      <x:c r="M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1"/>
      <x:c r="L77" s="181"/>
      <x:c r="M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1"/>
      <x:c r="L78" s="181"/>
      <x:c r="M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1"/>
      <x:c r="L79" s="181"/>
      <x:c r="M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1"/>
      <x:c r="L80" s="181"/>
      <x:c r="M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1"/>
      <x:c r="L81" s="181"/>
      <x:c r="M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1"/>
      <x:c r="L82" s="181"/>
      <x:c r="M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1"/>
      <x:c r="L83" s="181"/>
      <x:c r="M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1"/>
      <x:c r="L84" s="181"/>
      <x:c r="M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1"/>
      <x:c r="L85" s="181"/>
      <x:c r="M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1"/>
      <x:c r="L86" s="181"/>
      <x:c r="M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1"/>
      <x:c r="L87" s="181"/>
      <x:c r="M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1"/>
      <x:c r="L88" s="181"/>
      <x:c r="M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1"/>
      <x:c r="L89" s="181"/>
      <x:c r="M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1"/>
      <x:c r="L90" s="181"/>
      <x:c r="M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1"/>
      <x:c r="L91" s="181"/>
      <x:c r="M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1"/>
      <x:c r="L92" s="181"/>
      <x:c r="M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1"/>
      <x:c r="L93" s="181"/>
      <x:c r="M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1"/>
      <x:c r="L94" s="181"/>
      <x:c r="M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1"/>
      <x:c r="L95" s="181"/>
      <x:c r="M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1"/>
      <x:c r="L96" s="181"/>
      <x:c r="M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1"/>
      <x:c r="L97" s="181"/>
      <x:c r="M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1"/>
      <x:c r="L98" s="181"/>
      <x:c r="M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1"/>
      <x:c r="L99" s="181"/>
      <x:c r="M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1"/>
      <x:c r="L100" s="181"/>
      <x:c r="M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M1"/>
    <x:mergeCell ref="A2:B2"/>
    <x:mergeCell ref="C2:D2"/>
    <x:mergeCell ref="E2:I2"/>
    <x:mergeCell ref="J2:M2"/>
  </x:mergeCells>
  <x:pageMargins left="0.7" right="0.7" top="0.75" bottom="0.75" header="0.3" footer="0.3"/>
  <x:drawing r:id="R1ed65b4557864fac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2" bestFit="1" customWidth="1" style="63"/>
    <x:col min="12" max="12" width="21" bestFit="1" customWidth="1" style="63"/>
    <x:col min="13" max="13" width="21" bestFit="1" customWidth="1" style="63"/>
    <x:col min="14" max="14" width="18" bestFit="1" customWidth="1" style="63"/>
    <x:col min="15" max="15" width="18" bestFit="1" customWidth="1" style="63"/>
    <x:col min="16" max="16" width="18" bestFit="1" customWidth="1" style="63"/>
    <x:col min="17" max="17" width="27" bestFit="1" customWidth="1" style="63"/>
    <x:col min="18" max="18" width="17" bestFit="1" customWidth="1" style="63"/>
    <x:col min="19" max="19" width="27" bestFit="1" customWidth="1" style="63"/>
    <x:col min="20" max="20" width="30" bestFit="1" customWidth="1" style="63"/>
    <x:col min="21" max="21" width="38" bestFit="1" customWidth="1" style="63"/>
  </x:cols>
  <x:sheetData>
    <x:row r="1" s="63" customFormat="1" ht="54" customHeight="1">
      <x:c r="A1" s="198" t="str">
        <x:v>Fichero FIE · SUSASESORES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  <x:c r="M1" s="198"/>
      <x:c r="N1" s="198"/>
      <x:c r="O1" s="198"/>
      <x:c r="P1" s="198"/>
      <x:c r="Q1" s="198"/>
      <x:c r="R1" s="198"/>
      <x:c r="S1" s="198"/>
      <x:c r="T1" s="198"/>
      <x:c r="U1" s="198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8" t="str">
        <x:v>Datos de Incapacidad Temporal</x:v>
      </x:c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Prestación</x:v>
      </x:c>
      <x:c r="L3" s="172" t="str">
        <x:v>Motivo de Solicitud</x:v>
      </x:c>
      <x:c r="M3" s="172" t="str">
        <x:v>Entidad responsable</x:v>
      </x:c>
      <x:c r="N3" s="172" t="str">
        <x:v>Fecha del Hecho causante</x:v>
      </x:c>
      <x:c r="O3" s="172" t="str">
        <x:v>Fecha inicio pago prestación</x:v>
      </x:c>
      <x:c r="P3" s="172" t="str">
        <x:v>Fecha fin pago prestación</x:v>
      </x:c>
      <x:c r="Q3" s="172" t="str">
        <x:v>Causa fin pago prestación</x:v>
      </x:c>
      <x:c r="R3" s="172" t="str">
        <x:v>Base Reguladora</x:v>
      </x:c>
      <x:c r="S3" s="172" t="str">
        <x:v>Porcentaje de parcialidad</x:v>
      </x:c>
      <x:c r="T3" s="172" t="str">
        <x:v>Ampliación del subsidio NYCM</x:v>
      </x:c>
      <x:c r="U3" s="172" t="str">
        <x:v>Días de ampliación del subsidio NYCM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1"/>
      <x:c r="L4" s="181"/>
      <x:c r="M4" s="181"/>
      <x:c r="N4" s="183"/>
      <x:c r="O4" s="183"/>
      <x:c r="P4" s="183"/>
      <x:c r="Q4" s="181"/>
      <x:c r="R4" s="181"/>
      <x:c r="S4" s="181"/>
      <x:c r="T4" s="181"/>
      <x:c r="U4" s="181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1"/>
      <x:c r="L5" s="181"/>
      <x:c r="M5" s="181"/>
      <x:c r="N5" s="183"/>
      <x:c r="O5" s="183"/>
      <x:c r="P5" s="183"/>
      <x:c r="Q5" s="181"/>
      <x:c r="R5" s="181"/>
      <x:c r="S5" s="181"/>
      <x:c r="T5" s="181"/>
      <x:c r="U5" s="181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1"/>
      <x:c r="L6" s="181"/>
      <x:c r="M6" s="181"/>
      <x:c r="N6" s="183"/>
      <x:c r="O6" s="183"/>
      <x:c r="P6" s="183"/>
      <x:c r="Q6" s="181"/>
      <x:c r="R6" s="181"/>
      <x:c r="S6" s="181"/>
      <x:c r="T6" s="181"/>
      <x:c r="U6" s="181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1"/>
      <x:c r="L7" s="181"/>
      <x:c r="M7" s="181"/>
      <x:c r="N7" s="183"/>
      <x:c r="O7" s="183"/>
      <x:c r="P7" s="183"/>
      <x:c r="Q7" s="181"/>
      <x:c r="R7" s="181"/>
      <x:c r="S7" s="181"/>
      <x:c r="T7" s="181"/>
      <x:c r="U7" s="181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1"/>
      <x:c r="L8" s="181"/>
      <x:c r="M8" s="181"/>
      <x:c r="N8" s="183"/>
      <x:c r="O8" s="183"/>
      <x:c r="P8" s="183"/>
      <x:c r="Q8" s="181"/>
      <x:c r="R8" s="181"/>
      <x:c r="S8" s="181"/>
      <x:c r="T8" s="181"/>
      <x:c r="U8" s="181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1"/>
      <x:c r="L9" s="181"/>
      <x:c r="M9" s="181"/>
      <x:c r="N9" s="183"/>
      <x:c r="O9" s="183"/>
      <x:c r="P9" s="183"/>
      <x:c r="Q9" s="181"/>
      <x:c r="R9" s="181"/>
      <x:c r="S9" s="181"/>
      <x:c r="T9" s="181"/>
      <x:c r="U9" s="181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1"/>
      <x:c r="L10" s="181"/>
      <x:c r="M10" s="181"/>
      <x:c r="N10" s="183"/>
      <x:c r="O10" s="183"/>
      <x:c r="P10" s="183"/>
      <x:c r="Q10" s="181"/>
      <x:c r="R10" s="181"/>
      <x:c r="S10" s="181"/>
      <x:c r="T10" s="181"/>
      <x:c r="U10" s="181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1"/>
      <x:c r="L11" s="181"/>
      <x:c r="M11" s="181"/>
      <x:c r="N11" s="183"/>
      <x:c r="O11" s="183"/>
      <x:c r="P11" s="183"/>
      <x:c r="Q11" s="181"/>
      <x:c r="R11" s="181"/>
      <x:c r="S11" s="181"/>
      <x:c r="T11" s="181"/>
      <x:c r="U11" s="181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1"/>
      <x:c r="L12" s="181"/>
      <x:c r="M12" s="181"/>
      <x:c r="N12" s="183"/>
      <x:c r="O12" s="183"/>
      <x:c r="P12" s="183"/>
      <x:c r="Q12" s="181"/>
      <x:c r="R12" s="181"/>
      <x:c r="S12" s="181"/>
      <x:c r="T12" s="181"/>
      <x:c r="U12" s="181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1"/>
      <x:c r="L13" s="181"/>
      <x:c r="M13" s="181"/>
      <x:c r="N13" s="183"/>
      <x:c r="O13" s="183"/>
      <x:c r="P13" s="183"/>
      <x:c r="Q13" s="181"/>
      <x:c r="R13" s="181"/>
      <x:c r="S13" s="181"/>
      <x:c r="T13" s="181"/>
      <x:c r="U13" s="181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1"/>
      <x:c r="L14" s="181"/>
      <x:c r="M14" s="181"/>
      <x:c r="N14" s="183"/>
      <x:c r="O14" s="183"/>
      <x:c r="P14" s="183"/>
      <x:c r="Q14" s="181"/>
      <x:c r="R14" s="181"/>
      <x:c r="S14" s="181"/>
      <x:c r="T14" s="181"/>
      <x:c r="U14" s="181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1"/>
      <x:c r="L15" s="181"/>
      <x:c r="M15" s="181"/>
      <x:c r="N15" s="183"/>
      <x:c r="O15" s="183"/>
      <x:c r="P15" s="183"/>
      <x:c r="Q15" s="181"/>
      <x:c r="R15" s="181"/>
      <x:c r="S15" s="181"/>
      <x:c r="T15" s="181"/>
      <x:c r="U15" s="181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1"/>
      <x:c r="L16" s="181"/>
      <x:c r="M16" s="181"/>
      <x:c r="N16" s="183"/>
      <x:c r="O16" s="183"/>
      <x:c r="P16" s="183"/>
      <x:c r="Q16" s="181"/>
      <x:c r="R16" s="181"/>
      <x:c r="S16" s="181"/>
      <x:c r="T16" s="181"/>
      <x:c r="U16" s="181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1"/>
      <x:c r="L17" s="181"/>
      <x:c r="M17" s="181"/>
      <x:c r="N17" s="183"/>
      <x:c r="O17" s="183"/>
      <x:c r="P17" s="183"/>
      <x:c r="Q17" s="181"/>
      <x:c r="R17" s="181"/>
      <x:c r="S17" s="181"/>
      <x:c r="T17" s="181"/>
      <x:c r="U17" s="181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1"/>
      <x:c r="L18" s="181"/>
      <x:c r="M18" s="181"/>
      <x:c r="N18" s="183"/>
      <x:c r="O18" s="183"/>
      <x:c r="P18" s="183"/>
      <x:c r="Q18" s="181"/>
      <x:c r="R18" s="181"/>
      <x:c r="S18" s="181"/>
      <x:c r="T18" s="181"/>
      <x:c r="U18" s="181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1"/>
      <x:c r="L19" s="181"/>
      <x:c r="M19" s="181"/>
      <x:c r="N19" s="183"/>
      <x:c r="O19" s="183"/>
      <x:c r="P19" s="183"/>
      <x:c r="Q19" s="181"/>
      <x:c r="R19" s="181"/>
      <x:c r="S19" s="181"/>
      <x:c r="T19" s="181"/>
      <x:c r="U19" s="181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1"/>
      <x:c r="L20" s="181"/>
      <x:c r="M20" s="181"/>
      <x:c r="N20" s="183"/>
      <x:c r="O20" s="183"/>
      <x:c r="P20" s="183"/>
      <x:c r="Q20" s="181"/>
      <x:c r="R20" s="181"/>
      <x:c r="S20" s="181"/>
      <x:c r="T20" s="181"/>
      <x:c r="U20" s="181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1"/>
      <x:c r="L21" s="181"/>
      <x:c r="M21" s="181"/>
      <x:c r="N21" s="183"/>
      <x:c r="O21" s="183"/>
      <x:c r="P21" s="183"/>
      <x:c r="Q21" s="181"/>
      <x:c r="R21" s="181"/>
      <x:c r="S21" s="181"/>
      <x:c r="T21" s="181"/>
      <x:c r="U21" s="181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1"/>
      <x:c r="L22" s="181"/>
      <x:c r="M22" s="181"/>
      <x:c r="N22" s="183"/>
      <x:c r="O22" s="183"/>
      <x:c r="P22" s="183"/>
      <x:c r="Q22" s="181"/>
      <x:c r="R22" s="181"/>
      <x:c r="S22" s="181"/>
      <x:c r="T22" s="181"/>
      <x:c r="U22" s="181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1"/>
      <x:c r="L23" s="181"/>
      <x:c r="M23" s="181"/>
      <x:c r="N23" s="183"/>
      <x:c r="O23" s="183"/>
      <x:c r="P23" s="183"/>
      <x:c r="Q23" s="181"/>
      <x:c r="R23" s="181"/>
      <x:c r="S23" s="181"/>
      <x:c r="T23" s="181"/>
      <x:c r="U23" s="181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1"/>
      <x:c r="L24" s="181"/>
      <x:c r="M24" s="181"/>
      <x:c r="N24" s="183"/>
      <x:c r="O24" s="183"/>
      <x:c r="P24" s="183"/>
      <x:c r="Q24" s="181"/>
      <x:c r="R24" s="181"/>
      <x:c r="S24" s="181"/>
      <x:c r="T24" s="181"/>
      <x:c r="U24" s="181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1"/>
      <x:c r="L25" s="181"/>
      <x:c r="M25" s="181"/>
      <x:c r="N25" s="183"/>
      <x:c r="O25" s="183"/>
      <x:c r="P25" s="183"/>
      <x:c r="Q25" s="181"/>
      <x:c r="R25" s="181"/>
      <x:c r="S25" s="181"/>
      <x:c r="T25" s="181"/>
      <x:c r="U25" s="181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1"/>
      <x:c r="L26" s="181"/>
      <x:c r="M26" s="181"/>
      <x:c r="N26" s="183"/>
      <x:c r="O26" s="183"/>
      <x:c r="P26" s="183"/>
      <x:c r="Q26" s="181"/>
      <x:c r="R26" s="181"/>
      <x:c r="S26" s="181"/>
      <x:c r="T26" s="181"/>
      <x:c r="U26" s="181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1"/>
      <x:c r="L27" s="181"/>
      <x:c r="M27" s="181"/>
      <x:c r="N27" s="183"/>
      <x:c r="O27" s="183"/>
      <x:c r="P27" s="183"/>
      <x:c r="Q27" s="181"/>
      <x:c r="R27" s="181"/>
      <x:c r="S27" s="181"/>
      <x:c r="T27" s="181"/>
      <x:c r="U27" s="181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1"/>
      <x:c r="L28" s="181"/>
      <x:c r="M28" s="181"/>
      <x:c r="N28" s="183"/>
      <x:c r="O28" s="183"/>
      <x:c r="P28" s="183"/>
      <x:c r="Q28" s="181"/>
      <x:c r="R28" s="181"/>
      <x:c r="S28" s="181"/>
      <x:c r="T28" s="181"/>
      <x:c r="U28" s="181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1"/>
      <x:c r="L29" s="181"/>
      <x:c r="M29" s="181"/>
      <x:c r="N29" s="183"/>
      <x:c r="O29" s="183"/>
      <x:c r="P29" s="183"/>
      <x:c r="Q29" s="181"/>
      <x:c r="R29" s="181"/>
      <x:c r="S29" s="181"/>
      <x:c r="T29" s="181"/>
      <x:c r="U29" s="181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1"/>
      <x:c r="L30" s="181"/>
      <x:c r="M30" s="181"/>
      <x:c r="N30" s="183"/>
      <x:c r="O30" s="183"/>
      <x:c r="P30" s="183"/>
      <x:c r="Q30" s="181"/>
      <x:c r="R30" s="181"/>
      <x:c r="S30" s="181"/>
      <x:c r="T30" s="181"/>
      <x:c r="U30" s="181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1"/>
      <x:c r="L31" s="181"/>
      <x:c r="M31" s="181"/>
      <x:c r="N31" s="183"/>
      <x:c r="O31" s="183"/>
      <x:c r="P31" s="183"/>
      <x:c r="Q31" s="181"/>
      <x:c r="R31" s="181"/>
      <x:c r="S31" s="181"/>
      <x:c r="T31" s="181"/>
      <x:c r="U31" s="181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1"/>
      <x:c r="L32" s="181"/>
      <x:c r="M32" s="181"/>
      <x:c r="N32" s="183"/>
      <x:c r="O32" s="183"/>
      <x:c r="P32" s="183"/>
      <x:c r="Q32" s="181"/>
      <x:c r="R32" s="181"/>
      <x:c r="S32" s="181"/>
      <x:c r="T32" s="181"/>
      <x:c r="U32" s="181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1"/>
      <x:c r="L33" s="181"/>
      <x:c r="M33" s="181"/>
      <x:c r="N33" s="183"/>
      <x:c r="O33" s="183"/>
      <x:c r="P33" s="183"/>
      <x:c r="Q33" s="181"/>
      <x:c r="R33" s="181"/>
      <x:c r="S33" s="181"/>
      <x:c r="T33" s="181"/>
      <x:c r="U33" s="181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1"/>
      <x:c r="L34" s="181"/>
      <x:c r="M34" s="181"/>
      <x:c r="N34" s="183"/>
      <x:c r="O34" s="183"/>
      <x:c r="P34" s="183"/>
      <x:c r="Q34" s="181"/>
      <x:c r="R34" s="181"/>
      <x:c r="S34" s="181"/>
      <x:c r="T34" s="181"/>
      <x:c r="U34" s="181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1"/>
      <x:c r="L35" s="181"/>
      <x:c r="M35" s="181"/>
      <x:c r="N35" s="183"/>
      <x:c r="O35" s="183"/>
      <x:c r="P35" s="183"/>
      <x:c r="Q35" s="181"/>
      <x:c r="R35" s="181"/>
      <x:c r="S35" s="181"/>
      <x:c r="T35" s="181"/>
      <x:c r="U35" s="181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1"/>
      <x:c r="L36" s="181"/>
      <x:c r="M36" s="181"/>
      <x:c r="N36" s="183"/>
      <x:c r="O36" s="183"/>
      <x:c r="P36" s="183"/>
      <x:c r="Q36" s="181"/>
      <x:c r="R36" s="181"/>
      <x:c r="S36" s="181"/>
      <x:c r="T36" s="181"/>
      <x:c r="U36" s="181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1"/>
      <x:c r="L37" s="181"/>
      <x:c r="M37" s="181"/>
      <x:c r="N37" s="183"/>
      <x:c r="O37" s="183"/>
      <x:c r="P37" s="183"/>
      <x:c r="Q37" s="181"/>
      <x:c r="R37" s="181"/>
      <x:c r="S37" s="181"/>
      <x:c r="T37" s="181"/>
      <x:c r="U37" s="181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1"/>
      <x:c r="L38" s="181"/>
      <x:c r="M38" s="181"/>
      <x:c r="N38" s="183"/>
      <x:c r="O38" s="183"/>
      <x:c r="P38" s="183"/>
      <x:c r="Q38" s="181"/>
      <x:c r="R38" s="181"/>
      <x:c r="S38" s="181"/>
      <x:c r="T38" s="181"/>
      <x:c r="U38" s="181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1"/>
      <x:c r="L39" s="181"/>
      <x:c r="M39" s="181"/>
      <x:c r="N39" s="183"/>
      <x:c r="O39" s="183"/>
      <x:c r="P39" s="183"/>
      <x:c r="Q39" s="181"/>
      <x:c r="R39" s="181"/>
      <x:c r="S39" s="181"/>
      <x:c r="T39" s="181"/>
      <x:c r="U39" s="181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1"/>
      <x:c r="L40" s="181"/>
      <x:c r="M40" s="181"/>
      <x:c r="N40" s="183"/>
      <x:c r="O40" s="183"/>
      <x:c r="P40" s="183"/>
      <x:c r="Q40" s="181"/>
      <x:c r="R40" s="181"/>
      <x:c r="S40" s="181"/>
      <x:c r="T40" s="181"/>
      <x:c r="U40" s="181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1"/>
      <x:c r="L41" s="181"/>
      <x:c r="M41" s="181"/>
      <x:c r="N41" s="183"/>
      <x:c r="O41" s="183"/>
      <x:c r="P41" s="183"/>
      <x:c r="Q41" s="181"/>
      <x:c r="R41" s="181"/>
      <x:c r="S41" s="181"/>
      <x:c r="T41" s="181"/>
      <x:c r="U41" s="181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1"/>
      <x:c r="L42" s="181"/>
      <x:c r="M42" s="181"/>
      <x:c r="N42" s="183"/>
      <x:c r="O42" s="183"/>
      <x:c r="P42" s="183"/>
      <x:c r="Q42" s="181"/>
      <x:c r="R42" s="181"/>
      <x:c r="S42" s="181"/>
      <x:c r="T42" s="181"/>
      <x:c r="U42" s="181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1"/>
      <x:c r="L43" s="181"/>
      <x:c r="M43" s="181"/>
      <x:c r="N43" s="183"/>
      <x:c r="O43" s="183"/>
      <x:c r="P43" s="183"/>
      <x:c r="Q43" s="181"/>
      <x:c r="R43" s="181"/>
      <x:c r="S43" s="181"/>
      <x:c r="T43" s="181"/>
      <x:c r="U43" s="181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1"/>
      <x:c r="L44" s="181"/>
      <x:c r="M44" s="181"/>
      <x:c r="N44" s="183"/>
      <x:c r="O44" s="183"/>
      <x:c r="P44" s="183"/>
      <x:c r="Q44" s="181"/>
      <x:c r="R44" s="181"/>
      <x:c r="S44" s="181"/>
      <x:c r="T44" s="181"/>
      <x:c r="U44" s="181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1"/>
      <x:c r="L45" s="181"/>
      <x:c r="M45" s="181"/>
      <x:c r="N45" s="183"/>
      <x:c r="O45" s="183"/>
      <x:c r="P45" s="183"/>
      <x:c r="Q45" s="181"/>
      <x:c r="R45" s="181"/>
      <x:c r="S45" s="181"/>
      <x:c r="T45" s="181"/>
      <x:c r="U45" s="181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1"/>
      <x:c r="L46" s="181"/>
      <x:c r="M46" s="181"/>
      <x:c r="N46" s="183"/>
      <x:c r="O46" s="183"/>
      <x:c r="P46" s="183"/>
      <x:c r="Q46" s="181"/>
      <x:c r="R46" s="181"/>
      <x:c r="S46" s="181"/>
      <x:c r="T46" s="181"/>
      <x:c r="U46" s="181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1"/>
      <x:c r="L47" s="181"/>
      <x:c r="M47" s="181"/>
      <x:c r="N47" s="183"/>
      <x:c r="O47" s="183"/>
      <x:c r="P47" s="183"/>
      <x:c r="Q47" s="181"/>
      <x:c r="R47" s="181"/>
      <x:c r="S47" s="181"/>
      <x:c r="T47" s="181"/>
      <x:c r="U47" s="181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1"/>
      <x:c r="L48" s="181"/>
      <x:c r="M48" s="181"/>
      <x:c r="N48" s="183"/>
      <x:c r="O48" s="183"/>
      <x:c r="P48" s="183"/>
      <x:c r="Q48" s="181"/>
      <x:c r="R48" s="181"/>
      <x:c r="S48" s="181"/>
      <x:c r="T48" s="181"/>
      <x:c r="U48" s="181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1"/>
      <x:c r="L49" s="181"/>
      <x:c r="M49" s="181"/>
      <x:c r="N49" s="183"/>
      <x:c r="O49" s="183"/>
      <x:c r="P49" s="183"/>
      <x:c r="Q49" s="181"/>
      <x:c r="R49" s="181"/>
      <x:c r="S49" s="181"/>
      <x:c r="T49" s="181"/>
      <x:c r="U49" s="181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1"/>
      <x:c r="L50" s="181"/>
      <x:c r="M50" s="181"/>
      <x:c r="N50" s="183"/>
      <x:c r="O50" s="183"/>
      <x:c r="P50" s="183"/>
      <x:c r="Q50" s="181"/>
      <x:c r="R50" s="181"/>
      <x:c r="S50" s="181"/>
      <x:c r="T50" s="181"/>
      <x:c r="U50" s="181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1"/>
      <x:c r="L51" s="181"/>
      <x:c r="M51" s="181"/>
      <x:c r="N51" s="183"/>
      <x:c r="O51" s="183"/>
      <x:c r="P51" s="183"/>
      <x:c r="Q51" s="181"/>
      <x:c r="R51" s="181"/>
      <x:c r="S51" s="181"/>
      <x:c r="T51" s="181"/>
      <x:c r="U51" s="181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1"/>
      <x:c r="L52" s="181"/>
      <x:c r="M52" s="181"/>
      <x:c r="N52" s="183"/>
      <x:c r="O52" s="183"/>
      <x:c r="P52" s="183"/>
      <x:c r="Q52" s="181"/>
      <x:c r="R52" s="181"/>
      <x:c r="S52" s="181"/>
      <x:c r="T52" s="181"/>
      <x:c r="U52" s="181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1"/>
      <x:c r="L53" s="181"/>
      <x:c r="M53" s="181"/>
      <x:c r="N53" s="183"/>
      <x:c r="O53" s="183"/>
      <x:c r="P53" s="183"/>
      <x:c r="Q53" s="181"/>
      <x:c r="R53" s="181"/>
      <x:c r="S53" s="181"/>
      <x:c r="T53" s="181"/>
      <x:c r="U53" s="181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1"/>
      <x:c r="L54" s="181"/>
      <x:c r="M54" s="181"/>
      <x:c r="N54" s="183"/>
      <x:c r="O54" s="183"/>
      <x:c r="P54" s="183"/>
      <x:c r="Q54" s="181"/>
      <x:c r="R54" s="181"/>
      <x:c r="S54" s="181"/>
      <x:c r="T54" s="181"/>
      <x:c r="U54" s="181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1"/>
      <x:c r="L55" s="181"/>
      <x:c r="M55" s="181"/>
      <x:c r="N55" s="183"/>
      <x:c r="O55" s="183"/>
      <x:c r="P55" s="183"/>
      <x:c r="Q55" s="181"/>
      <x:c r="R55" s="181"/>
      <x:c r="S55" s="181"/>
      <x:c r="T55" s="181"/>
      <x:c r="U55" s="181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1"/>
      <x:c r="L56" s="181"/>
      <x:c r="M56" s="181"/>
      <x:c r="N56" s="183"/>
      <x:c r="O56" s="183"/>
      <x:c r="P56" s="183"/>
      <x:c r="Q56" s="181"/>
      <x:c r="R56" s="181"/>
      <x:c r="S56" s="181"/>
      <x:c r="T56" s="181"/>
      <x:c r="U56" s="181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1"/>
      <x:c r="L57" s="181"/>
      <x:c r="M57" s="181"/>
      <x:c r="N57" s="183"/>
      <x:c r="O57" s="183"/>
      <x:c r="P57" s="183"/>
      <x:c r="Q57" s="181"/>
      <x:c r="R57" s="181"/>
      <x:c r="S57" s="181"/>
      <x:c r="T57" s="181"/>
      <x:c r="U57" s="181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1"/>
      <x:c r="L58" s="181"/>
      <x:c r="M58" s="181"/>
      <x:c r="N58" s="183"/>
      <x:c r="O58" s="183"/>
      <x:c r="P58" s="183"/>
      <x:c r="Q58" s="181"/>
      <x:c r="R58" s="181"/>
      <x:c r="S58" s="181"/>
      <x:c r="T58" s="181"/>
      <x:c r="U58" s="181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1"/>
      <x:c r="L59" s="181"/>
      <x:c r="M59" s="181"/>
      <x:c r="N59" s="183"/>
      <x:c r="O59" s="183"/>
      <x:c r="P59" s="183"/>
      <x:c r="Q59" s="181"/>
      <x:c r="R59" s="181"/>
      <x:c r="S59" s="181"/>
      <x:c r="T59" s="181"/>
      <x:c r="U59" s="181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1"/>
      <x:c r="L60" s="181"/>
      <x:c r="M60" s="181"/>
      <x:c r="N60" s="183"/>
      <x:c r="O60" s="183"/>
      <x:c r="P60" s="183"/>
      <x:c r="Q60" s="181"/>
      <x:c r="R60" s="181"/>
      <x:c r="S60" s="181"/>
      <x:c r="T60" s="181"/>
      <x:c r="U60" s="181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1"/>
      <x:c r="L61" s="181"/>
      <x:c r="M61" s="181"/>
      <x:c r="N61" s="183"/>
      <x:c r="O61" s="183"/>
      <x:c r="P61" s="183"/>
      <x:c r="Q61" s="181"/>
      <x:c r="R61" s="181"/>
      <x:c r="S61" s="181"/>
      <x:c r="T61" s="181"/>
      <x:c r="U61" s="181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1"/>
      <x:c r="L62" s="181"/>
      <x:c r="M62" s="181"/>
      <x:c r="N62" s="183"/>
      <x:c r="O62" s="183"/>
      <x:c r="P62" s="183"/>
      <x:c r="Q62" s="181"/>
      <x:c r="R62" s="181"/>
      <x:c r="S62" s="181"/>
      <x:c r="T62" s="181"/>
      <x:c r="U62" s="181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1"/>
      <x:c r="L63" s="181"/>
      <x:c r="M63" s="181"/>
      <x:c r="N63" s="183"/>
      <x:c r="O63" s="183"/>
      <x:c r="P63" s="183"/>
      <x:c r="Q63" s="181"/>
      <x:c r="R63" s="181"/>
      <x:c r="S63" s="181"/>
      <x:c r="T63" s="181"/>
      <x:c r="U63" s="181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1"/>
      <x:c r="L64" s="181"/>
      <x:c r="M64" s="181"/>
      <x:c r="N64" s="183"/>
      <x:c r="O64" s="183"/>
      <x:c r="P64" s="183"/>
      <x:c r="Q64" s="181"/>
      <x:c r="R64" s="181"/>
      <x:c r="S64" s="181"/>
      <x:c r="T64" s="181"/>
      <x:c r="U64" s="181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1"/>
      <x:c r="L65" s="181"/>
      <x:c r="M65" s="181"/>
      <x:c r="N65" s="183"/>
      <x:c r="O65" s="183"/>
      <x:c r="P65" s="183"/>
      <x:c r="Q65" s="181"/>
      <x:c r="R65" s="181"/>
      <x:c r="S65" s="181"/>
      <x:c r="T65" s="181"/>
      <x:c r="U65" s="181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1"/>
      <x:c r="L66" s="181"/>
      <x:c r="M66" s="181"/>
      <x:c r="N66" s="183"/>
      <x:c r="O66" s="183"/>
      <x:c r="P66" s="183"/>
      <x:c r="Q66" s="181"/>
      <x:c r="R66" s="181"/>
      <x:c r="S66" s="181"/>
      <x:c r="T66" s="181"/>
      <x:c r="U66" s="181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1"/>
      <x:c r="L67" s="181"/>
      <x:c r="M67" s="181"/>
      <x:c r="N67" s="183"/>
      <x:c r="O67" s="183"/>
      <x:c r="P67" s="183"/>
      <x:c r="Q67" s="181"/>
      <x:c r="R67" s="181"/>
      <x:c r="S67" s="181"/>
      <x:c r="T67" s="181"/>
      <x:c r="U67" s="181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1"/>
      <x:c r="L68" s="181"/>
      <x:c r="M68" s="181"/>
      <x:c r="N68" s="183"/>
      <x:c r="O68" s="183"/>
      <x:c r="P68" s="183"/>
      <x:c r="Q68" s="181"/>
      <x:c r="R68" s="181"/>
      <x:c r="S68" s="181"/>
      <x:c r="T68" s="181"/>
      <x:c r="U68" s="181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1"/>
      <x:c r="L69" s="181"/>
      <x:c r="M69" s="181"/>
      <x:c r="N69" s="183"/>
      <x:c r="O69" s="183"/>
      <x:c r="P69" s="183"/>
      <x:c r="Q69" s="181"/>
      <x:c r="R69" s="181"/>
      <x:c r="S69" s="181"/>
      <x:c r="T69" s="181"/>
      <x:c r="U69" s="181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1"/>
      <x:c r="L70" s="181"/>
      <x:c r="M70" s="181"/>
      <x:c r="N70" s="183"/>
      <x:c r="O70" s="183"/>
      <x:c r="P70" s="183"/>
      <x:c r="Q70" s="181"/>
      <x:c r="R70" s="181"/>
      <x:c r="S70" s="181"/>
      <x:c r="T70" s="181"/>
      <x:c r="U70" s="181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1"/>
      <x:c r="L71" s="181"/>
      <x:c r="M71" s="181"/>
      <x:c r="N71" s="183"/>
      <x:c r="O71" s="183"/>
      <x:c r="P71" s="183"/>
      <x:c r="Q71" s="181"/>
      <x:c r="R71" s="181"/>
      <x:c r="S71" s="181"/>
      <x:c r="T71" s="181"/>
      <x:c r="U71" s="181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1"/>
      <x:c r="L72" s="181"/>
      <x:c r="M72" s="181"/>
      <x:c r="N72" s="183"/>
      <x:c r="O72" s="183"/>
      <x:c r="P72" s="183"/>
      <x:c r="Q72" s="181"/>
      <x:c r="R72" s="181"/>
      <x:c r="S72" s="181"/>
      <x:c r="T72" s="181"/>
      <x:c r="U72" s="181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1"/>
      <x:c r="L73" s="181"/>
      <x:c r="M73" s="181"/>
      <x:c r="N73" s="183"/>
      <x:c r="O73" s="183"/>
      <x:c r="P73" s="183"/>
      <x:c r="Q73" s="181"/>
      <x:c r="R73" s="181"/>
      <x:c r="S73" s="181"/>
      <x:c r="T73" s="181"/>
      <x:c r="U73" s="181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1"/>
      <x:c r="L74" s="181"/>
      <x:c r="M74" s="181"/>
      <x:c r="N74" s="183"/>
      <x:c r="O74" s="183"/>
      <x:c r="P74" s="183"/>
      <x:c r="Q74" s="181"/>
      <x:c r="R74" s="181"/>
      <x:c r="S74" s="181"/>
      <x:c r="T74" s="181"/>
      <x:c r="U74" s="181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1"/>
      <x:c r="L75" s="181"/>
      <x:c r="M75" s="181"/>
      <x:c r="N75" s="183"/>
      <x:c r="O75" s="183"/>
      <x:c r="P75" s="183"/>
      <x:c r="Q75" s="181"/>
      <x:c r="R75" s="181"/>
      <x:c r="S75" s="181"/>
      <x:c r="T75" s="181"/>
      <x:c r="U75" s="181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1"/>
      <x:c r="L76" s="181"/>
      <x:c r="M76" s="181"/>
      <x:c r="N76" s="183"/>
      <x:c r="O76" s="183"/>
      <x:c r="P76" s="183"/>
      <x:c r="Q76" s="181"/>
      <x:c r="R76" s="181"/>
      <x:c r="S76" s="181"/>
      <x:c r="T76" s="181"/>
      <x:c r="U76" s="181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1"/>
      <x:c r="L77" s="181"/>
      <x:c r="M77" s="181"/>
      <x:c r="N77" s="183"/>
      <x:c r="O77" s="183"/>
      <x:c r="P77" s="183"/>
      <x:c r="Q77" s="181"/>
      <x:c r="R77" s="181"/>
      <x:c r="S77" s="181"/>
      <x:c r="T77" s="181"/>
      <x:c r="U77" s="181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1"/>
      <x:c r="L78" s="181"/>
      <x:c r="M78" s="181"/>
      <x:c r="N78" s="183"/>
      <x:c r="O78" s="183"/>
      <x:c r="P78" s="183"/>
      <x:c r="Q78" s="181"/>
      <x:c r="R78" s="181"/>
      <x:c r="S78" s="181"/>
      <x:c r="T78" s="181"/>
      <x:c r="U78" s="181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1"/>
      <x:c r="L79" s="181"/>
      <x:c r="M79" s="181"/>
      <x:c r="N79" s="183"/>
      <x:c r="O79" s="183"/>
      <x:c r="P79" s="183"/>
      <x:c r="Q79" s="181"/>
      <x:c r="R79" s="181"/>
      <x:c r="S79" s="181"/>
      <x:c r="T79" s="181"/>
      <x:c r="U79" s="181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1"/>
      <x:c r="L80" s="181"/>
      <x:c r="M80" s="181"/>
      <x:c r="N80" s="183"/>
      <x:c r="O80" s="183"/>
      <x:c r="P80" s="183"/>
      <x:c r="Q80" s="181"/>
      <x:c r="R80" s="181"/>
      <x:c r="S80" s="181"/>
      <x:c r="T80" s="181"/>
      <x:c r="U80" s="181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1"/>
      <x:c r="L81" s="181"/>
      <x:c r="M81" s="181"/>
      <x:c r="N81" s="183"/>
      <x:c r="O81" s="183"/>
      <x:c r="P81" s="183"/>
      <x:c r="Q81" s="181"/>
      <x:c r="R81" s="181"/>
      <x:c r="S81" s="181"/>
      <x:c r="T81" s="181"/>
      <x:c r="U81" s="181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1"/>
      <x:c r="L82" s="181"/>
      <x:c r="M82" s="181"/>
      <x:c r="N82" s="183"/>
      <x:c r="O82" s="183"/>
      <x:c r="P82" s="183"/>
      <x:c r="Q82" s="181"/>
      <x:c r="R82" s="181"/>
      <x:c r="S82" s="181"/>
      <x:c r="T82" s="181"/>
      <x:c r="U82" s="181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1"/>
      <x:c r="L83" s="181"/>
      <x:c r="M83" s="181"/>
      <x:c r="N83" s="183"/>
      <x:c r="O83" s="183"/>
      <x:c r="P83" s="183"/>
      <x:c r="Q83" s="181"/>
      <x:c r="R83" s="181"/>
      <x:c r="S83" s="181"/>
      <x:c r="T83" s="181"/>
      <x:c r="U83" s="181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1"/>
      <x:c r="L84" s="181"/>
      <x:c r="M84" s="181"/>
      <x:c r="N84" s="183"/>
      <x:c r="O84" s="183"/>
      <x:c r="P84" s="183"/>
      <x:c r="Q84" s="181"/>
      <x:c r="R84" s="181"/>
      <x:c r="S84" s="181"/>
      <x:c r="T84" s="181"/>
      <x:c r="U84" s="181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1"/>
      <x:c r="L85" s="181"/>
      <x:c r="M85" s="181"/>
      <x:c r="N85" s="183"/>
      <x:c r="O85" s="183"/>
      <x:c r="P85" s="183"/>
      <x:c r="Q85" s="181"/>
      <x:c r="R85" s="181"/>
      <x:c r="S85" s="181"/>
      <x:c r="T85" s="181"/>
      <x:c r="U85" s="181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1"/>
      <x:c r="L86" s="181"/>
      <x:c r="M86" s="181"/>
      <x:c r="N86" s="183"/>
      <x:c r="O86" s="183"/>
      <x:c r="P86" s="183"/>
      <x:c r="Q86" s="181"/>
      <x:c r="R86" s="181"/>
      <x:c r="S86" s="181"/>
      <x:c r="T86" s="181"/>
      <x:c r="U86" s="181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1"/>
      <x:c r="L87" s="181"/>
      <x:c r="M87" s="181"/>
      <x:c r="N87" s="183"/>
      <x:c r="O87" s="183"/>
      <x:c r="P87" s="183"/>
      <x:c r="Q87" s="181"/>
      <x:c r="R87" s="181"/>
      <x:c r="S87" s="181"/>
      <x:c r="T87" s="181"/>
      <x:c r="U87" s="181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1"/>
      <x:c r="L88" s="181"/>
      <x:c r="M88" s="181"/>
      <x:c r="N88" s="183"/>
      <x:c r="O88" s="183"/>
      <x:c r="P88" s="183"/>
      <x:c r="Q88" s="181"/>
      <x:c r="R88" s="181"/>
      <x:c r="S88" s="181"/>
      <x:c r="T88" s="181"/>
      <x:c r="U88" s="181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1"/>
      <x:c r="L89" s="181"/>
      <x:c r="M89" s="181"/>
      <x:c r="N89" s="183"/>
      <x:c r="O89" s="183"/>
      <x:c r="P89" s="183"/>
      <x:c r="Q89" s="181"/>
      <x:c r="R89" s="181"/>
      <x:c r="S89" s="181"/>
      <x:c r="T89" s="181"/>
      <x:c r="U89" s="181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1"/>
      <x:c r="L90" s="181"/>
      <x:c r="M90" s="181"/>
      <x:c r="N90" s="183"/>
      <x:c r="O90" s="183"/>
      <x:c r="P90" s="183"/>
      <x:c r="Q90" s="181"/>
      <x:c r="R90" s="181"/>
      <x:c r="S90" s="181"/>
      <x:c r="T90" s="181"/>
      <x:c r="U90" s="181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1"/>
      <x:c r="L91" s="181"/>
      <x:c r="M91" s="181"/>
      <x:c r="N91" s="183"/>
      <x:c r="O91" s="183"/>
      <x:c r="P91" s="183"/>
      <x:c r="Q91" s="181"/>
      <x:c r="R91" s="181"/>
      <x:c r="S91" s="181"/>
      <x:c r="T91" s="181"/>
      <x:c r="U91" s="181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1"/>
      <x:c r="L92" s="181"/>
      <x:c r="M92" s="181"/>
      <x:c r="N92" s="183"/>
      <x:c r="O92" s="183"/>
      <x:c r="P92" s="183"/>
      <x:c r="Q92" s="181"/>
      <x:c r="R92" s="181"/>
      <x:c r="S92" s="181"/>
      <x:c r="T92" s="181"/>
      <x:c r="U92" s="181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1"/>
      <x:c r="L93" s="181"/>
      <x:c r="M93" s="181"/>
      <x:c r="N93" s="183"/>
      <x:c r="O93" s="183"/>
      <x:c r="P93" s="183"/>
      <x:c r="Q93" s="181"/>
      <x:c r="R93" s="181"/>
      <x:c r="S93" s="181"/>
      <x:c r="T93" s="181"/>
      <x:c r="U93" s="181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1"/>
      <x:c r="L94" s="181"/>
      <x:c r="M94" s="181"/>
      <x:c r="N94" s="183"/>
      <x:c r="O94" s="183"/>
      <x:c r="P94" s="183"/>
      <x:c r="Q94" s="181"/>
      <x:c r="R94" s="181"/>
      <x:c r="S94" s="181"/>
      <x:c r="T94" s="181"/>
      <x:c r="U94" s="181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1"/>
      <x:c r="L95" s="181"/>
      <x:c r="M95" s="181"/>
      <x:c r="N95" s="183"/>
      <x:c r="O95" s="183"/>
      <x:c r="P95" s="183"/>
      <x:c r="Q95" s="181"/>
      <x:c r="R95" s="181"/>
      <x:c r="S95" s="181"/>
      <x:c r="T95" s="181"/>
      <x:c r="U95" s="181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1"/>
      <x:c r="L96" s="181"/>
      <x:c r="M96" s="181"/>
      <x:c r="N96" s="183"/>
      <x:c r="O96" s="183"/>
      <x:c r="P96" s="183"/>
      <x:c r="Q96" s="181"/>
      <x:c r="R96" s="181"/>
      <x:c r="S96" s="181"/>
      <x:c r="T96" s="181"/>
      <x:c r="U96" s="181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1"/>
      <x:c r="L97" s="181"/>
      <x:c r="M97" s="181"/>
      <x:c r="N97" s="183"/>
      <x:c r="O97" s="183"/>
      <x:c r="P97" s="183"/>
      <x:c r="Q97" s="181"/>
      <x:c r="R97" s="181"/>
      <x:c r="S97" s="181"/>
      <x:c r="T97" s="181"/>
      <x:c r="U97" s="181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1"/>
      <x:c r="L98" s="181"/>
      <x:c r="M98" s="181"/>
      <x:c r="N98" s="183"/>
      <x:c r="O98" s="183"/>
      <x:c r="P98" s="183"/>
      <x:c r="Q98" s="181"/>
      <x:c r="R98" s="181"/>
      <x:c r="S98" s="181"/>
      <x:c r="T98" s="181"/>
      <x:c r="U98" s="181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1"/>
      <x:c r="L99" s="181"/>
      <x:c r="M99" s="181"/>
      <x:c r="N99" s="183"/>
      <x:c r="O99" s="183"/>
      <x:c r="P99" s="183"/>
      <x:c r="Q99" s="181"/>
      <x:c r="R99" s="181"/>
      <x:c r="S99" s="181"/>
      <x:c r="T99" s="181"/>
      <x:c r="U99" s="181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1"/>
      <x:c r="L100" s="181"/>
      <x:c r="M100" s="181"/>
      <x:c r="N100" s="183"/>
      <x:c r="O100" s="183"/>
      <x:c r="P100" s="183"/>
      <x:c r="Q100" s="181"/>
      <x:c r="R100" s="181"/>
      <x:c r="S100" s="181"/>
      <x:c r="T100" s="181"/>
      <x:c r="U100" s="181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U1"/>
    <x:mergeCell ref="A2:B2"/>
    <x:mergeCell ref="C2:D2"/>
    <x:mergeCell ref="E2:I2"/>
    <x:mergeCell ref="J2:U2"/>
  </x:mergeCells>
  <x:pageMargins left="0.7" right="0.7" top="0.75" bottom="0.75" header="0.3" footer="0.3"/>
  <x:drawing r:id="R8729aba2d813486e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tabColor theme="4" tint="0.39998"/>
  </x:sheetPr>
  <x:sheetFormatPr baseColWidth="10" defaultRowHeight="15"/>
  <x:cols>
    <x:col min="1" max="1" width="8" bestFit="1" customWidth="1" style="63"/>
    <x:col min="2" max="2" width="20" bestFit="1" customWidth="1" style="63"/>
    <x:col min="3" max="3" width="17" bestFit="1" customWidth="1" style="63"/>
    <x:col min="4" max="4" width="14" bestFit="1" customWidth="1" style="63"/>
    <x:col min="5" max="5" width="16" bestFit="1" customWidth="1" style="63"/>
    <x:col min="6" max="6" width="14" bestFit="1" customWidth="1" style="63"/>
    <x:col min="7" max="7" width="14" bestFit="1" customWidth="1" style="63"/>
    <x:col min="8" max="8" width="16" bestFit="1" customWidth="1" style="63"/>
    <x:col min="9" max="9" width="18" bestFit="1" customWidth="1" style="63"/>
    <x:col min="10" max="10" width="18" bestFit="1" customWidth="1" style="63"/>
    <x:col min="11" max="11" width="18" bestFit="1" customWidth="1" style="63"/>
  </x:cols>
  <x:sheetData>
    <x:row r="1" s="63" customFormat="1" ht="54" customHeight="1">
      <x:c r="A1" s="144" t="str">
        <x:v>Fichero FIE · SUSASESORES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</x:row>
    <x:row r="2" ht="20" customHeight="1">
      <x:c r="A2" s="165" t="str">
        <x:v>Datos del Proceso</x:v>
      </x:c>
      <x:c r="B2" s="166"/>
      <x:c r="C2" s="165" t="str">
        <x:v>Datos de la Empresa</x:v>
      </x:c>
      <x:c r="D2" s="166"/>
      <x:c r="E2" s="165" t="str">
        <x:v>Datos del Empleado</x:v>
      </x:c>
      <x:c r="F2" s="167"/>
      <x:c r="G2" s="167"/>
      <x:c r="H2" s="167"/>
      <x:c r="I2" s="166"/>
      <x:c r="J2" s="165" t="str">
        <x:v>Datos de Incapacidad Temporal</x:v>
      </x:c>
      <x:c r="K2" s="166"/>
    </x:row>
    <x:row r="3" s="64" customFormat="1" ht="45" customHeight="1">
      <x:c r="A3" s="172" t="str">
        <x:v>expte</x:v>
      </x:c>
      <x:c r="B3" s="172" t="str">
        <x:v>Clave Autorización</x:v>
      </x:c>
      <x:c r="C3" s="172" t="str">
        <x:v>Fecha recepción</x:v>
      </x:c>
      <x:c r="D3" s="172" t="str">
        <x:v>CCC</x:v>
      </x:c>
      <x:c r="E3" s="172" t="str">
        <x:v>Empresa</x:v>
      </x:c>
      <x:c r="F3" s="172" t="str">
        <x:v>NAF</x:v>
      </x:c>
      <x:c r="G3" s="172" t="str">
        <x:v>NIF</x:v>
      </x:c>
      <x:c r="H3" s="172" t="str">
        <x:v>Nombre</x:v>
      </x:c>
      <x:c r="I3" s="172" t="str">
        <x:v>Fecha Inicio relación laboral</x:v>
      </x:c>
      <x:c r="J3" s="172" t="str">
        <x:v>Fecha Extinción relación laboral</x:v>
      </x:c>
      <x:c r="K3" s="172" t="str">
        <x:v>Fecha del hecho causante de la prestación de NYCM</x:v>
      </x:c>
    </x:row>
    <x:row r="4" s="63" customFormat="1">
      <x:c r="A4" s="181"/>
      <x:c r="B4" s="181"/>
      <x:c r="C4" s="183"/>
      <x:c r="D4" s="181"/>
      <x:c r="E4" s="181"/>
      <x:c r="F4" s="181"/>
      <x:c r="G4" s="181"/>
      <x:c r="H4" s="181"/>
      <x:c r="I4" s="183"/>
      <x:c r="J4" s="183"/>
      <x:c r="K4" s="183"/>
    </x:row>
    <x:row r="5">
      <x:c r="A5" s="181"/>
      <x:c r="B5" s="181"/>
      <x:c r="C5" s="183"/>
      <x:c r="D5" s="181"/>
      <x:c r="E5" s="181"/>
      <x:c r="F5" s="181"/>
      <x:c r="G5" s="181"/>
      <x:c r="H5" s="181"/>
      <x:c r="I5" s="183"/>
      <x:c r="J5" s="183"/>
      <x:c r="K5" s="183"/>
    </x:row>
    <x:row r="6">
      <x:c r="A6" s="181"/>
      <x:c r="B6" s="181"/>
      <x:c r="C6" s="183"/>
      <x:c r="D6" s="181"/>
      <x:c r="E6" s="181"/>
      <x:c r="F6" s="181"/>
      <x:c r="G6" s="181"/>
      <x:c r="H6" s="181"/>
      <x:c r="I6" s="183"/>
      <x:c r="J6" s="183"/>
      <x:c r="K6" s="183"/>
    </x:row>
    <x:row r="7">
      <x:c r="A7" s="181"/>
      <x:c r="B7" s="181"/>
      <x:c r="C7" s="183"/>
      <x:c r="D7" s="181"/>
      <x:c r="E7" s="181"/>
      <x:c r="F7" s="181"/>
      <x:c r="G7" s="181"/>
      <x:c r="H7" s="181"/>
      <x:c r="I7" s="183"/>
      <x:c r="J7" s="183"/>
      <x:c r="K7" s="183"/>
    </x:row>
    <x:row r="8">
      <x:c r="A8" s="181"/>
      <x:c r="B8" s="181"/>
      <x:c r="C8" s="183"/>
      <x:c r="D8" s="181"/>
      <x:c r="E8" s="181"/>
      <x:c r="F8" s="181"/>
      <x:c r="G8" s="181"/>
      <x:c r="H8" s="181"/>
      <x:c r="I8" s="183"/>
      <x:c r="J8" s="183"/>
      <x:c r="K8" s="183"/>
    </x:row>
    <x:row r="9">
      <x:c r="A9" s="181"/>
      <x:c r="B9" s="181"/>
      <x:c r="C9" s="183"/>
      <x:c r="D9" s="181"/>
      <x:c r="E9" s="181"/>
      <x:c r="F9" s="181"/>
      <x:c r="G9" s="181"/>
      <x:c r="H9" s="181"/>
      <x:c r="I9" s="183"/>
      <x:c r="J9" s="183"/>
      <x:c r="K9" s="183"/>
    </x:row>
    <x:row r="10">
      <x:c r="A10" s="181"/>
      <x:c r="B10" s="181"/>
      <x:c r="C10" s="183"/>
      <x:c r="D10" s="181"/>
      <x:c r="E10" s="181"/>
      <x:c r="F10" s="181"/>
      <x:c r="G10" s="181"/>
      <x:c r="H10" s="181"/>
      <x:c r="I10" s="183"/>
      <x:c r="J10" s="183"/>
      <x:c r="K10" s="183"/>
    </x:row>
    <x:row r="11">
      <x:c r="A11" s="181"/>
      <x:c r="B11" s="181"/>
      <x:c r="C11" s="183"/>
      <x:c r="D11" s="181"/>
      <x:c r="E11" s="181"/>
      <x:c r="F11" s="181"/>
      <x:c r="G11" s="181"/>
      <x:c r="H11" s="181"/>
      <x:c r="I11" s="183"/>
      <x:c r="J11" s="183"/>
      <x:c r="K11" s="183"/>
    </x:row>
    <x:row r="12">
      <x:c r="A12" s="181"/>
      <x:c r="B12" s="181"/>
      <x:c r="C12" s="183"/>
      <x:c r="D12" s="181"/>
      <x:c r="E12" s="181"/>
      <x:c r="F12" s="181"/>
      <x:c r="G12" s="181"/>
      <x:c r="H12" s="181"/>
      <x:c r="I12" s="183"/>
      <x:c r="J12" s="183"/>
      <x:c r="K12" s="183"/>
    </x:row>
    <x:row r="13">
      <x:c r="A13" s="181"/>
      <x:c r="B13" s="181"/>
      <x:c r="C13" s="183"/>
      <x:c r="D13" s="181"/>
      <x:c r="E13" s="181"/>
      <x:c r="F13" s="181"/>
      <x:c r="G13" s="181"/>
      <x:c r="H13" s="181"/>
      <x:c r="I13" s="183"/>
      <x:c r="J13" s="183"/>
      <x:c r="K13" s="183"/>
    </x:row>
    <x:row r="14">
      <x:c r="A14" s="181"/>
      <x:c r="B14" s="181"/>
      <x:c r="C14" s="183"/>
      <x:c r="D14" s="181"/>
      <x:c r="E14" s="181"/>
      <x:c r="F14" s="181"/>
      <x:c r="G14" s="181"/>
      <x:c r="H14" s="181"/>
      <x:c r="I14" s="183"/>
      <x:c r="J14" s="183"/>
      <x:c r="K14" s="183"/>
    </x:row>
    <x:row r="15">
      <x:c r="A15" s="181"/>
      <x:c r="B15" s="181"/>
      <x:c r="C15" s="183"/>
      <x:c r="D15" s="181"/>
      <x:c r="E15" s="181"/>
      <x:c r="F15" s="181"/>
      <x:c r="G15" s="181"/>
      <x:c r="H15" s="181"/>
      <x:c r="I15" s="183"/>
      <x:c r="J15" s="183"/>
      <x:c r="K15" s="183"/>
    </x:row>
    <x:row r="16">
      <x:c r="A16" s="181"/>
      <x:c r="B16" s="181"/>
      <x:c r="C16" s="183"/>
      <x:c r="D16" s="181"/>
      <x:c r="E16" s="181"/>
      <x:c r="F16" s="181"/>
      <x:c r="G16" s="181"/>
      <x:c r="H16" s="181"/>
      <x:c r="I16" s="183"/>
      <x:c r="J16" s="183"/>
      <x:c r="K16" s="183"/>
    </x:row>
    <x:row r="17">
      <x:c r="A17" s="181"/>
      <x:c r="B17" s="181"/>
      <x:c r="C17" s="183"/>
      <x:c r="D17" s="181"/>
      <x:c r="E17" s="181"/>
      <x:c r="F17" s="181"/>
      <x:c r="G17" s="181"/>
      <x:c r="H17" s="181"/>
      <x:c r="I17" s="183"/>
      <x:c r="J17" s="183"/>
      <x:c r="K17" s="183"/>
    </x:row>
    <x:row r="18">
      <x:c r="A18" s="181"/>
      <x:c r="B18" s="181"/>
      <x:c r="C18" s="183"/>
      <x:c r="D18" s="181"/>
      <x:c r="E18" s="181"/>
      <x:c r="F18" s="181"/>
      <x:c r="G18" s="181"/>
      <x:c r="H18" s="181"/>
      <x:c r="I18" s="183"/>
      <x:c r="J18" s="183"/>
      <x:c r="K18" s="183"/>
    </x:row>
    <x:row r="19">
      <x:c r="A19" s="181"/>
      <x:c r="B19" s="181"/>
      <x:c r="C19" s="183"/>
      <x:c r="D19" s="181"/>
      <x:c r="E19" s="181"/>
      <x:c r="F19" s="181"/>
      <x:c r="G19" s="181"/>
      <x:c r="H19" s="181"/>
      <x:c r="I19" s="183"/>
      <x:c r="J19" s="183"/>
      <x:c r="K19" s="183"/>
    </x:row>
    <x:row r="20">
      <x:c r="A20" s="181"/>
      <x:c r="B20" s="181"/>
      <x:c r="C20" s="183"/>
      <x:c r="D20" s="181"/>
      <x:c r="E20" s="181"/>
      <x:c r="F20" s="181"/>
      <x:c r="G20" s="181"/>
      <x:c r="H20" s="181"/>
      <x:c r="I20" s="183"/>
      <x:c r="J20" s="183"/>
      <x:c r="K20" s="183"/>
    </x:row>
    <x:row r="21">
      <x:c r="A21" s="181"/>
      <x:c r="B21" s="181"/>
      <x:c r="C21" s="183"/>
      <x:c r="D21" s="181"/>
      <x:c r="E21" s="181"/>
      <x:c r="F21" s="181"/>
      <x:c r="G21" s="181"/>
      <x:c r="H21" s="181"/>
      <x:c r="I21" s="183"/>
      <x:c r="J21" s="183"/>
      <x:c r="K21" s="183"/>
    </x:row>
    <x:row r="22">
      <x:c r="A22" s="181"/>
      <x:c r="B22" s="181"/>
      <x:c r="C22" s="183"/>
      <x:c r="D22" s="181"/>
      <x:c r="E22" s="181"/>
      <x:c r="F22" s="181"/>
      <x:c r="G22" s="181"/>
      <x:c r="H22" s="181"/>
      <x:c r="I22" s="183"/>
      <x:c r="J22" s="183"/>
      <x:c r="K22" s="183"/>
    </x:row>
    <x:row r="23">
      <x:c r="A23" s="181"/>
      <x:c r="B23" s="181"/>
      <x:c r="C23" s="183"/>
      <x:c r="D23" s="181"/>
      <x:c r="E23" s="181"/>
      <x:c r="F23" s="181"/>
      <x:c r="G23" s="181"/>
      <x:c r="H23" s="181"/>
      <x:c r="I23" s="183"/>
      <x:c r="J23" s="183"/>
      <x:c r="K23" s="183"/>
    </x:row>
    <x:row r="24">
      <x:c r="A24" s="181"/>
      <x:c r="B24" s="181"/>
      <x:c r="C24" s="183"/>
      <x:c r="D24" s="181"/>
      <x:c r="E24" s="181"/>
      <x:c r="F24" s="181"/>
      <x:c r="G24" s="181"/>
      <x:c r="H24" s="181"/>
      <x:c r="I24" s="183"/>
      <x:c r="J24" s="183"/>
      <x:c r="K24" s="183"/>
    </x:row>
    <x:row r="25">
      <x:c r="A25" s="181"/>
      <x:c r="B25" s="181"/>
      <x:c r="C25" s="183"/>
      <x:c r="D25" s="181"/>
      <x:c r="E25" s="181"/>
      <x:c r="F25" s="181"/>
      <x:c r="G25" s="181"/>
      <x:c r="H25" s="181"/>
      <x:c r="I25" s="183"/>
      <x:c r="J25" s="183"/>
      <x:c r="K25" s="183"/>
    </x:row>
    <x:row r="26">
      <x:c r="A26" s="181"/>
      <x:c r="B26" s="181"/>
      <x:c r="C26" s="183"/>
      <x:c r="D26" s="181"/>
      <x:c r="E26" s="181"/>
      <x:c r="F26" s="181"/>
      <x:c r="G26" s="181"/>
      <x:c r="H26" s="181"/>
      <x:c r="I26" s="183"/>
      <x:c r="J26" s="183"/>
      <x:c r="K26" s="183"/>
    </x:row>
    <x:row r="27">
      <x:c r="A27" s="181"/>
      <x:c r="B27" s="181"/>
      <x:c r="C27" s="183"/>
      <x:c r="D27" s="181"/>
      <x:c r="E27" s="181"/>
      <x:c r="F27" s="181"/>
      <x:c r="G27" s="181"/>
      <x:c r="H27" s="181"/>
      <x:c r="I27" s="183"/>
      <x:c r="J27" s="183"/>
      <x:c r="K27" s="183"/>
    </x:row>
    <x:row r="28">
      <x:c r="A28" s="181"/>
      <x:c r="B28" s="181"/>
      <x:c r="C28" s="183"/>
      <x:c r="D28" s="181"/>
      <x:c r="E28" s="181"/>
      <x:c r="F28" s="181"/>
      <x:c r="G28" s="181"/>
      <x:c r="H28" s="181"/>
      <x:c r="I28" s="183"/>
      <x:c r="J28" s="183"/>
      <x:c r="K28" s="183"/>
    </x:row>
    <x:row r="29">
      <x:c r="A29" s="181"/>
      <x:c r="B29" s="181"/>
      <x:c r="C29" s="183"/>
      <x:c r="D29" s="181"/>
      <x:c r="E29" s="181"/>
      <x:c r="F29" s="181"/>
      <x:c r="G29" s="181"/>
      <x:c r="H29" s="181"/>
      <x:c r="I29" s="183"/>
      <x:c r="J29" s="183"/>
      <x:c r="K29" s="183"/>
    </x:row>
    <x:row r="30">
      <x:c r="A30" s="181"/>
      <x:c r="B30" s="181"/>
      <x:c r="C30" s="183"/>
      <x:c r="D30" s="181"/>
      <x:c r="E30" s="181"/>
      <x:c r="F30" s="181"/>
      <x:c r="G30" s="181"/>
      <x:c r="H30" s="181"/>
      <x:c r="I30" s="183"/>
      <x:c r="J30" s="183"/>
      <x:c r="K30" s="183"/>
    </x:row>
    <x:row r="31">
      <x:c r="A31" s="181"/>
      <x:c r="B31" s="181"/>
      <x:c r="C31" s="183"/>
      <x:c r="D31" s="181"/>
      <x:c r="E31" s="181"/>
      <x:c r="F31" s="181"/>
      <x:c r="G31" s="181"/>
      <x:c r="H31" s="181"/>
      <x:c r="I31" s="183"/>
      <x:c r="J31" s="183"/>
      <x:c r="K31" s="183"/>
    </x:row>
    <x:row r="32">
      <x:c r="A32" s="181"/>
      <x:c r="B32" s="181"/>
      <x:c r="C32" s="183"/>
      <x:c r="D32" s="181"/>
      <x:c r="E32" s="181"/>
      <x:c r="F32" s="181"/>
      <x:c r="G32" s="181"/>
      <x:c r="H32" s="181"/>
      <x:c r="I32" s="183"/>
      <x:c r="J32" s="183"/>
      <x:c r="K32" s="183"/>
    </x:row>
    <x:row r="33">
      <x:c r="A33" s="181"/>
      <x:c r="B33" s="181"/>
      <x:c r="C33" s="183"/>
      <x:c r="D33" s="181"/>
      <x:c r="E33" s="181"/>
      <x:c r="F33" s="181"/>
      <x:c r="G33" s="181"/>
      <x:c r="H33" s="181"/>
      <x:c r="I33" s="183"/>
      <x:c r="J33" s="183"/>
      <x:c r="K33" s="183"/>
    </x:row>
    <x:row r="34">
      <x:c r="A34" s="181"/>
      <x:c r="B34" s="181"/>
      <x:c r="C34" s="183"/>
      <x:c r="D34" s="181"/>
      <x:c r="E34" s="181"/>
      <x:c r="F34" s="181"/>
      <x:c r="G34" s="181"/>
      <x:c r="H34" s="181"/>
      <x:c r="I34" s="183"/>
      <x:c r="J34" s="183"/>
      <x:c r="K34" s="183"/>
    </x:row>
    <x:row r="35">
      <x:c r="A35" s="181"/>
      <x:c r="B35" s="181"/>
      <x:c r="C35" s="183"/>
      <x:c r="D35" s="181"/>
      <x:c r="E35" s="181"/>
      <x:c r="F35" s="181"/>
      <x:c r="G35" s="181"/>
      <x:c r="H35" s="181"/>
      <x:c r="I35" s="183"/>
      <x:c r="J35" s="183"/>
      <x:c r="K35" s="183"/>
    </x:row>
    <x:row r="36">
      <x:c r="A36" s="181"/>
      <x:c r="B36" s="181"/>
      <x:c r="C36" s="183"/>
      <x:c r="D36" s="181"/>
      <x:c r="E36" s="181"/>
      <x:c r="F36" s="181"/>
      <x:c r="G36" s="181"/>
      <x:c r="H36" s="181"/>
      <x:c r="I36" s="183"/>
      <x:c r="J36" s="183"/>
      <x:c r="K36" s="183"/>
    </x:row>
    <x:row r="37">
      <x:c r="A37" s="181"/>
      <x:c r="B37" s="181"/>
      <x:c r="C37" s="183"/>
      <x:c r="D37" s="181"/>
      <x:c r="E37" s="181"/>
      <x:c r="F37" s="181"/>
      <x:c r="G37" s="181"/>
      <x:c r="H37" s="181"/>
      <x:c r="I37" s="183"/>
      <x:c r="J37" s="183"/>
      <x:c r="K37" s="183"/>
    </x:row>
    <x:row r="38">
      <x:c r="A38" s="181"/>
      <x:c r="B38" s="181"/>
      <x:c r="C38" s="183"/>
      <x:c r="D38" s="181"/>
      <x:c r="E38" s="181"/>
      <x:c r="F38" s="181"/>
      <x:c r="G38" s="181"/>
      <x:c r="H38" s="181"/>
      <x:c r="I38" s="183"/>
      <x:c r="J38" s="183"/>
      <x:c r="K38" s="183"/>
    </x:row>
    <x:row r="39">
      <x:c r="A39" s="181"/>
      <x:c r="B39" s="181"/>
      <x:c r="C39" s="183"/>
      <x:c r="D39" s="181"/>
      <x:c r="E39" s="181"/>
      <x:c r="F39" s="181"/>
      <x:c r="G39" s="181"/>
      <x:c r="H39" s="181"/>
      <x:c r="I39" s="183"/>
      <x:c r="J39" s="183"/>
      <x:c r="K39" s="183"/>
    </x:row>
    <x:row r="40">
      <x:c r="A40" s="181"/>
      <x:c r="B40" s="181"/>
      <x:c r="C40" s="183"/>
      <x:c r="D40" s="181"/>
      <x:c r="E40" s="181"/>
      <x:c r="F40" s="181"/>
      <x:c r="G40" s="181"/>
      <x:c r="H40" s="181"/>
      <x:c r="I40" s="183"/>
      <x:c r="J40" s="183"/>
      <x:c r="K40" s="183"/>
    </x:row>
    <x:row r="41">
      <x:c r="A41" s="181"/>
      <x:c r="B41" s="181"/>
      <x:c r="C41" s="183"/>
      <x:c r="D41" s="181"/>
      <x:c r="E41" s="181"/>
      <x:c r="F41" s="181"/>
      <x:c r="G41" s="181"/>
      <x:c r="H41" s="181"/>
      <x:c r="I41" s="183"/>
      <x:c r="J41" s="183"/>
      <x:c r="K41" s="183"/>
    </x:row>
    <x:row r="42">
      <x:c r="A42" s="181"/>
      <x:c r="B42" s="181"/>
      <x:c r="C42" s="183"/>
      <x:c r="D42" s="181"/>
      <x:c r="E42" s="181"/>
      <x:c r="F42" s="181"/>
      <x:c r="G42" s="181"/>
      <x:c r="H42" s="181"/>
      <x:c r="I42" s="183"/>
      <x:c r="J42" s="183"/>
      <x:c r="K42" s="183"/>
    </x:row>
    <x:row r="43">
      <x:c r="A43" s="181"/>
      <x:c r="B43" s="181"/>
      <x:c r="C43" s="183"/>
      <x:c r="D43" s="181"/>
      <x:c r="E43" s="181"/>
      <x:c r="F43" s="181"/>
      <x:c r="G43" s="181"/>
      <x:c r="H43" s="181"/>
      <x:c r="I43" s="183"/>
      <x:c r="J43" s="183"/>
      <x:c r="K43" s="183"/>
    </x:row>
    <x:row r="44">
      <x:c r="A44" s="181"/>
      <x:c r="B44" s="181"/>
      <x:c r="C44" s="183"/>
      <x:c r="D44" s="181"/>
      <x:c r="E44" s="181"/>
      <x:c r="F44" s="181"/>
      <x:c r="G44" s="181"/>
      <x:c r="H44" s="181"/>
      <x:c r="I44" s="183"/>
      <x:c r="J44" s="183"/>
      <x:c r="K44" s="183"/>
    </x:row>
    <x:row r="45">
      <x:c r="A45" s="181"/>
      <x:c r="B45" s="181"/>
      <x:c r="C45" s="183"/>
      <x:c r="D45" s="181"/>
      <x:c r="E45" s="181"/>
      <x:c r="F45" s="181"/>
      <x:c r="G45" s="181"/>
      <x:c r="H45" s="181"/>
      <x:c r="I45" s="183"/>
      <x:c r="J45" s="183"/>
      <x:c r="K45" s="183"/>
    </x:row>
    <x:row r="46">
      <x:c r="A46" s="181"/>
      <x:c r="B46" s="181"/>
      <x:c r="C46" s="183"/>
      <x:c r="D46" s="181"/>
      <x:c r="E46" s="181"/>
      <x:c r="F46" s="181"/>
      <x:c r="G46" s="181"/>
      <x:c r="H46" s="181"/>
      <x:c r="I46" s="183"/>
      <x:c r="J46" s="183"/>
      <x:c r="K46" s="183"/>
    </x:row>
    <x:row r="47">
      <x:c r="A47" s="181"/>
      <x:c r="B47" s="181"/>
      <x:c r="C47" s="183"/>
      <x:c r="D47" s="181"/>
      <x:c r="E47" s="181"/>
      <x:c r="F47" s="181"/>
      <x:c r="G47" s="181"/>
      <x:c r="H47" s="181"/>
      <x:c r="I47" s="183"/>
      <x:c r="J47" s="183"/>
      <x:c r="K47" s="183"/>
    </x:row>
    <x:row r="48">
      <x:c r="A48" s="181"/>
      <x:c r="B48" s="181"/>
      <x:c r="C48" s="183"/>
      <x:c r="D48" s="181"/>
      <x:c r="E48" s="181"/>
      <x:c r="F48" s="181"/>
      <x:c r="G48" s="181"/>
      <x:c r="H48" s="181"/>
      <x:c r="I48" s="183"/>
      <x:c r="J48" s="183"/>
      <x:c r="K48" s="183"/>
    </x:row>
    <x:row r="49">
      <x:c r="A49" s="181"/>
      <x:c r="B49" s="181"/>
      <x:c r="C49" s="183"/>
      <x:c r="D49" s="181"/>
      <x:c r="E49" s="181"/>
      <x:c r="F49" s="181"/>
      <x:c r="G49" s="181"/>
      <x:c r="H49" s="181"/>
      <x:c r="I49" s="183"/>
      <x:c r="J49" s="183"/>
      <x:c r="K49" s="183"/>
    </x:row>
    <x:row r="50">
      <x:c r="A50" s="181"/>
      <x:c r="B50" s="181"/>
      <x:c r="C50" s="183"/>
      <x:c r="D50" s="181"/>
      <x:c r="E50" s="181"/>
      <x:c r="F50" s="181"/>
      <x:c r="G50" s="181"/>
      <x:c r="H50" s="181"/>
      <x:c r="I50" s="183"/>
      <x:c r="J50" s="183"/>
      <x:c r="K50" s="183"/>
    </x:row>
    <x:row r="51">
      <x:c r="A51" s="181"/>
      <x:c r="B51" s="181"/>
      <x:c r="C51" s="183"/>
      <x:c r="D51" s="181"/>
      <x:c r="E51" s="181"/>
      <x:c r="F51" s="181"/>
      <x:c r="G51" s="181"/>
      <x:c r="H51" s="181"/>
      <x:c r="I51" s="183"/>
      <x:c r="J51" s="183"/>
      <x:c r="K51" s="183"/>
    </x:row>
    <x:row r="52">
      <x:c r="A52" s="181"/>
      <x:c r="B52" s="181"/>
      <x:c r="C52" s="183"/>
      <x:c r="D52" s="181"/>
      <x:c r="E52" s="181"/>
      <x:c r="F52" s="181"/>
      <x:c r="G52" s="181"/>
      <x:c r="H52" s="181"/>
      <x:c r="I52" s="183"/>
      <x:c r="J52" s="183"/>
      <x:c r="K52" s="183"/>
    </x:row>
    <x:row r="53">
      <x:c r="A53" s="181"/>
      <x:c r="B53" s="181"/>
      <x:c r="C53" s="183"/>
      <x:c r="D53" s="181"/>
      <x:c r="E53" s="181"/>
      <x:c r="F53" s="181"/>
      <x:c r="G53" s="181"/>
      <x:c r="H53" s="181"/>
      <x:c r="I53" s="183"/>
      <x:c r="J53" s="183"/>
      <x:c r="K53" s="183"/>
    </x:row>
    <x:row r="54">
      <x:c r="A54" s="181"/>
      <x:c r="B54" s="181"/>
      <x:c r="C54" s="183"/>
      <x:c r="D54" s="181"/>
      <x:c r="E54" s="181"/>
      <x:c r="F54" s="181"/>
      <x:c r="G54" s="181"/>
      <x:c r="H54" s="181"/>
      <x:c r="I54" s="183"/>
      <x:c r="J54" s="183"/>
      <x:c r="K54" s="183"/>
    </x:row>
    <x:row r="55">
      <x:c r="A55" s="181"/>
      <x:c r="B55" s="181"/>
      <x:c r="C55" s="183"/>
      <x:c r="D55" s="181"/>
      <x:c r="E55" s="181"/>
      <x:c r="F55" s="181"/>
      <x:c r="G55" s="181"/>
      <x:c r="H55" s="181"/>
      <x:c r="I55" s="183"/>
      <x:c r="J55" s="183"/>
      <x:c r="K55" s="183"/>
    </x:row>
    <x:row r="56">
      <x:c r="A56" s="181"/>
      <x:c r="B56" s="181"/>
      <x:c r="C56" s="183"/>
      <x:c r="D56" s="181"/>
      <x:c r="E56" s="181"/>
      <x:c r="F56" s="181"/>
      <x:c r="G56" s="181"/>
      <x:c r="H56" s="181"/>
      <x:c r="I56" s="183"/>
      <x:c r="J56" s="183"/>
      <x:c r="K56" s="183"/>
    </x:row>
    <x:row r="57">
      <x:c r="A57" s="181"/>
      <x:c r="B57" s="181"/>
      <x:c r="C57" s="183"/>
      <x:c r="D57" s="181"/>
      <x:c r="E57" s="181"/>
      <x:c r="F57" s="181"/>
      <x:c r="G57" s="181"/>
      <x:c r="H57" s="181"/>
      <x:c r="I57" s="183"/>
      <x:c r="J57" s="183"/>
      <x:c r="K57" s="183"/>
    </x:row>
    <x:row r="58">
      <x:c r="A58" s="181"/>
      <x:c r="B58" s="181"/>
      <x:c r="C58" s="183"/>
      <x:c r="D58" s="181"/>
      <x:c r="E58" s="181"/>
      <x:c r="F58" s="181"/>
      <x:c r="G58" s="181"/>
      <x:c r="H58" s="181"/>
      <x:c r="I58" s="183"/>
      <x:c r="J58" s="183"/>
      <x:c r="K58" s="183"/>
    </x:row>
    <x:row r="59">
      <x:c r="A59" s="181"/>
      <x:c r="B59" s="181"/>
      <x:c r="C59" s="183"/>
      <x:c r="D59" s="181"/>
      <x:c r="E59" s="181"/>
      <x:c r="F59" s="181"/>
      <x:c r="G59" s="181"/>
      <x:c r="H59" s="181"/>
      <x:c r="I59" s="183"/>
      <x:c r="J59" s="183"/>
      <x:c r="K59" s="183"/>
    </x:row>
    <x:row r="60">
      <x:c r="A60" s="181"/>
      <x:c r="B60" s="181"/>
      <x:c r="C60" s="183"/>
      <x:c r="D60" s="181"/>
      <x:c r="E60" s="181"/>
      <x:c r="F60" s="181"/>
      <x:c r="G60" s="181"/>
      <x:c r="H60" s="181"/>
      <x:c r="I60" s="183"/>
      <x:c r="J60" s="183"/>
      <x:c r="K60" s="183"/>
    </x:row>
    <x:row r="61">
      <x:c r="A61" s="181"/>
      <x:c r="B61" s="181"/>
      <x:c r="C61" s="183"/>
      <x:c r="D61" s="181"/>
      <x:c r="E61" s="181"/>
      <x:c r="F61" s="181"/>
      <x:c r="G61" s="181"/>
      <x:c r="H61" s="181"/>
      <x:c r="I61" s="183"/>
      <x:c r="J61" s="183"/>
      <x:c r="K61" s="183"/>
    </x:row>
    <x:row r="62">
      <x:c r="A62" s="181"/>
      <x:c r="B62" s="181"/>
      <x:c r="C62" s="183"/>
      <x:c r="D62" s="181"/>
      <x:c r="E62" s="181"/>
      <x:c r="F62" s="181"/>
      <x:c r="G62" s="181"/>
      <x:c r="H62" s="181"/>
      <x:c r="I62" s="183"/>
      <x:c r="J62" s="183"/>
      <x:c r="K62" s="183"/>
    </x:row>
    <x:row r="63">
      <x:c r="A63" s="181"/>
      <x:c r="B63" s="181"/>
      <x:c r="C63" s="183"/>
      <x:c r="D63" s="181"/>
      <x:c r="E63" s="181"/>
      <x:c r="F63" s="181"/>
      <x:c r="G63" s="181"/>
      <x:c r="H63" s="181"/>
      <x:c r="I63" s="183"/>
      <x:c r="J63" s="183"/>
      <x:c r="K63" s="183"/>
    </x:row>
    <x:row r="64">
      <x:c r="A64" s="181"/>
      <x:c r="B64" s="181"/>
      <x:c r="C64" s="183"/>
      <x:c r="D64" s="181"/>
      <x:c r="E64" s="181"/>
      <x:c r="F64" s="181"/>
      <x:c r="G64" s="181"/>
      <x:c r="H64" s="181"/>
      <x:c r="I64" s="183"/>
      <x:c r="J64" s="183"/>
      <x:c r="K64" s="183"/>
    </x:row>
    <x:row r="65">
      <x:c r="A65" s="181"/>
      <x:c r="B65" s="181"/>
      <x:c r="C65" s="183"/>
      <x:c r="D65" s="181"/>
      <x:c r="E65" s="181"/>
      <x:c r="F65" s="181"/>
      <x:c r="G65" s="181"/>
      <x:c r="H65" s="181"/>
      <x:c r="I65" s="183"/>
      <x:c r="J65" s="183"/>
      <x:c r="K65" s="183"/>
    </x:row>
    <x:row r="66">
      <x:c r="A66" s="181"/>
      <x:c r="B66" s="181"/>
      <x:c r="C66" s="183"/>
      <x:c r="D66" s="181"/>
      <x:c r="E66" s="181"/>
      <x:c r="F66" s="181"/>
      <x:c r="G66" s="181"/>
      <x:c r="H66" s="181"/>
      <x:c r="I66" s="183"/>
      <x:c r="J66" s="183"/>
      <x:c r="K66" s="183"/>
    </x:row>
    <x:row r="67">
      <x:c r="A67" s="181"/>
      <x:c r="B67" s="181"/>
      <x:c r="C67" s="183"/>
      <x:c r="D67" s="181"/>
      <x:c r="E67" s="181"/>
      <x:c r="F67" s="181"/>
      <x:c r="G67" s="181"/>
      <x:c r="H67" s="181"/>
      <x:c r="I67" s="183"/>
      <x:c r="J67" s="183"/>
      <x:c r="K67" s="183"/>
    </x:row>
    <x:row r="68">
      <x:c r="A68" s="181"/>
      <x:c r="B68" s="181"/>
      <x:c r="C68" s="183"/>
      <x:c r="D68" s="181"/>
      <x:c r="E68" s="181"/>
      <x:c r="F68" s="181"/>
      <x:c r="G68" s="181"/>
      <x:c r="H68" s="181"/>
      <x:c r="I68" s="183"/>
      <x:c r="J68" s="183"/>
      <x:c r="K68" s="183"/>
    </x:row>
    <x:row r="69">
      <x:c r="A69" s="181"/>
      <x:c r="B69" s="181"/>
      <x:c r="C69" s="183"/>
      <x:c r="D69" s="181"/>
      <x:c r="E69" s="181"/>
      <x:c r="F69" s="181"/>
      <x:c r="G69" s="181"/>
      <x:c r="H69" s="181"/>
      <x:c r="I69" s="183"/>
      <x:c r="J69" s="183"/>
      <x:c r="K69" s="183"/>
    </x:row>
    <x:row r="70">
      <x:c r="A70" s="181"/>
      <x:c r="B70" s="181"/>
      <x:c r="C70" s="183"/>
      <x:c r="D70" s="181"/>
      <x:c r="E70" s="181"/>
      <x:c r="F70" s="181"/>
      <x:c r="G70" s="181"/>
      <x:c r="H70" s="181"/>
      <x:c r="I70" s="183"/>
      <x:c r="J70" s="183"/>
      <x:c r="K70" s="183"/>
    </x:row>
    <x:row r="71">
      <x:c r="A71" s="181"/>
      <x:c r="B71" s="181"/>
      <x:c r="C71" s="183"/>
      <x:c r="D71" s="181"/>
      <x:c r="E71" s="181"/>
      <x:c r="F71" s="181"/>
      <x:c r="G71" s="181"/>
      <x:c r="H71" s="181"/>
      <x:c r="I71" s="183"/>
      <x:c r="J71" s="183"/>
      <x:c r="K71" s="183"/>
    </x:row>
    <x:row r="72">
      <x:c r="A72" s="181"/>
      <x:c r="B72" s="181"/>
      <x:c r="C72" s="183"/>
      <x:c r="D72" s="181"/>
      <x:c r="E72" s="181"/>
      <x:c r="F72" s="181"/>
      <x:c r="G72" s="181"/>
      <x:c r="H72" s="181"/>
      <x:c r="I72" s="183"/>
      <x:c r="J72" s="183"/>
      <x:c r="K72" s="183"/>
    </x:row>
    <x:row r="73">
      <x:c r="A73" s="181"/>
      <x:c r="B73" s="181"/>
      <x:c r="C73" s="183"/>
      <x:c r="D73" s="181"/>
      <x:c r="E73" s="181"/>
      <x:c r="F73" s="181"/>
      <x:c r="G73" s="181"/>
      <x:c r="H73" s="181"/>
      <x:c r="I73" s="183"/>
      <x:c r="J73" s="183"/>
      <x:c r="K73" s="183"/>
    </x:row>
    <x:row r="74">
      <x:c r="A74" s="181"/>
      <x:c r="B74" s="181"/>
      <x:c r="C74" s="183"/>
      <x:c r="D74" s="181"/>
      <x:c r="E74" s="181"/>
      <x:c r="F74" s="181"/>
      <x:c r="G74" s="181"/>
      <x:c r="H74" s="181"/>
      <x:c r="I74" s="183"/>
      <x:c r="J74" s="183"/>
      <x:c r="K74" s="183"/>
    </x:row>
    <x:row r="75">
      <x:c r="A75" s="181"/>
      <x:c r="B75" s="181"/>
      <x:c r="C75" s="183"/>
      <x:c r="D75" s="181"/>
      <x:c r="E75" s="181"/>
      <x:c r="F75" s="181"/>
      <x:c r="G75" s="181"/>
      <x:c r="H75" s="181"/>
      <x:c r="I75" s="183"/>
      <x:c r="J75" s="183"/>
      <x:c r="K75" s="183"/>
    </x:row>
    <x:row r="76">
      <x:c r="A76" s="181"/>
      <x:c r="B76" s="181"/>
      <x:c r="C76" s="183"/>
      <x:c r="D76" s="181"/>
      <x:c r="E76" s="181"/>
      <x:c r="F76" s="181"/>
      <x:c r="G76" s="181"/>
      <x:c r="H76" s="181"/>
      <x:c r="I76" s="183"/>
      <x:c r="J76" s="183"/>
      <x:c r="K76" s="183"/>
    </x:row>
    <x:row r="77">
      <x:c r="A77" s="181"/>
      <x:c r="B77" s="181"/>
      <x:c r="C77" s="183"/>
      <x:c r="D77" s="181"/>
      <x:c r="E77" s="181"/>
      <x:c r="F77" s="181"/>
      <x:c r="G77" s="181"/>
      <x:c r="H77" s="181"/>
      <x:c r="I77" s="183"/>
      <x:c r="J77" s="183"/>
      <x:c r="K77" s="183"/>
    </x:row>
    <x:row r="78">
      <x:c r="A78" s="181"/>
      <x:c r="B78" s="181"/>
      <x:c r="C78" s="183"/>
      <x:c r="D78" s="181"/>
      <x:c r="E78" s="181"/>
      <x:c r="F78" s="181"/>
      <x:c r="G78" s="181"/>
      <x:c r="H78" s="181"/>
      <x:c r="I78" s="183"/>
      <x:c r="J78" s="183"/>
      <x:c r="K78" s="183"/>
    </x:row>
    <x:row r="79">
      <x:c r="A79" s="181"/>
      <x:c r="B79" s="181"/>
      <x:c r="C79" s="183"/>
      <x:c r="D79" s="181"/>
      <x:c r="E79" s="181"/>
      <x:c r="F79" s="181"/>
      <x:c r="G79" s="181"/>
      <x:c r="H79" s="181"/>
      <x:c r="I79" s="183"/>
      <x:c r="J79" s="183"/>
      <x:c r="K79" s="183"/>
    </x:row>
    <x:row r="80">
      <x:c r="A80" s="181"/>
      <x:c r="B80" s="181"/>
      <x:c r="C80" s="183"/>
      <x:c r="D80" s="181"/>
      <x:c r="E80" s="181"/>
      <x:c r="F80" s="181"/>
      <x:c r="G80" s="181"/>
      <x:c r="H80" s="181"/>
      <x:c r="I80" s="183"/>
      <x:c r="J80" s="183"/>
      <x:c r="K80" s="183"/>
    </x:row>
    <x:row r="81">
      <x:c r="A81" s="181"/>
      <x:c r="B81" s="181"/>
      <x:c r="C81" s="183"/>
      <x:c r="D81" s="181"/>
      <x:c r="E81" s="181"/>
      <x:c r="F81" s="181"/>
      <x:c r="G81" s="181"/>
      <x:c r="H81" s="181"/>
      <x:c r="I81" s="183"/>
      <x:c r="J81" s="183"/>
      <x:c r="K81" s="183"/>
    </x:row>
    <x:row r="82">
      <x:c r="A82" s="181"/>
      <x:c r="B82" s="181"/>
      <x:c r="C82" s="183"/>
      <x:c r="D82" s="181"/>
      <x:c r="E82" s="181"/>
      <x:c r="F82" s="181"/>
      <x:c r="G82" s="181"/>
      <x:c r="H82" s="181"/>
      <x:c r="I82" s="183"/>
      <x:c r="J82" s="183"/>
      <x:c r="K82" s="183"/>
    </x:row>
    <x:row r="83">
      <x:c r="A83" s="181"/>
      <x:c r="B83" s="181"/>
      <x:c r="C83" s="183"/>
      <x:c r="D83" s="181"/>
      <x:c r="E83" s="181"/>
      <x:c r="F83" s="181"/>
      <x:c r="G83" s="181"/>
      <x:c r="H83" s="181"/>
      <x:c r="I83" s="183"/>
      <x:c r="J83" s="183"/>
      <x:c r="K83" s="183"/>
    </x:row>
    <x:row r="84">
      <x:c r="A84" s="181"/>
      <x:c r="B84" s="181"/>
      <x:c r="C84" s="183"/>
      <x:c r="D84" s="181"/>
      <x:c r="E84" s="181"/>
      <x:c r="F84" s="181"/>
      <x:c r="G84" s="181"/>
      <x:c r="H84" s="181"/>
      <x:c r="I84" s="183"/>
      <x:c r="J84" s="183"/>
      <x:c r="K84" s="183"/>
    </x:row>
    <x:row r="85">
      <x:c r="A85" s="181"/>
      <x:c r="B85" s="181"/>
      <x:c r="C85" s="183"/>
      <x:c r="D85" s="181"/>
      <x:c r="E85" s="181"/>
      <x:c r="F85" s="181"/>
      <x:c r="G85" s="181"/>
      <x:c r="H85" s="181"/>
      <x:c r="I85" s="183"/>
      <x:c r="J85" s="183"/>
      <x:c r="K85" s="183"/>
    </x:row>
    <x:row r="86">
      <x:c r="A86" s="181"/>
      <x:c r="B86" s="181"/>
      <x:c r="C86" s="183"/>
      <x:c r="D86" s="181"/>
      <x:c r="E86" s="181"/>
      <x:c r="F86" s="181"/>
      <x:c r="G86" s="181"/>
      <x:c r="H86" s="181"/>
      <x:c r="I86" s="183"/>
      <x:c r="J86" s="183"/>
      <x:c r="K86" s="183"/>
    </x:row>
    <x:row r="87">
      <x:c r="A87" s="181"/>
      <x:c r="B87" s="181"/>
      <x:c r="C87" s="183"/>
      <x:c r="D87" s="181"/>
      <x:c r="E87" s="181"/>
      <x:c r="F87" s="181"/>
      <x:c r="G87" s="181"/>
      <x:c r="H87" s="181"/>
      <x:c r="I87" s="183"/>
      <x:c r="J87" s="183"/>
      <x:c r="K87" s="183"/>
    </x:row>
    <x:row r="88">
      <x:c r="A88" s="181"/>
      <x:c r="B88" s="181"/>
      <x:c r="C88" s="183"/>
      <x:c r="D88" s="181"/>
      <x:c r="E88" s="181"/>
      <x:c r="F88" s="181"/>
      <x:c r="G88" s="181"/>
      <x:c r="H88" s="181"/>
      <x:c r="I88" s="183"/>
      <x:c r="J88" s="183"/>
      <x:c r="K88" s="183"/>
    </x:row>
    <x:row r="89">
      <x:c r="A89" s="181"/>
      <x:c r="B89" s="181"/>
      <x:c r="C89" s="183"/>
      <x:c r="D89" s="181"/>
      <x:c r="E89" s="181"/>
      <x:c r="F89" s="181"/>
      <x:c r="G89" s="181"/>
      <x:c r="H89" s="181"/>
      <x:c r="I89" s="183"/>
      <x:c r="J89" s="183"/>
      <x:c r="K89" s="183"/>
    </x:row>
    <x:row r="90">
      <x:c r="A90" s="181"/>
      <x:c r="B90" s="181"/>
      <x:c r="C90" s="183"/>
      <x:c r="D90" s="181"/>
      <x:c r="E90" s="181"/>
      <x:c r="F90" s="181"/>
      <x:c r="G90" s="181"/>
      <x:c r="H90" s="181"/>
      <x:c r="I90" s="183"/>
      <x:c r="J90" s="183"/>
      <x:c r="K90" s="183"/>
    </x:row>
    <x:row r="91">
      <x:c r="A91" s="181"/>
      <x:c r="B91" s="181"/>
      <x:c r="C91" s="183"/>
      <x:c r="D91" s="181"/>
      <x:c r="E91" s="181"/>
      <x:c r="F91" s="181"/>
      <x:c r="G91" s="181"/>
      <x:c r="H91" s="181"/>
      <x:c r="I91" s="183"/>
      <x:c r="J91" s="183"/>
      <x:c r="K91" s="183"/>
    </x:row>
    <x:row r="92">
      <x:c r="A92" s="181"/>
      <x:c r="B92" s="181"/>
      <x:c r="C92" s="183"/>
      <x:c r="D92" s="181"/>
      <x:c r="E92" s="181"/>
      <x:c r="F92" s="181"/>
      <x:c r="G92" s="181"/>
      <x:c r="H92" s="181"/>
      <x:c r="I92" s="183"/>
      <x:c r="J92" s="183"/>
      <x:c r="K92" s="183"/>
    </x:row>
    <x:row r="93">
      <x:c r="A93" s="181"/>
      <x:c r="B93" s="181"/>
      <x:c r="C93" s="183"/>
      <x:c r="D93" s="181"/>
      <x:c r="E93" s="181"/>
      <x:c r="F93" s="181"/>
      <x:c r="G93" s="181"/>
      <x:c r="H93" s="181"/>
      <x:c r="I93" s="183"/>
      <x:c r="J93" s="183"/>
      <x:c r="K93" s="183"/>
    </x:row>
    <x:row r="94">
      <x:c r="A94" s="181"/>
      <x:c r="B94" s="181"/>
      <x:c r="C94" s="183"/>
      <x:c r="D94" s="181"/>
      <x:c r="E94" s="181"/>
      <x:c r="F94" s="181"/>
      <x:c r="G94" s="181"/>
      <x:c r="H94" s="181"/>
      <x:c r="I94" s="183"/>
      <x:c r="J94" s="183"/>
      <x:c r="K94" s="183"/>
    </x:row>
    <x:row r="95">
      <x:c r="A95" s="181"/>
      <x:c r="B95" s="181"/>
      <x:c r="C95" s="183"/>
      <x:c r="D95" s="181"/>
      <x:c r="E95" s="181"/>
      <x:c r="F95" s="181"/>
      <x:c r="G95" s="181"/>
      <x:c r="H95" s="181"/>
      <x:c r="I95" s="183"/>
      <x:c r="J95" s="183"/>
      <x:c r="K95" s="183"/>
    </x:row>
    <x:row r="96">
      <x:c r="A96" s="181"/>
      <x:c r="B96" s="181"/>
      <x:c r="C96" s="183"/>
      <x:c r="D96" s="181"/>
      <x:c r="E96" s="181"/>
      <x:c r="F96" s="181"/>
      <x:c r="G96" s="181"/>
      <x:c r="H96" s="181"/>
      <x:c r="I96" s="183"/>
      <x:c r="J96" s="183"/>
      <x:c r="K96" s="183"/>
    </x:row>
    <x:row r="97">
      <x:c r="A97" s="181"/>
      <x:c r="B97" s="181"/>
      <x:c r="C97" s="183"/>
      <x:c r="D97" s="181"/>
      <x:c r="E97" s="181"/>
      <x:c r="F97" s="181"/>
      <x:c r="G97" s="181"/>
      <x:c r="H97" s="181"/>
      <x:c r="I97" s="183"/>
      <x:c r="J97" s="183"/>
      <x:c r="K97" s="183"/>
    </x:row>
    <x:row r="98">
      <x:c r="A98" s="181"/>
      <x:c r="B98" s="181"/>
      <x:c r="C98" s="183"/>
      <x:c r="D98" s="181"/>
      <x:c r="E98" s="181"/>
      <x:c r="F98" s="181"/>
      <x:c r="G98" s="181"/>
      <x:c r="H98" s="181"/>
      <x:c r="I98" s="183"/>
      <x:c r="J98" s="183"/>
      <x:c r="K98" s="183"/>
    </x:row>
    <x:row r="99">
      <x:c r="A99" s="181"/>
      <x:c r="B99" s="181"/>
      <x:c r="C99" s="183"/>
      <x:c r="D99" s="181"/>
      <x:c r="E99" s="181"/>
      <x:c r="F99" s="181"/>
      <x:c r="G99" s="181"/>
      <x:c r="H99" s="181"/>
      <x:c r="I99" s="183"/>
      <x:c r="J99" s="183"/>
      <x:c r="K99" s="183"/>
    </x:row>
    <x:row r="100">
      <x:c r="A100" s="181"/>
      <x:c r="B100" s="181"/>
      <x:c r="C100" s="183"/>
      <x:c r="D100" s="181"/>
      <x:c r="E100" s="181"/>
      <x:c r="F100" s="181"/>
      <x:c r="G100" s="181"/>
      <x:c r="H100" s="181"/>
      <x:c r="I100" s="183"/>
      <x:c r="J100" s="183"/>
      <x:c r="K100" s="183"/>
    </x:row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</x:sheetData>
  <x:mergeCells count="5">
    <x:mergeCell ref="A1:K1"/>
    <x:mergeCell ref="A2:B2"/>
    <x:mergeCell ref="C2:D2"/>
    <x:mergeCell ref="E2:I2"/>
    <x:mergeCell ref="J2:K2"/>
  </x:mergeCells>
  <x:pageMargins left="0.7" right="0.7" top="0.75" bottom="0.75" header="0.3" footer="0.3"/>
  <x:drawing r:id="Rbc50b06a98374fff"/>
</x:worksheet>
</file>

<file path=xl/worksheets/sheet10.xml><?xml version="1.0" encoding="utf-8"?>
<x:worksheet xmlns:x="http://schemas.openxmlformats.org/spreadsheetml/2006/main">
  <x:cols>
    <x:col min="1" max="1" width="38" customWidth="1"/>
    <x:col min="2" max="2" width="80" customWidth="1"/>
    <x:col min="3" max="3" width="12" customWidth="1"/>
  </x:cols>
  <x:sheetData>
    <x:row r="1">
      <x:c r="A1" t="inlineStr">
        <x:is>
          <x:t>CATEGORIA</x:t>
        </x:is>
      </x:c>
      <x:c r="B1" t="inlineStr">
        <x:is>
          <x:t>DETALLE TRABAJOS</x:t>
        </x:is>
      </x:c>
      <x:c r="C1" t="inlineStr">
        <x:is>
          <x:t>CNOE</x:t>
        </x:is>
      </x:c>
    </x:row>
    <x:row r="2">
      <x:c r="A2" t="inlineStr">
        <x:is>
          <x:t>A1 RESPI+D</x:t>
        </x:is>
      </x:c>
      <x:c r="B2" t="inlineStr">
        <x:is>
          <x:t>Trabajos de responsabilidad técnica e I+D.</x:t>
        </x:is>
      </x:c>
      <x:c r="C2" t="inlineStr">
        <x:is>
          <x:t>1223</x:t>
        </x:is>
      </x:c>
    </x:row>
    <x:row r="3">
      <x:c r="A3" t="inlineStr">
        <x:is>
          <x:t>A2 T MED P</x:t>
        </x:is>
      </x:c>
      <x:c r="B3" t="inlineStr">
        <x:is>
          <x:t>Trabajos técnicos de grado medio y apoyo profesional.</x:t>
        </x:is>
      </x:c>
      <x:c r="C3" t="inlineStr">
        <x:is>
          <x:t>1223</x:t>
        </x:is>
      </x:c>
    </x:row>
    <x:row r="4">
      <x:c r="A4" t="inlineStr">
        <x:is>
          <x:t>ADJUNTO DIRECCION</x:t>
        </x:is>
      </x:c>
      <x:c r="B4" t="inlineStr">
        <x:is>
          <x:t>Trabajos de apoyo a dirección y coordinación interna.</x:t>
        </x:is>
      </x:c>
      <x:c r="C4" t="inlineStr">
        <x:is>
          <x:t>3132</x:t>
        </x:is>
      </x:c>
    </x:row>
    <x:row r="5">
      <x:c r="A5" t="inlineStr">
        <x:is>
          <x:t>AUX ADMINISTRATIVO</x:t>
        </x:is>
      </x:c>
      <x:c r="B5" t="inlineStr">
        <x:is>
          <x:t>TRABAJOS DE MECANOGRAFÍA, GESTIÓN DOCUMENTAL, ATENCIÓN TELEFÓNICA, ETC</x:t>
        </x:is>
      </x:c>
      <x:c r="C5" t="inlineStr">
        <x:is>
          <x:t>4500</x:t>
        </x:is>
      </x:c>
    </x:row>
    <x:row r="6">
      <x:c r="A6" t="inlineStr">
        <x:is>
          <x:t>AUXILIAR DE CAJA + 18 AÑOS</x:t>
        </x:is>
      </x:c>
      <x:c r="B6" t="inlineStr">
        <x:is>
          <x:t>Trabajos auxiliares de caja y atención al cliente.</x:t>
        </x:is>
      </x:c>
      <x:c r="C6" t="inlineStr">
        <x:is>
          <x:t>5499</x:t>
        </x:is>
      </x:c>
    </x:row>
    <x:row r="7">
      <x:c r="A7" t="inlineStr">
        <x:is>
          <x:t>AUXILIAR DE CLINICA</x:t>
        </x:is>
      </x:c>
      <x:c r="B7" t="inlineStr">
        <x:is>
          <x:t>Trabajos de apoyo clínico y preparación de material.</x:t>
        </x:is>
      </x:c>
      <x:c r="C7" t="inlineStr">
        <x:is>
          <x:t>5612</x:t>
        </x:is>
      </x:c>
    </x:row>
    <x:row r="8">
      <x:c r="A8" t="inlineStr">
        <x:is>
          <x:t>AUXILIAR DE FARMACIA</x:t>
        </x:is>
      </x:c>
      <x:c r="B8" t="inlineStr">
        <x:is>
          <x:t>AYUDA EN TRABAJOS DE DISPENSACION Y VENTA DE PRODUCTOS FARMACEUTOS Y ATENCION AL CLIENTE</x:t>
        </x:is>
      </x:c>
      <x:c r="C8" t="inlineStr">
        <x:is>
          <x:t>5621</x:t>
        </x:is>
      </x:c>
    </x:row>
    <x:row r="9">
      <x:c r="A9" t="inlineStr">
        <x:is>
          <x:t>AUXILIAR DE SERVICIOS</x:t>
        </x:is>
      </x:c>
      <x:c r="B9" t="inlineStr">
        <x:is>
          <x:t>ACOMPAÑAMIENTO EN TRANSPORTE PARA PERSONAS CON CAPACIDADES ESPECIALES EN TRANSPORTE MIENTRAS DURE EL CURSO ESCOLAR</x:t>
        </x:is>
      </x:c>
      <x:c r="C9" t="inlineStr">
        <x:is>
          <x:t>5999</x:t>
        </x:is>
      </x:c>
    </x:row>
    <x:row r="10">
      <x:c r="A10" t="inlineStr">
        <x:is>
          <x:t>AYUDANTE CAMARERO</x:t>
        </x:is>
      </x:c>
      <x:c r="B10" t="inlineStr">
        <x:is>
          <x:t>Trabajos de apoyo en sala, barra y limpieza.</x:t>
        </x:is>
      </x:c>
      <x:c r="C10" t="inlineStr">
        <x:is>
          <x:t>5120</x:t>
        </x:is>
      </x:c>
    </x:row>
    <x:row r="11">
      <x:c r="A11" t="inlineStr">
        <x:is>
          <x:t>AYUDANTE COCINERO</x:t>
        </x:is>
      </x:c>
      <x:c r="B11" t="inlineStr">
        <x:is>
          <x:t>Trabajos de apoyo en cocina, preparación y limpieza.</x:t>
        </x:is>
      </x:c>
      <x:c r="C11" t="inlineStr">
        <x:is>
          <x:t>9310</x:t>
        </x:is>
      </x:c>
    </x:row>
    <x:row r="12">
      <x:c r="A12" t="inlineStr">
        <x:is>
          <x:t>AYUDANTE DE COCINA</x:t>
        </x:is>
      </x:c>
      <x:c r="B12" t="inlineStr">
        <x:is>
          <x:t>TRABAJOS DE AYUDA AL COCINERO EN LABORES COMO ELABORACIÓN DE PLATOS, LIMPIEZA, ETC.</x:t>
        </x:is>
      </x:c>
      <x:c r="C12" t="inlineStr">
        <x:is>
          <x:t>9310</x:t>
        </x:is>
      </x:c>
    </x:row>
    <x:row r="13">
      <x:c r="A13" t="inlineStr">
        <x:is>
          <x:t>AYUDANTE DE DEPENDIENTE</x:t>
        </x:is>
      </x:c>
      <x:c r="B13" t="inlineStr">
        <x:is>
          <x:t>Trabajos de apoyo en venta, reposición y atención.</x:t>
        </x:is>
      </x:c>
      <x:c r="C13" t="inlineStr">
        <x:is>
          <x:t>5220</x:t>
        </x:is>
      </x:c>
    </x:row>
    <x:row r="14">
      <x:c r="A14" t="inlineStr">
        <x:is>
          <x:t>AYUDANTE FLORISTA          GIV</x:t>
        </x:is>
      </x:c>
      <x:c r="B14" t="inlineStr">
        <x:is>
          <x:t>Trabajos de preparación floral y apoyo en tienda.</x:t>
        </x:is>
      </x:c>
      <x:c r="C14" t="inlineStr">
        <x:is>
          <x:t>3142</x:t>
        </x:is>
      </x:c>
    </x:row>
    <x:row r="15">
      <x:c r="A15" t="inlineStr">
        <x:is>
          <x:t>C1 RSP. VTAS</x:t>
        </x:is>
      </x:c>
      <x:c r="B15" t="inlineStr">
        <x:is>
          <x:t>Trabajos de responsabilidad y seguimiento de ventas.</x:t>
        </x:is>
      </x:c>
      <x:c r="C15" t="inlineStr">
        <x:is>
          <x:t>4500</x:t>
        </x:is>
      </x:c>
    </x:row>
    <x:row r="16">
      <x:c r="A16" t="inlineStr">
        <x:is>
          <x:t>C2 ENC PROD</x:t>
        </x:is>
      </x:c>
      <x:c r="B16" t="inlineStr">
        <x:is>
          <x:t>Trabajos de encargado de producción y control operativo.</x:t>
        </x:is>
      </x:c>
      <x:c r="C16" t="inlineStr">
        <x:is>
          <x:t>1311</x:t>
        </x:is>
      </x:c>
    </x:row>
    <x:row r="17">
      <x:c r="A17" t="inlineStr">
        <x:is>
          <x:t>CAMARERO</x:t>
        </x:is>
      </x:c>
      <x:c r="B17" t="inlineStr">
        <x:is>
          <x:t>TAREAS DE ATENCION Y VENTA AL CLIENTE TANTO EN MESA COMO EN BARRA, RECOGER MESAS, TOMAR COMANDAS Y COBRO</x:t>
        </x:is>
      </x:c>
      <x:c r="C17" t="inlineStr">
        <x:is>
          <x:t>5120</x:t>
        </x:is>
      </x:c>
    </x:row>
    <x:row r="18">
      <x:c r="A18" t="inlineStr">
        <x:is>
          <x:t>COCINERO</x:t>
        </x:is>
      </x:c>
      <x:c r="B18" t="inlineStr">
        <x:is>
          <x:t>TRABAJOS DE PREPARACION DE ALIMENTOS Y ELABORACION DE PLATOS Y DEMAS FUNCIONES QUE REQUIERA SU PUESTO</x:t>
        </x:is>
      </x:c>
      <x:c r="C18" t="inlineStr">
        <x:is>
          <x:t>5110</x:t>
        </x:is>
      </x:c>
    </x:row>
    <x:row r="19">
      <x:c r="A19" t="inlineStr">
        <x:is>
          <x:t>COMERCIAL</x:t>
        </x:is>
      </x:c>
      <x:c r="B19" t="inlineStr">
        <x:is>
          <x:t>Trabajos comerciales de captación, venta y seguimiento.</x:t>
        </x:is>
      </x:c>
      <x:c r="C19" t="inlineStr">
        <x:is>
          <x:t>3510</x:t>
        </x:is>
      </x:c>
    </x:row>
    <x:row r="20">
      <x:c r="A20" t="inlineStr">
        <x:is>
          <x:t>CONDUCTOR</x:t>
        </x:is>
      </x:c>
      <x:c r="B20" t="inlineStr">
        <x:is>
          <x:t>Trabajos de conducción de vehículos de empresa.</x:t>
        </x:is>
      </x:c>
      <x:c r="C20" t="inlineStr">
        <x:is>
          <x:t>8432</x:t>
        </x:is>
      </x:c>
    </x:row>
    <x:row r="21">
      <x:c r="A21" t="inlineStr">
        <x:is>
          <x:t>CONDUCTOR - REPARTIDOR</x:t>
        </x:is>
      </x:c>
      <x:c r="B21" t="inlineStr">
        <x:is>
          <x:t>Trabajos de conducción, reparto y entrega de mercancía.</x:t>
        </x:is>
      </x:c>
      <x:c r="C21" t="inlineStr">
        <x:is>
          <x:t>8432</x:t>
        </x:is>
      </x:c>
    </x:row>
    <x:row r="22">
      <x:c r="A22" t="inlineStr">
        <x:is>
          <x:t>CONDUCTOR-REPARTIDOR</x:t>
        </x:is>
      </x:c>
      <x:c r="B22" t="inlineStr">
        <x:is>
          <x:t>TAREAS DE REALIZACION DE TRANSPORTE Y REPARTO DE MERCANCIA, REPONER MÁQUINAS EXPENDEDORAS, ETC.</x:t>
        </x:is>
      </x:c>
      <x:c r="C22" t="inlineStr">
        <x:is>
          <x:t>8412</x:t>
        </x:is>
      </x:c>
    </x:row>
    <x:row r="23">
      <x:c r="A23" t="inlineStr">
        <x:is>
          <x:t>CONSEJERO DELEGADO</x:t>
        </x:is>
      </x:c>
      <x:c r="B23" t="inlineStr">
        <x:is>
          <x:t>Trabajos de dirección ejecutiva y representación empresarial.</x:t>
        </x:is>
      </x:c>
      <x:c r="C23" t="inlineStr">
        <x:is>
          <x:t>1431</x:t>
        </x:is>
      </x:c>
    </x:row>
    <x:row r="24">
      <x:c r="A24" t="inlineStr">
        <x:is>
          <x:t>CONTABLE</x:t>
        </x:is>
      </x:c>
      <x:c r="B24" t="inlineStr">
        <x:is>
          <x:t>Trabajos de contabilidad, registros y control económico.</x:t>
        </x:is>
      </x:c>
      <x:c r="C24" t="inlineStr">
        <x:is>
          <x:t>4111</x:t>
        </x:is>
      </x:c>
    </x:row>
    <x:row r="25">
      <x:c r="A25" t="inlineStr">
        <x:is>
          <x:t>COORDINADOR/A               G1</x:t>
        </x:is>
      </x:c>
      <x:c r="B25" t="inlineStr">
        <x:is>
          <x:t>Trabajos de coordinación de equipos, servicios o proyectos.</x:t>
        </x:is>
      </x:c>
      <x:c r="C25" t="inlineStr">
        <x:is>
          <x:t>2824</x:t>
        </x:is>
      </x:c>
    </x:row>
    <x:row r="26">
      <x:c r="A26" t="inlineStr">
        <x:is>
          <x:t>DEPENDIENTE</x:t>
        </x:is>
      </x:c>
      <x:c r="B26" t="inlineStr">
        <x:is>
          <x:t>TRABAJOS DE ATENCION Y VENTA AL CLIENTE, ASÍ COMO CONTROL, MARCAJE Y ACONDICIONAMIENTO DE LA MERCANCÍA</x:t>
        </x:is>
      </x:c>
      <x:c r="C26" t="inlineStr">
        <x:is>
          <x:t>5220</x:t>
        </x:is>
      </x:c>
    </x:row>
    <x:row r="27">
      <x:c r="A27" t="inlineStr">
        <x:is>
          <x:t>DIBUJANTE</x:t>
        </x:is>
      </x:c>
      <x:c r="B27" t="inlineStr">
        <x:is>
          <x:t>Trabajos de dibujo técnico, planos y documentación gráfica.</x:t>
        </x:is>
      </x:c>
      <x:c r="C27" t="inlineStr">
        <x:is>
          <x:t>2824</x:t>
        </x:is>
      </x:c>
    </x:row>
    <x:row r="28">
      <x:c r="A28" t="inlineStr">
        <x:is>
          <x:t>DIRECTOR</x:t>
        </x:is>
      </x:c>
      <x:c r="B28" t="inlineStr">
        <x:is>
          <x:t>Trabajos de dirección, organización y supervisión general.</x:t>
        </x:is>
      </x:c>
      <x:c r="C28" t="inlineStr">
        <x:is>
          <x:t>1329</x:t>
        </x:is>
      </x:c>
    </x:row>
    <x:row r="29">
      <x:c r="A29" t="inlineStr">
        <x:is>
          <x:t>E ENC OPER</x:t>
        </x:is>
      </x:c>
      <x:c r="B29" t="inlineStr">
        <x:is>
          <x:t>Trabajos de encargado de operaciones y coordinación diaria.</x:t>
        </x:is>
      </x:c>
      <x:c r="C29" t="inlineStr">
        <x:is>
          <x:t>9511</x:t>
        </x:is>
      </x:c>
    </x:row>
    <x:row r="30">
      <x:c r="A30" t="inlineStr">
        <x:is>
          <x:t>E OP PROD</x:t>
        </x:is>
      </x:c>
      <x:c r="B30" t="inlineStr">
        <x:is>
          <x:t>Trabajos operativos de producción y apoyo en procesos.</x:t>
        </x:is>
      </x:c>
      <x:c r="C30" t="inlineStr">
        <x:is>
          <x:t>9511</x:t>
        </x:is>
      </x:c>
    </x:row>
    <x:row r="31">
      <x:c r="A31" t="inlineStr">
        <x:is>
          <x:t>ENCARGADO</x:t>
        </x:is>
      </x:c>
      <x:c r="B31" t="inlineStr">
        <x:is>
          <x:t>Trabajos de supervisión de personal y organización de tareas.</x:t>
        </x:is>
      </x:c>
      <x:c r="C31" t="inlineStr">
        <x:is>
          <x:t>5210</x:t>
        </x:is>
      </x:c>
    </x:row>
    <x:row r="32">
      <x:c r="A32" t="inlineStr">
        <x:is>
          <x:t>ENCARGADO CALIDAD</x:t>
        </x:is>
      </x:c>
      <x:c r="B32" t="inlineStr">
        <x:is>
          <x:t>Trabajos de control de calidad y verificación de procesos.</x:t>
        </x:is>
      </x:c>
      <x:c r="C32" t="inlineStr">
        <x:is>
          <x:t>3160</x:t>
        </x:is>
      </x:c>
    </x:row>
    <x:row r="33">
      <x:c r="A33" t="inlineStr">
        <x:is>
          <x:t>ENCARGADO ESTABLECIMIENTO</x:t>
        </x:is>
      </x:c>
      <x:c r="B33" t="inlineStr">
        <x:is>
          <x:t>SUPERVISION Y COORDINACION GARANTIZANDO EL CORRECTO FUNCIONAMIENTO DEL PUNTO DE VENTA Y LA ADECUADA GESTIÓN DE LA MERCANCÍA Y ATENCIÓN AL CLIENTE</x:t>
        </x:is>
      </x:c>
      <x:c r="C33" t="inlineStr">
        <x:is>
          <x:t>5210</x:t>
        </x:is>
      </x:c>
    </x:row>
    <x:row r="34">
      <x:c r="A34" t="inlineStr">
        <x:is>
          <x:t>ESTETICISTA GIII</x:t>
        </x:is>
      </x:c>
      <x:c r="B34" t="inlineStr">
        <x:is>
          <x:t>Trabajos de tratamientos estéticos y atención personalizada.</x:t>
        </x:is>
      </x:c>
      <x:c r="C34" t="inlineStr">
        <x:is>
          <x:t>5812</x:t>
        </x:is>
      </x:c>
    </x:row>
    <x:row r="35">
      <x:c r="A35" t="inlineStr">
        <x:is>
          <x:t>EXPENDEDOR-VENDEDOR</x:t>
        </x:is>
      </x:c>
      <x:c r="B35" t="inlineStr">
        <x:is>
          <x:t>TRABAJOS DE ATENCION Y VENTA AL CLIENTE, ASÍ COMO SUMINISTRO DE COMBUSTIBLE EN PISTA</x:t>
        </x:is>
      </x:c>
      <x:c r="C35" t="inlineStr">
        <x:is>
          <x:t>5430</x:t>
        </x:is>
      </x:c>
    </x:row>
    <x:row r="36">
      <x:c r="A36" t="inlineStr">
        <x:is>
          <x:t>FARMACEUTICO</x:t>
        </x:is>
      </x:c>
      <x:c r="B36" t="inlineStr">
        <x:is>
          <x:t>TRABAJOS DE SUMINISTRO DE MEDICAMENTOS EN LA FARMACIA, ATENDER CLIENTES, COBRO, CONTROL DE STOCK, ENTREGA Y RECOGIDA DE MERCANCIA Y REGISTRO DE RECETAS</x:t>
        </x:is>
      </x:c>
      <x:c r="C36" t="inlineStr">
        <x:is>
          <x:t>2140</x:t>
        </x:is>
      </x:c>
    </x:row>
    <x:row r="37">
      <x:c r="A37" t="inlineStr">
        <x:is>
          <x:t>GEROCULTOR</x:t>
        </x:is>
      </x:c>
      <x:c r="B37" t="inlineStr">
        <x:is>
          <x:t>TRABAJOS DE ATENCIÓN Y CUIDADO A LOS PACIENTES EN LA CLÍNICA, LABORES DE LAVANDERÍA, COCINA Y LIMPIEZA EN GENERAL DE LAS INSTALACIONES</x:t>
        </x:is>
      </x:c>
      <x:c r="C37" t="inlineStr">
        <x:is>
          <x:t>5629</x:t>
        </x:is>
      </x:c>
    </x:row>
    <x:row r="38">
      <x:c r="A38" t="inlineStr">
        <x:is>
          <x:t>GRUISTA</x:t>
        </x:is>
      </x:c>
      <x:c r="B38" t="inlineStr">
        <x:is>
          <x:t>Trabajos de manejo de grúa, carga y descarga.</x:t>
        </x:is>
      </x:c>
      <x:c r="C38" t="inlineStr">
        <x:is>
          <x:t>7702</x:t>
        </x:is>
      </x:c>
    </x:row>
    <x:row r="39">
      <x:c r="A39" t="inlineStr">
        <x:is>
          <x:t>HIGIENISTA</x:t>
        </x:is>
      </x:c>
      <x:c r="B39" t="inlineStr">
        <x:is>
          <x:t>Trabajos de higiene bucodental y apoyo odontológico.</x:t>
        </x:is>
      </x:c>
      <x:c r="C39" t="inlineStr">
        <x:is>
          <x:t>5611</x:t>
        </x:is>
      </x:c>
    </x:row>
    <x:row r="40">
      <x:c r="A40" t="inlineStr">
        <x:is>
          <x:t>INGENIEROS-ARQUITECTOS-LICENCI</x:t>
        </x:is>
      </x:c>
      <x:c r="B40" t="inlineStr">
        <x:is>
          <x:t>Trabajos técnicos superiores de ingeniería, arquitectura o licenciatura.</x:t>
        </x:is>
      </x:c>
      <x:c r="C40" t="inlineStr">
        <x:is>
          <x:t>2432</x:t>
        </x:is>
      </x:c>
    </x:row>
    <x:row r="41">
      <x:c r="A41" t="inlineStr">
        <x:is>
          <x:t>INSTALADOR DE MATERIAL AISLANTE TERMICO Y SONORO</x:t>
        </x:is>
      </x:c>
      <x:c r="B41" t="inlineStr">
        <x:is>
          <x:t>INSTALAR, AJUSTAR Y MANTENER MATERIALES DE AISLAMIENTO TÉRMICO Y ACÚSTICO</x:t>
        </x:is>
      </x:c>
      <x:c r="C41" t="inlineStr">
        <x:is>
          <x:t>7292</x:t>
        </x:is>
      </x:c>
    </x:row>
    <x:row r="42">
      <x:c r="A42" t="inlineStr">
        <x:is>
          <x:t>INSTRUCTOR O EXPERTO</x:t>
        </x:is>
      </x:c>
      <x:c r="B42" t="inlineStr">
        <x:is>
          <x:t>Trabajos de formación, instrucción y asesoramiento práctico.</x:t>
        </x:is>
      </x:c>
      <x:c r="C42" t="inlineStr">
        <x:is>
          <x:t>2329</x:t>
        </x:is>
      </x:c>
    </x:row>
    <x:row r="43">
      <x:c r="A43" t="inlineStr">
        <x:is>
          <x:t>INTERPRETE DE LENGUA DE SIGNOS</x:t>
        </x:is>
      </x:c>
      <x:c r="B43" t="inlineStr">
        <x:is>
          <x:t>Trabajos de interpretación en lengua de signos y comunicación.</x:t>
        </x:is>
      </x:c>
      <x:c r="C43" t="inlineStr">
        <x:is>
          <x:t>2923</x:t>
        </x:is>
      </x:c>
    </x:row>
    <x:row r="44">
      <x:c r="A44" t="inlineStr">
        <x:is>
          <x:t>JEFE DE 1ª</x:t>
        </x:is>
      </x:c>
      <x:c r="B44" t="inlineStr">
        <x:is>
          <x:t>Trabajos de jefatura de primera y supervisión operativa.</x:t>
        </x:is>
      </x:c>
      <x:c r="C44" t="inlineStr">
        <x:is>
          <x:t>3202</x:t>
        </x:is>
      </x:c>
    </x:row>
    <x:row r="45">
      <x:c r="A45" t="inlineStr">
        <x:is>
          <x:t>JEFE DE 2ª</x:t>
        </x:is>
      </x:c>
      <x:c r="B45" t="inlineStr">
        <x:is>
          <x:t>Trabajos de jefatura de segunda y apoyo a supervisión.</x:t>
        </x:is>
      </x:c>
      <x:c r="C45" t="inlineStr">
        <x:is>
          <x:t>3202</x:t>
        </x:is>
      </x:c>
    </x:row>
    <x:row r="46">
      <x:c r="A46" t="inlineStr">
        <x:is>
          <x:t>JEFE DE TALLER</x:t>
        </x:is>
      </x:c>
      <x:c r="B46" t="inlineStr">
        <x:is>
          <x:t>Trabajos de organización de taller y control de trabajos.</x:t>
        </x:is>
      </x:c>
      <x:c r="C46" t="inlineStr">
        <x:is>
          <x:t>3151</x:t>
        </x:is>
      </x:c>
    </x:row>
    <x:row r="47">
      <x:c r="A47" t="inlineStr">
        <x:is>
          <x:t>JEFE DE VENTAS</x:t>
        </x:is>
      </x:c>
      <x:c r="B47" t="inlineStr">
        <x:is>
          <x:t>Trabajos de dirección comercial y coordinación de ventas.</x:t>
        </x:is>
      </x:c>
      <x:c r="C47" t="inlineStr">
        <x:is>
          <x:t>5220</x:t>
        </x:is>
      </x:c>
    </x:row>
    <x:row r="48">
      <x:c r="A48" t="inlineStr">
        <x:is>
          <x:t>JEFE SECCION</x:t>
        </x:is>
      </x:c>
      <x:c r="B48" t="inlineStr">
        <x:is>
          <x:t>Trabajos de gestión y control de una sección.</x:t>
        </x:is>
      </x:c>
      <x:c r="C48" t="inlineStr">
        <x:is>
          <x:t>7401</x:t>
        </x:is>
      </x:c>
    </x:row>
    <x:row r="49">
      <x:c r="A49" t="inlineStr">
        <x:is>
          <x:t>LIMPIADOR/A</x:t>
        </x:is>
      </x:c>
      <x:c r="B49" t="inlineStr">
        <x:is>
          <x:t>Trabajos de limpieza, orden e higiene de instalaciones.</x:t>
        </x:is>
      </x:c>
      <x:c r="C49" t="inlineStr">
        <x:is>
          <x:t>9210</x:t>
        </x:is>
      </x:c>
    </x:row>
    <x:row r="50">
      <x:c r="A50" t="inlineStr">
        <x:is>
          <x:t>LOGOPEDA</x:t>
        </x:is>
      </x:c>
      <x:c r="B50" t="inlineStr">
        <x:is>
          <x:t>Trabajos de evaluación, tratamiento y apoyo logopédico.</x:t>
        </x:is>
      </x:c>
      <x:c r="C50" t="inlineStr">
        <x:is>
          <x:t>2923</x:t>
        </x:is>
      </x:c>
    </x:row>
    <x:row r="51">
      <x:c r="A51" t="inlineStr">
        <x:is>
          <x:t>MECANICOS Y AJUSTADORES DE VEHÍCULOS</x:t>
        </x:is>
      </x:c>
      <x:c r="B51" t="inlineStr">
        <x:is>
          <x:t>DIAGNOSTICO Y REPARACIÓN DE AVERÍAS, MANTENIMIENTO PREVENTIVO Y CORRECTIVO, APLICACIÓN DE LOS CONOCIMIENTOS TÉCNICOS EN MECÁNICA Y ATENCIÓN AL CLIENTE</x:t>
        </x:is>
      </x:c>
      <x:c r="C51" t="inlineStr">
        <x:is>
          <x:t>7401</x:t>
        </x:is>
      </x:c>
    </x:row>
    <x:row r="52">
      <x:c r="A52" t="inlineStr">
        <x:is>
          <x:t>MEDIADOR COMUNICATIVO</x:t>
        </x:is>
      </x:c>
      <x:c r="B52" t="inlineStr">
        <x:is>
          <x:t>Trabajos de mediación comunicativa y apoyo a la comunicación.</x:t>
        </x:is>
      </x:c>
      <x:c r="C52" t="inlineStr">
        <x:is>
          <x:t>2824</x:t>
        </x:is>
      </x:c>
    </x:row>
    <x:row r="53">
      <x:c r="A53" t="inlineStr">
        <x:is>
          <x:t>MEDICO RM</x:t>
        </x:is>
      </x:c>
      <x:c r="B53" t="inlineStr">
        <x:is>
          <x:t>BRINDAR ATENCIÓN MÉDICA INTEGRAL PARA DIAGNOSTICAR, TRATAR Y PREVENIR ENFERMEDADES, ASÍ COMO PROMOVER Y RECUPERAR LA SALUD DE LOS PACIENTES</x:t>
        </x:is>
      </x:c>
      <x:c r="C53" t="inlineStr">
        <x:is>
          <x:t>2112</x:t>
        </x:is>
      </x:c>
    </x:row>
    <x:row r="54">
      <x:c r="A54" t="inlineStr">
        <x:is>
          <x:t>MOZO DE ALMACÉN-REPARTIDOR</x:t>
        </x:is>
      </x:c>
      <x:c r="B54" t="inlineStr">
        <x:is>
          <x:t>Trabajos de almacén, carga, reparto y entrega.</x:t>
        </x:is>
      </x:c>
      <x:c r="C54" t="inlineStr">
        <x:is>
          <x:t>9811</x:t>
        </x:is>
      </x:c>
    </x:row>
    <x:row r="55">
      <x:c r="A55" t="inlineStr">
        <x:is>
          <x:t>ODONTOLOGO/A</x:t>
        </x:is>
      </x:c>
      <x:c r="B55" t="inlineStr">
        <x:is>
          <x:t>Trabajos odontológicos de diagnóstico, tratamiento y atención.</x:t>
        </x:is>
      </x:c>
      <x:c r="C55" t="inlineStr">
        <x:is>
          <x:t>2151</x:t>
        </x:is>
      </x:c>
    </x:row>
    <x:row r="56">
      <x:c r="A56" t="inlineStr">
        <x:is>
          <x:t>OFICIAL 1 CONSTRUCCION</x:t>
        </x:is>
      </x:c>
      <x:c r="B56" t="inlineStr">
        <x:is>
          <x:t>Trabajos de construcción de primera y ejecución especializada.</x:t>
        </x:is>
      </x:c>
      <x:c r="C56" t="inlineStr">
        <x:is>
          <x:t>7121</x:t>
        </x:is>
      </x:c>
    </x:row>
    <x:row r="57">
      <x:c r="A57" t="inlineStr">
        <x:is>
          <x:t>OFICIAL 1 MONTADOR</x:t>
        </x:is>
      </x:c>
      <x:c r="B57" t="inlineStr">
        <x:is>
          <x:t>Trabajos de montaje especializado y ajuste de instalaciones.</x:t>
        </x:is>
      </x:c>
      <x:c r="C57" t="inlineStr">
        <x:is>
          <x:t>8209</x:t>
        </x:is>
      </x:c>
    </x:row>
    <x:row r="58">
      <x:c r="A58" t="inlineStr">
        <x:is>
          <x:t>OFICIAL 1ª</x:t>
        </x:is>
      </x:c>
      <x:c r="B58" t="inlineStr">
        <x:is>
          <x:t>Trabajos de oficial de primera en tareas cualificadas.</x:t>
        </x:is>
      </x:c>
      <x:c r="C58" t="inlineStr">
        <x:is>
          <x:t>3123</x:t>
        </x:is>
      </x:c>
    </x:row>
    <x:row r="59">
      <x:c r="A59" t="inlineStr">
        <x:is>
          <x:t>OFICIAL 1ª (PROF OFICIO)</x:t>
        </x:is>
      </x:c>
      <x:c r="B59" t="inlineStr">
        <x:is>
          <x:t>TRABAJOS DE APOYO EN FABRICACION, MANTENIMIENTO Y REPARACIÓN DE MAQUINARIA</x:t>
        </x:is>
      </x:c>
      <x:c r="C59" t="inlineStr">
        <x:is>
          <x:t>7401</x:t>
        </x:is>
      </x:c>
    </x:row>
    <x:row r="60">
      <x:c r="A60" t="inlineStr">
        <x:is>
          <x:t>OFICIAL 1º CRISTALERO</x:t>
        </x:is>
      </x:c>
      <x:c r="B60" t="inlineStr">
        <x:is>
          <x:t>Trabajos de limpieza y montaje especializado de cristales.</x:t>
        </x:is>
      </x:c>
      <x:c r="C60" t="inlineStr">
        <x:is>
          <x:t>7293</x:t>
        </x:is>
      </x:c>
    </x:row>
    <x:row r="61">
      <x:c r="A61" t="inlineStr">
        <x:is>
          <x:t>OFICIAL 1º MECANICO</x:t>
        </x:is>
      </x:c>
      <x:c r="B61" t="inlineStr">
        <x:is>
          <x:t>Trabajos mecánicos de diagnóstico, reparación y mantenimiento.</x:t>
        </x:is>
      </x:c>
      <x:c r="C61" t="inlineStr">
        <x:is>
          <x:t>7401</x:t>
        </x:is>
      </x:c>
    </x:row>
    <x:row r="62">
      <x:c r="A62" t="inlineStr">
        <x:is>
          <x:t>OFICIAL 1º PROF DE OFICIO</x:t>
        </x:is>
      </x:c>
      <x:c r="B62" t="inlineStr">
        <x:is>
          <x:t>REPARACIONES, INSTALACIONES Y MANTENIMIENTO DE AIRE ACONDICIONADO</x:t>
        </x:is>
      </x:c>
      <x:c r="C62" t="inlineStr">
        <x:is>
          <x:t>7250</x:t>
        </x:is>
      </x:c>
    </x:row>
    <x:row r="63">
      <x:c r="A63" t="inlineStr">
        <x:is>
          <x:t>OFICIAL 2 CONSTRUCCION</x:t>
        </x:is>
      </x:c>
      <x:c r="B63" t="inlineStr">
        <x:is>
          <x:t>Trabajos de construcción de segunda y apoyo especializado.</x:t>
        </x:is>
      </x:c>
      <x:c r="C63" t="inlineStr">
        <x:is>
          <x:t>7121</x:t>
        </x:is>
      </x:c>
    </x:row>
    <x:row r="64">
      <x:c r="A64" t="inlineStr">
        <x:is>
          <x:t>OFICIAL 2ª (PROF.DE OFICIO)</x:t>
        </x:is>
      </x:c>
      <x:c r="B64" t="inlineStr">
        <x:is>
          <x:t>Trabajos del oficio con cualificación de segunda.</x:t>
        </x:is>
      </x:c>
      <x:c r="C64" t="inlineStr">
        <x:is>
          <x:t>7401</x:t>
        </x:is>
      </x:c>
    </x:row>
    <x:row r="65">
      <x:c r="A65" t="inlineStr">
        <x:is>
          <x:t>OFICIAL 2º CRISTALERO</x:t>
        </x:is>
      </x:c>
      <x:c r="B65" t="inlineStr">
        <x:is>
          <x:t>Trabajos de apoyo especializado en cristalería.</x:t>
        </x:is>
      </x:c>
      <x:c r="C65" t="inlineStr">
        <x:is>
          <x:t>7293</x:t>
        </x:is>
      </x:c>
    </x:row>
    <x:row r="66">
      <x:c r="A66" t="inlineStr">
        <x:is>
          <x:t>OFICIAL 2º MECANICO</x:t>
        </x:is>
      </x:c>
      <x:c r="B66" t="inlineStr">
        <x:is>
          <x:t>Trabajos mecánicos de reparación y mantenimiento auxiliar.</x:t>
        </x:is>
      </x:c>
      <x:c r="C66" t="inlineStr">
        <x:is>
          <x:t>7401</x:t>
        </x:is>
      </x:c>
    </x:row>
    <x:row r="67">
      <x:c r="A67" t="inlineStr">
        <x:is>
          <x:t>OFICIAL 3ª (PROF.DE OFICIO)</x:t>
        </x:is>
      </x:c>
      <x:c r="B67" t="inlineStr">
        <x:is>
          <x:t>Trabajos básicos del oficio con apoyo técnico.</x:t>
        </x:is>
      </x:c>
      <x:c r="C67" t="inlineStr">
        <x:is>
          <x:t>7401</x:t>
        </x:is>
      </x:c>
    </x:row>
    <x:row r="68">
      <x:c r="A68" t="inlineStr">
        <x:is>
          <x:t>OFICIAL ADMINISTRATIVO</x:t>
        </x:is>
      </x:c>
      <x:c r="B68" t="inlineStr">
        <x:is>
          <x:t>Trabajos administrativos cualificados y gestión de expedientes.</x:t>
        </x:is>
      </x:c>
      <x:c r="C68" t="inlineStr">
        <x:is>
          <x:t>4500</x:t>
        </x:is>
      </x:c>
    </x:row>
    <x:row r="69">
      <x:c r="A69" t="inlineStr">
        <x:is>
          <x:t>OFICIAL DE TALLER 1ª</x:t>
        </x:is>
      </x:c>
      <x:c r="B69" t="inlineStr">
        <x:is>
          <x:t>Trabajos de taller de primera y reparación especializada.</x:t>
        </x:is>
      </x:c>
      <x:c r="C69" t="inlineStr">
        <x:is>
          <x:t>7401</x:t>
        </x:is>
      </x:c>
    </x:row>
    <x:row r="70">
      <x:c r="A70" t="inlineStr">
        <x:is>
          <x:t>OFICIAL DE TALLER 2º</x:t>
        </x:is>
      </x:c>
      <x:c r="B70" t="inlineStr">
        <x:is>
          <x:t>Trabajos de taller de segunda y apoyo a reparaciones.</x:t>
        </x:is>
      </x:c>
      <x:c r="C70" t="inlineStr">
        <x:is>
          <x:t>7401</x:t>
        </x:is>
      </x:c>
    </x:row>
    <x:row r="71">
      <x:c r="A71" t="inlineStr">
        <x:is>
          <x:t>PELUQUERO/A GIII</x:t>
        </x:is>
      </x:c>
      <x:c r="B71" t="inlineStr">
        <x:is>
          <x:t>Trabajos de peluquería, corte, peinado y atención.</x:t>
        </x:is>
      </x:c>
      <x:c r="C71" t="inlineStr">
        <x:is>
          <x:t>5811</x:t>
        </x:is>
      </x:c>
    </x:row>
    <x:row r="72">
      <x:c r="A72" t="inlineStr">
        <x:is>
          <x:t>PEON</x:t>
        </x:is>
      </x:c>
      <x:c r="B72" t="inlineStr">
        <x:is>
          <x:t>TAREAS EN LA ELABORACION DE PRODUCTOS</x:t>
        </x:is>
      </x:c>
      <x:c r="C72" t="inlineStr">
        <x:is>
          <x:t>9700</x:t>
        </x:is>
      </x:c>
    </x:row>
    <x:row r="73">
      <x:c r="A73" t="inlineStr">
        <x:is>
          <x:t>PEON ACUICOLA</x:t>
        </x:is>
      </x:c>
      <x:c r="B73" t="inlineStr">
        <x:is>
          <x:t>Trabajos auxiliares en cultivo, manejo y producción acuícola.</x:t>
        </x:is>
      </x:c>
      <x:c r="C73" t="inlineStr">
        <x:is>
          <x:t>9542</x:t>
        </x:is>
      </x:c>
    </x:row>
    <x:row r="74">
      <x:c r="A74" t="inlineStr">
        <x:is>
          <x:t>PEON AGRARIO</x:t>
        </x:is>
      </x:c>
      <x:c r="B74" t="inlineStr">
        <x:is>
          <x:t>PREPARAR EL TERRENO PARA SEMBRAR Y PLANTAR CULTIVOS DE HORTALIZAS Y VEGETALES A MANO O CON PEQUEÑA MAQUINARIA EN LA FINCA DE LA EMPRESA</x:t>
        </x:is>
      </x:c>
      <x:c r="C74" t="inlineStr">
        <x:is>
          <x:t>9511</x:t>
        </x:is>
      </x:c>
    </x:row>
    <x:row r="75">
      <x:c r="A75" t="inlineStr">
        <x:is>
          <x:t>PEON CONSTRUCCION</x:t>
        </x:is>
      </x:c>
      <x:c r="B75" t="inlineStr">
        <x:is>
          <x:t>Trabajos básicos de obra, carga y apoyo en construcción.</x:t>
        </x:is>
      </x:c>
      <x:c r="C75" t="inlineStr">
        <x:is>
          <x:t>9602</x:t>
        </x:is>
      </x:c>
    </x:row>
    <x:row r="76">
      <x:c r="A76" t="inlineStr">
        <x:is>
          <x:t>PEON MANUFACTURA</x:t>
        </x:is>
      </x:c>
      <x:c r="B76" t="inlineStr">
        <x:is>
          <x:t>Trabajos de producción, manipulado y apoyo en fabricación.</x:t>
        </x:is>
      </x:c>
      <x:c r="C76" t="inlineStr">
        <x:is>
          <x:t>9700</x:t>
        </x:is>
      </x:c>
    </x:row>
    <x:row r="77">
      <x:c r="A77" t="inlineStr">
        <x:is>
          <x:t>PEON REPARTIDOR</x:t>
        </x:is>
      </x:c>
      <x:c r="B77" t="inlineStr">
        <x:is>
          <x:t>Trabajos de reparto, carga y apoyo logístico.</x:t>
        </x:is>
      </x:c>
      <x:c r="C77" t="inlineStr">
        <x:is>
          <x:t>9811</x:t>
        </x:is>
      </x:c>
    </x:row>
    <x:row r="78">
      <x:c r="A78" t="inlineStr">
        <x:is>
          <x:t>PERSONAL DE LIMPIEZA</x:t>
        </x:is>
      </x:c>
      <x:c r="B78" t="inlineStr">
        <x:is>
          <x:t>TRABAJOS DE LIMPIEZA Y ACONDICIONAMIENTO DE LAS INSTALACIONES DE LIMPIEZA</x:t>
        </x:is>
      </x:c>
      <x:c r="C78" t="inlineStr">
        <x:is>
          <x:t>9210</x:t>
        </x:is>
      </x:c>
    </x:row>
    <x:row r="79">
      <x:c r="A79" t="inlineStr">
        <x:is>
          <x:t>PERSONAL DE OFICIO</x:t>
        </x:is>
      </x:c>
      <x:c r="B79" t="inlineStr">
        <x:is>
          <x:t>Trabajos manuales propios del oficio asignado.</x:t>
        </x:is>
      </x:c>
      <x:c r="C79" t="inlineStr">
        <x:is>
          <x:t>7401</x:t>
        </x:is>
      </x:c>
    </x:row>
    <x:row r="80">
      <x:c r="A80" t="inlineStr">
        <x:is>
          <x:t>PEÓN (LIMPIEZA)</x:t>
        </x:is>
      </x:c>
      <x:c r="B80" t="inlineStr">
        <x:is>
          <x:t>Trabajos de limpieza y apoyo en servicios auxiliares.</x:t>
        </x:is>
      </x:c>
      <x:c r="C80" t="inlineStr">
        <x:is>
          <x:t>9210</x:t>
        </x:is>
      </x:c>
    </x:row>
    <x:row r="81">
      <x:c r="A81" t="inlineStr">
        <x:is>
          <x:t>PINTOR</x:t>
        </x:is>
      </x:c>
      <x:c r="B81" t="inlineStr">
        <x:is>
          <x:t>Trabajos de preparación, pintura y acabado de superficies.</x:t>
        </x:is>
      </x:c>
      <x:c r="C81" t="inlineStr">
        <x:is>
          <x:t>7321</x:t>
        </x:is>
      </x:c>
    </x:row>
    <x:row r="82">
      <x:c r="A82" t="inlineStr">
        <x:is>
          <x:t>PREPARADOR LABORAL</x:t>
        </x:is>
      </x:c>
      <x:c r="B82" t="inlineStr">
        <x:is>
          <x:t>Trabajos de apoyo a inserción y preparación laboral.</x:t>
        </x:is>
      </x:c>
      <x:c r="C82" t="inlineStr">
        <x:is>
          <x:t>2824</x:t>
        </x:is>
      </x:c>
    </x:row>
    <x:row r="83">
      <x:c r="A83" t="inlineStr">
        <x:is>
          <x:t>PROF OFICIO 2º TECNICO INFORMATICO</x:t>
        </x:is>
      </x:c>
      <x:c r="B83" t="inlineStr">
        <x:is>
          <x:t>TRABAJOS DE MONTAJE Y REPARACION DE EQUIPOS INFORMATICOS, ASÍ COMO INSTALACIÓN Y MANTENIMIENTO DE SOFTWARE</x:t>
        </x:is>
      </x:c>
      <x:c r="C83" t="inlineStr">
        <x:is>
          <x:t>3811</x:t>
        </x:is>
      </x:c>
    </x:row>
    <x:row r="84">
      <x:c r="A84" t="inlineStr">
        <x:is>
          <x:t>PROFESOR                    G2</x:t>
        </x:is>
      </x:c>
      <x:c r="B84" t="inlineStr">
        <x:is>
          <x:t>Trabajos de docencia, formación y seguimiento educativo.</x:t>
        </x:is>
      </x:c>
      <x:c r="C84" t="inlineStr">
        <x:is>
          <x:t>2824</x:t>
        </x:is>
      </x:c>
    </x:row>
    <x:row r="85">
      <x:c r="A85" t="inlineStr">
        <x:is>
          <x:t>PROFESOR AUTOESCUELA</x:t>
        </x:is>
      </x:c>
      <x:c r="B85" t="inlineStr">
        <x:is>
          <x:t>Trabajos de enseñanza práctica y teórica de conducción.</x:t>
        </x:is>
      </x:c>
      <x:c r="C85" t="inlineStr">
        <x:is>
          <x:t>2824</x:t>
        </x:is>
      </x:c>
    </x:row>
    <x:row r="86">
      <x:c r="A86" t="inlineStr">
        <x:is>
          <x:t>PROSPECTOR LABORAL         G2</x:t>
        </x:is>
      </x:c>
      <x:c r="B86" t="inlineStr">
        <x:is>
          <x:t>Trabajos de prospección de empresas y oportunidades laborales.</x:t>
        </x:is>
      </x:c>
      <x:c r="C86" t="inlineStr">
        <x:is>
          <x:t>2824</x:t>
        </x:is>
      </x:c>
    </x:row>
    <x:row r="87">
      <x:c r="A87" t="inlineStr">
        <x:is>
          <x:t>SOCORRISTA</x:t>
        </x:is>
      </x:c>
      <x:c r="B87" t="inlineStr">
        <x:is>
          <x:t>Trabajos de vigilancia, control y salvamento de personas en piscinas</x:t>
        </x:is>
      </x:c>
      <x:c r="C87" t="inlineStr">
        <x:is>
          <x:t>5992</x:t>
        </x:is>
      </x:c>
    </x:row>
    <x:row r="88">
      <x:c r="A88" t="inlineStr">
        <x:is>
          <x:t>TECNICO</x:t>
        </x:is>
      </x:c>
      <x:c r="B88" t="inlineStr">
        <x:is>
          <x:t>Trabajos técnicos de apoyo, control y resolución de incidencias.</x:t>
        </x:is>
      </x:c>
      <x:c r="C88" t="inlineStr">
        <x:is>
          <x:t>3713</x:t>
        </x:is>
      </x:c>
    </x:row>
    <x:row r="89">
      <x:c r="A89" t="inlineStr">
        <x:is>
          <x:t>TECNICO DE CALIDAD</x:t>
        </x:is>
      </x:c>
      <x:c r="B89" t="inlineStr">
        <x:is>
          <x:t>TAREAS DE APOYO EN EL DEPARTAMENTO DE CALIDAD, ASEGURAR EL CUMPLIMIENTO DE LAS NORMAS DE SEGURIDAD E HIGIENE, REALIZAR CONTROLES DE CALIDAD EN LAS ETAPAS DE PRODUCCION, IMPLEMENTAR Y MANTENER SISTEMA SDE GESTIÓN DE CALIDAD, ANALIZAR Y EVALUAR LOS DATOS</x:t>
        </x:is>
      </x:c>
      <x:c r="C89" t="inlineStr">
        <x:is>
          <x:t>3713</x:t>
        </x:is>
      </x:c>
    </x:row>
    <x:row r="90">
      <x:c r="A90" t="inlineStr">
        <x:is>
          <x:t>TECNICO DE FARMACIA</x:t>
        </x:is>
      </x:c>
      <x:c r="B90" t="inlineStr">
        <x:is>
          <x:t>TRABAJOS DE DISPENSACION Y VENTA DE PRODUCTOS FARMACEUTOS Y ATENCION AL CLIENTE</x:t>
        </x:is>
      </x:c>
      <x:c r="C90" t="inlineStr">
        <x:is>
          <x:t>5621</x:t>
        </x:is>
      </x:c>
    </x:row>
    <x:row r="91">
      <x:c r="A91" t="inlineStr">
        <x:is>
          <x:t>TECNICO EN INTEGRACION SOCIAL</x:t>
        </x:is>
      </x:c>
      <x:c r="B91" t="inlineStr">
        <x:is>
          <x:t>Trabajos de intervención social, acompañamiento e integración.</x:t>
        </x:is>
      </x:c>
      <x:c r="C91" t="inlineStr">
        <x:is>
          <x:t>2824</x:t>
        </x:is>
      </x:c>
    </x:row>
    <x:row r="92">
      <x:c r="A92" t="inlineStr">
        <x:is>
          <x:t>TECNICO LABORATORIO</x:t>
        </x:is>
      </x:c>
      <x:c r="B92" t="inlineStr">
        <x:is>
          <x:t>Trabajos de laboratorio, análisis y apoyo técnico.</x:t>
        </x:is>
      </x:c>
      <x:c r="C92" t="inlineStr">
        <x:is>
          <x:t>5612</x:t>
        </x:is>
      </x:c>
    </x:row>
    <x:row r="93">
      <x:c r="A93" t="inlineStr">
        <x:is>
          <x:t>TIT GRADO MEDIO O GRADO</x:t>
        </x:is>
      </x:c>
      <x:c r="B93" t="inlineStr">
        <x:is>
          <x:t>Trabajos técnicos de grado medio o titulación equivalente.</x:t>
        </x:is>
      </x:c>
      <x:c r="C93" t="inlineStr">
        <x:is>
          <x:t>2824</x:t>
        </x:is>
      </x:c>
    </x:row>
    <x:row r="94">
      <x:c r="A94" t="inlineStr">
        <x:is>
          <x:t>TITULADO</x:t>
        </x:is>
      </x:c>
      <x:c r="B94" t="inlineStr">
        <x:is>
          <x:t>GESTION CONTABLE Y FISCAL DE LA EMPRESA</x:t>
        </x:is>
      </x:c>
      <x:c r="C94" t="inlineStr">
        <x:is>
          <x:t>4111</x:t>
        </x:is>
      </x:c>
    </x:row>
    <x:row r="95">
      <x:c r="A95" t="inlineStr">
        <x:is>
          <x:t>TRABAJADOR/A SOCIAL</x:t>
        </x:is>
      </x:c>
      <x:c r="B95" t="inlineStr">
        <x:is>
          <x:t>Trabajos de atención social, valoración y seguimiento.</x:t>
        </x:is>
      </x:c>
      <x:c r="C95" t="inlineStr">
        <x:is>
          <x:t>2824</x:t>
        </x:is>
      </x:c>
    </x:row>
    <x:row r="96">
      <x:c r="A96" t="inlineStr">
        <x:is>
          <x:t>VIAJANTE-COMERCIAL</x:t>
        </x:is>
      </x:c>
      <x:c r="B96" t="inlineStr">
        <x:is>
          <x:t>PROMOVER Y VENDER PRODUCTOS O SERVICIOS EN NOMBRE DE EMPRESAS CLIENTES</x:t>
        </x:is>
      </x:c>
      <x:c r="C96" t="inlineStr">
        <x:is>
          <x:t>3510</x:t>
        </x:is>
      </x:c>
    </x:row>
  </x:sheetData>
</x:worksheet>
</file>